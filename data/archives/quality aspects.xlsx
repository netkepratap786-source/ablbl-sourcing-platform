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abgapparelretail-my.sharepoint.com/personal/pankaj1-int_ablbl_adityabirla_com/Documents/"/>
    </mc:Choice>
  </mc:AlternateContent>
  <xr:revisionPtr revIDLastSave="4" documentId="8_{E025869E-F348-4DB2-871E-B2B990EBC269}" xr6:coauthVersionLast="47" xr6:coauthVersionMax="47" xr10:uidLastSave="{7FD7C0DF-C087-479E-99C1-E3EF1E1041BB}"/>
  <bookViews>
    <workbookView xWindow="-108" yWindow="-108" windowWidth="23256" windowHeight="12456" activeTab="1" xr2:uid="{00000000-000D-0000-FFFF-FFFF00000000}"/>
  </bookViews>
  <sheets>
    <sheet name="PE" sheetId="3" r:id="rId1"/>
    <sheet name="AS" sheetId="4" r:id="rId2"/>
    <sheet name="LP" sheetId="6" r:id="rId3"/>
    <sheet name="VH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3" l="1"/>
  <c r="W22" i="3" s="1"/>
  <c r="L21" i="3"/>
  <c r="W21" i="3" s="1"/>
  <c r="L20" i="3"/>
  <c r="W20" i="3" s="1"/>
  <c r="L19" i="3"/>
  <c r="W19" i="3" s="1"/>
  <c r="L18" i="3"/>
  <c r="W18" i="3" s="1"/>
  <c r="L17" i="3"/>
  <c r="W17" i="3" s="1"/>
  <c r="L16" i="3"/>
  <c r="W16" i="3" s="1"/>
  <c r="L15" i="3"/>
  <c r="W15" i="3" s="1"/>
  <c r="L14" i="3"/>
  <c r="W14" i="3" s="1"/>
  <c r="L13" i="3"/>
  <c r="W13" i="3" s="1"/>
  <c r="W12" i="3" l="1"/>
  <c r="W11" i="3"/>
  <c r="W10" i="3"/>
  <c r="W9" i="3"/>
  <c r="W8" i="3"/>
  <c r="W7" i="3"/>
  <c r="W6" i="3"/>
  <c r="W5" i="3"/>
  <c r="W4" i="3"/>
  <c r="W3" i="3"/>
</calcChain>
</file>

<file path=xl/sharedStrings.xml><?xml version="1.0" encoding="utf-8"?>
<sst xmlns="http://schemas.openxmlformats.org/spreadsheetml/2006/main" count="966" uniqueCount="171">
  <si>
    <t>PPMH rating</t>
  </si>
  <si>
    <t>CC rating</t>
  </si>
  <si>
    <t>VPQI Rating</t>
  </si>
  <si>
    <t>OTIF Rating</t>
  </si>
  <si>
    <t>Sample service</t>
  </si>
  <si>
    <t>Fabric cost to MRP Ratio</t>
  </si>
  <si>
    <t>Vendor rating performance</t>
  </si>
  <si>
    <t>OTIF %</t>
  </si>
  <si>
    <t>Sample service rating</t>
  </si>
  <si>
    <t>Vendor rating Total Score</t>
  </si>
  <si>
    <t>Performance Score</t>
  </si>
  <si>
    <t>DPMO</t>
  </si>
  <si>
    <t>Total Quality score - 30%</t>
  </si>
  <si>
    <t>OTIF Score - 20%</t>
  </si>
  <si>
    <t>Fabric cost to MRP Score - 25%</t>
  </si>
  <si>
    <t>Service level Rating Score - 10%</t>
  </si>
  <si>
    <t>Sample Score - 15%</t>
  </si>
  <si>
    <t>&gt;95%</t>
  </si>
  <si>
    <t>Green</t>
  </si>
  <si>
    <t>Yellow</t>
  </si>
  <si>
    <t>60% &amp; Above</t>
  </si>
  <si>
    <t>Previous season Rank</t>
  </si>
  <si>
    <t>Bottom</t>
  </si>
  <si>
    <t>Previous Score</t>
  </si>
  <si>
    <t>↓</t>
  </si>
  <si>
    <t>↑</t>
  </si>
  <si>
    <t>≤ 48</t>
  </si>
  <si>
    <t>&gt;=90% &lt;=94%</t>
  </si>
  <si>
    <t>≥85% - &lt;95%</t>
  </si>
  <si>
    <t>Very Good</t>
  </si>
  <si>
    <t>Good</t>
  </si>
  <si>
    <t>Current Over all Rank</t>
  </si>
  <si>
    <t>Shirting</t>
  </si>
  <si>
    <t>≥95%</t>
  </si>
  <si>
    <t>Excellent</t>
  </si>
  <si>
    <t>HOPE Vendor rating score card - Period Oct'25 to Mar'26</t>
  </si>
  <si>
    <t>Fabric Supplier</t>
  </si>
  <si>
    <t>Product Category</t>
  </si>
  <si>
    <t>AURO / VARDHMAN TEXTILES</t>
  </si>
  <si>
    <t>CONTINENTAL TEXTILE CO., LTD</t>
  </si>
  <si>
    <t>LOUVRE TEXTILE CO LTD</t>
  </si>
  <si>
    <t>NSL TEXTILES LIMITED</t>
  </si>
  <si>
    <t>GEERVANI IMPEX</t>
  </si>
  <si>
    <t>WFB BAIRD AND COMPANY INDIA P LTD</t>
  </si>
  <si>
    <t>LU FENG TEXTILE</t>
  </si>
  <si>
    <t>JIANGSU LIANFA TEXTILE CO. LTD.</t>
  </si>
  <si>
    <t>ARVIND LIMITED</t>
  </si>
  <si>
    <t>RAJAPALAYAM</t>
  </si>
  <si>
    <t>VPQI</t>
  </si>
  <si>
    <t xml:space="preserve">VPQI score </t>
  </si>
  <si>
    <t>PPMH</t>
  </si>
  <si>
    <t xml:space="preserve">PPMH Score </t>
  </si>
  <si>
    <t>≥ 50% &lt; 60%</t>
  </si>
  <si>
    <t>≥ 20% &lt; 40%</t>
  </si>
  <si>
    <t>≥ 40% &lt; 50%</t>
  </si>
  <si>
    <t xml:space="preserve">CC Score </t>
  </si>
  <si>
    <t>&gt;=90% &lt;=95%</t>
  </si>
  <si>
    <t>&gt;=85% &lt;=89%</t>
  </si>
  <si>
    <t>-</t>
  </si>
  <si>
    <r>
      <rPr>
        <sz val="10"/>
        <color indexed="8"/>
        <rFont val="72"/>
        <family val="2"/>
      </rPr>
      <t>≤ 48</t>
    </r>
  </si>
  <si>
    <t>Fabric cost to MRP Rating 
Rank</t>
  </si>
  <si>
    <t>Score Imrovement</t>
  </si>
  <si>
    <t>&gt;=95%</t>
  </si>
  <si>
    <t>≥75% - &lt;85%</t>
  </si>
  <si>
    <t xml:space="preserve">NAHAR INDUSTRIAL ENTERPRISES </t>
  </si>
  <si>
    <t>HUAZHI  TEXTILE CO., LTD</t>
  </si>
  <si>
    <t xml:space="preserve">SHAOXING JISI TEXTILE CO. LTD. </t>
  </si>
  <si>
    <t>RAYMOND LIFESTYLE LIMITED</t>
  </si>
  <si>
    <t>BANSWARA SYNTEX LTD</t>
  </si>
  <si>
    <t>RELIANCE</t>
  </si>
  <si>
    <t>NITIN SPINNERS LIMITED</t>
  </si>
  <si>
    <t xml:space="preserve">SUBH LAXMI SYNTEX LTD </t>
  </si>
  <si>
    <t>S NARAINSINGH SATNAMSINGH(SHOMER)</t>
  </si>
  <si>
    <t>Vendor name</t>
  </si>
  <si>
    <t>Vendor Category</t>
  </si>
  <si>
    <t>VPQI score - 10 %</t>
  </si>
  <si>
    <t>Fabric HI (PPMH)</t>
  </si>
  <si>
    <t>PPMH Score - 10%</t>
  </si>
  <si>
    <t>CC Score - 10%</t>
  </si>
  <si>
    <t>Fabric cost to MRP Rating</t>
  </si>
  <si>
    <t>RAJAPALAYAM MILLS LIMITED</t>
  </si>
  <si>
    <t>Shirting &amp; Bottom</t>
  </si>
  <si>
    <t>&gt; 48</t>
  </si>
  <si>
    <t>&gt;80% &lt;=84%</t>
  </si>
  <si>
    <t>Rank 5</t>
  </si>
  <si>
    <t>≥70% - &lt;85%</t>
  </si>
  <si>
    <t>VARDHMAN TEXTILES LIMITED</t>
  </si>
  <si>
    <t>Rank 10</t>
  </si>
  <si>
    <t>Arama Tessile</t>
  </si>
  <si>
    <t>Red</t>
  </si>
  <si>
    <t>DISHA CLOTHINGS PRIVATE LIMITED</t>
  </si>
  <si>
    <t>Rank 1</t>
  </si>
  <si>
    <t>≥ 50 &lt; 60</t>
  </si>
  <si>
    <t>&gt;90% &lt;=94%</t>
  </si>
  <si>
    <t>Rank 3</t>
  </si>
  <si>
    <t>Luthai Textile Co. Ltd.</t>
  </si>
  <si>
    <t>RAYMOND LUXURY COTTONS LTD</t>
  </si>
  <si>
    <t>Rank 8</t>
  </si>
  <si>
    <t>ESQUEL ENTERPRISES LIMITED</t>
  </si>
  <si>
    <t>Rank 6</t>
  </si>
  <si>
    <t>Rank 11</t>
  </si>
  <si>
    <t>RELIANCE INDS.LTD.</t>
  </si>
  <si>
    <t>Bottom weight</t>
  </si>
  <si>
    <t>Rank 17</t>
  </si>
  <si>
    <t>GBTL LIMITED</t>
  </si>
  <si>
    <t>VARDHMAN TEXTILES LTD.</t>
  </si>
  <si>
    <t>Shirt &amp; Bottom weight</t>
  </si>
  <si>
    <t>NA</t>
  </si>
  <si>
    <t>STYLETEX PTE. LTD.</t>
  </si>
  <si>
    <t>Rank 7</t>
  </si>
  <si>
    <t>LOUVRE TEXTILE CO., LTD</t>
  </si>
  <si>
    <t>Rank 18</t>
  </si>
  <si>
    <t>DE LICACY INDUSTRIAL CO</t>
  </si>
  <si>
    <t>Less than 80%</t>
  </si>
  <si>
    <t>Lu Thai Textile Co Ltd</t>
  </si>
  <si>
    <t>&gt;=80% &lt;=84%</t>
  </si>
  <si>
    <t>Rank 14</t>
  </si>
  <si>
    <t>≥60% - &lt;70%</t>
  </si>
  <si>
    <t>Fair</t>
  </si>
  <si>
    <t>ARVIND LTD</t>
  </si>
  <si>
    <t>Rank 9</t>
  </si>
  <si>
    <t>SHAOXING JISI TEXTILE CO. LTD.</t>
  </si>
  <si>
    <t>Rank 13</t>
  </si>
  <si>
    <t>Penfabric Sdn. Berhad</t>
  </si>
  <si>
    <t>Rank 2</t>
  </si>
  <si>
    <t>HANGZHOU XINYUAN PRINTING AND DYEIN</t>
  </si>
  <si>
    <t>Rank 22</t>
  </si>
  <si>
    <t>Rank 15</t>
  </si>
  <si>
    <t>P NIHALCHAND CLOTHING LLP</t>
  </si>
  <si>
    <t>Rank 21</t>
  </si>
  <si>
    <t>Lufeng Company Ltd.</t>
  </si>
  <si>
    <t>≥ 40 &lt; 50</t>
  </si>
  <si>
    <t>BLUE BLEND INC</t>
  </si>
  <si>
    <t>Rank 16</t>
  </si>
  <si>
    <t>KRISHNA ALKALI (BOMBAY) PVT. LTD.</t>
  </si>
  <si>
    <t>Rank 19</t>
  </si>
  <si>
    <t>Less than 60%</t>
  </si>
  <si>
    <t>Poor</t>
  </si>
  <si>
    <t>HANGZHOU ETERNAL RICH I&amp;E CO., LTD</t>
  </si>
  <si>
    <t>Rank 12</t>
  </si>
  <si>
    <t>ARAMA TESSILE</t>
  </si>
  <si>
    <t>Rank 25</t>
  </si>
  <si>
    <t>SHAOXING WENQI TEXTILE CO. LTD</t>
  </si>
  <si>
    <t>Rank 20</t>
  </si>
  <si>
    <t>Rank 23</t>
  </si>
  <si>
    <t>Rank 26</t>
  </si>
  <si>
    <t>LOUVRE TEXTILE CO.,LTD</t>
  </si>
  <si>
    <t>Rank 4</t>
  </si>
  <si>
    <t>CONTINENTAL TEXTILE COMPANY LIMITED</t>
  </si>
  <si>
    <t>Auro textiles</t>
  </si>
  <si>
    <t>Nisshinbo Textile Inc</t>
  </si>
  <si>
    <t>GRASIM INDUSTRIES LTD ( Soktas)</t>
  </si>
  <si>
    <t>SHAOXING JISI TEXTILE CO.LTD</t>
  </si>
  <si>
    <t>Banswara Syntex Ltd</t>
  </si>
  <si>
    <t xml:space="preserve">Arvind Ltd </t>
  </si>
  <si>
    <t>Reliance Industries Ltd.</t>
  </si>
  <si>
    <t>BOttom</t>
  </si>
  <si>
    <t>Raymond Lifestyle Ltd</t>
  </si>
  <si>
    <t>NAHAR TEXTILES PRIVATE LIMITED</t>
  </si>
  <si>
    <t>&gt;85% &lt;=89%</t>
  </si>
  <si>
    <t>JAYDEE FABRICS LTD</t>
  </si>
  <si>
    <t>W.F.B. BAIRD &amp; COMPANY (INDIA) PRIV</t>
  </si>
  <si>
    <t>PC Coloursoft fabric Pvt ltd</t>
  </si>
  <si>
    <t>Associated Brand</t>
  </si>
  <si>
    <t>LP</t>
  </si>
  <si>
    <t>PE</t>
  </si>
  <si>
    <t>AS</t>
  </si>
  <si>
    <t>VH</t>
  </si>
  <si>
    <t xml:space="preserve">VPQI </t>
  </si>
  <si>
    <t>Pankaj</t>
  </si>
  <si>
    <t>≤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</si>
</sst>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72"/>
      <family val="2"/>
    </font>
    <font>
      <b/>
      <sz val="10"/>
      <color rgb="FF000000"/>
      <name val="72"/>
      <family val="2"/>
    </font>
    <font>
      <sz val="10"/>
      <color theme="1"/>
      <name val="72"/>
      <family val="2"/>
    </font>
    <font>
      <sz val="10"/>
      <color rgb="FF000000"/>
      <name val="72"/>
      <family val="2"/>
    </font>
    <font>
      <sz val="10"/>
      <color indexed="8"/>
      <name val="72"/>
      <family val="2"/>
    </font>
    <font>
      <sz val="10"/>
      <color rgb="FFFF0000"/>
      <name val="72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4">
    <xf numFmtId="0" fontId="0" fillId="0" borderId="0" xfId="0"/>
    <xf numFmtId="0" fontId="4" fillId="0" borderId="0" xfId="0" applyFont="1" applyAlignment="1">
      <alignment horizontal="center"/>
    </xf>
    <xf numFmtId="0" fontId="7" fillId="10" borderId="1" xfId="0" applyFont="1" applyFill="1" applyBorder="1" applyAlignment="1">
      <alignment horizontal="center" vertical="top"/>
    </xf>
    <xf numFmtId="10" fontId="7" fillId="10" borderId="1" xfId="0" applyNumberFormat="1" applyFont="1" applyFill="1" applyBorder="1" applyAlignment="1">
      <alignment horizontal="center" vertical="top"/>
    </xf>
    <xf numFmtId="9" fontId="7" fillId="10" borderId="1" xfId="1" applyFont="1" applyFill="1" applyBorder="1" applyAlignment="1">
      <alignment horizontal="center"/>
    </xf>
    <xf numFmtId="1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/>
    </xf>
    <xf numFmtId="1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vertical="center"/>
    </xf>
    <xf numFmtId="9" fontId="7" fillId="10" borderId="1" xfId="0" applyNumberFormat="1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vertical="top"/>
    </xf>
    <xf numFmtId="0" fontId="7" fillId="10" borderId="1" xfId="0" quotePrefix="1" applyFont="1" applyFill="1" applyBorder="1" applyAlignment="1">
      <alignment horizontal="center"/>
    </xf>
    <xf numFmtId="10" fontId="7" fillId="10" borderId="1" xfId="1" applyNumberFormat="1" applyFont="1" applyFill="1" applyBorder="1" applyAlignment="1">
      <alignment horizontal="center" vertical="top"/>
    </xf>
    <xf numFmtId="10" fontId="8" fillId="10" borderId="1" xfId="1" applyNumberFormat="1" applyFont="1" applyFill="1" applyBorder="1" applyAlignment="1">
      <alignment horizontal="center" vertical="top"/>
    </xf>
    <xf numFmtId="0" fontId="9" fillId="10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/>
    </xf>
    <xf numFmtId="1" fontId="7" fillId="10" borderId="1" xfId="0" quotePrefix="1" applyNumberFormat="1" applyFont="1" applyFill="1" applyBorder="1" applyAlignment="1">
      <alignment horizontal="center"/>
    </xf>
    <xf numFmtId="0" fontId="7" fillId="10" borderId="3" xfId="0" applyFont="1" applyFill="1" applyBorder="1" applyAlignment="1">
      <alignment horizontal="left"/>
    </xf>
    <xf numFmtId="0" fontId="7" fillId="10" borderId="4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 vertical="top"/>
    </xf>
    <xf numFmtId="10" fontId="7" fillId="10" borderId="1" xfId="1" applyNumberFormat="1" applyFont="1" applyFill="1" applyBorder="1" applyAlignment="1">
      <alignment horizontal="center"/>
    </xf>
    <xf numFmtId="165" fontId="7" fillId="10" borderId="1" xfId="0" applyNumberFormat="1" applyFont="1" applyFill="1" applyBorder="1" applyAlignment="1">
      <alignment horizontal="center"/>
    </xf>
    <xf numFmtId="1" fontId="7" fillId="10" borderId="4" xfId="0" applyNumberFormat="1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 vertical="center"/>
    </xf>
    <xf numFmtId="9" fontId="7" fillId="10" borderId="4" xfId="0" applyNumberFormat="1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left"/>
    </xf>
    <xf numFmtId="164" fontId="7" fillId="10" borderId="1" xfId="1" applyNumberFormat="1" applyFont="1" applyFill="1" applyBorder="1" applyAlignment="1">
      <alignment horizontal="center" vertical="top"/>
    </xf>
    <xf numFmtId="9" fontId="7" fillId="10" borderId="1" xfId="1" applyFont="1" applyFill="1" applyBorder="1" applyAlignment="1">
      <alignment horizontal="center" vertical="top"/>
    </xf>
    <xf numFmtId="164" fontId="7" fillId="10" borderId="1" xfId="0" applyNumberFormat="1" applyFont="1" applyFill="1" applyBorder="1" applyAlignment="1">
      <alignment horizontal="center" vertical="top"/>
    </xf>
    <xf numFmtId="0" fontId="7" fillId="10" borderId="6" xfId="0" applyFont="1" applyFill="1" applyBorder="1" applyAlignment="1">
      <alignment horizontal="left"/>
    </xf>
    <xf numFmtId="0" fontId="7" fillId="10" borderId="7" xfId="0" applyFont="1" applyFill="1" applyBorder="1" applyAlignment="1">
      <alignment horizontal="center"/>
    </xf>
    <xf numFmtId="9" fontId="7" fillId="10" borderId="7" xfId="1" applyFont="1" applyFill="1" applyBorder="1" applyAlignment="1">
      <alignment horizontal="center" vertical="top"/>
    </xf>
    <xf numFmtId="0" fontId="7" fillId="10" borderId="7" xfId="0" applyFont="1" applyFill="1" applyBorder="1" applyAlignment="1">
      <alignment horizontal="center" vertical="top"/>
    </xf>
    <xf numFmtId="10" fontId="7" fillId="10" borderId="7" xfId="1" applyNumberFormat="1" applyFont="1" applyFill="1" applyBorder="1" applyAlignment="1">
      <alignment horizontal="center"/>
    </xf>
    <xf numFmtId="0" fontId="8" fillId="10" borderId="7" xfId="0" applyFont="1" applyFill="1" applyBorder="1" applyAlignment="1">
      <alignment horizontal="center" vertical="center"/>
    </xf>
    <xf numFmtId="165" fontId="7" fillId="10" borderId="7" xfId="0" applyNumberFormat="1" applyFont="1" applyFill="1" applyBorder="1" applyAlignment="1">
      <alignment horizontal="center"/>
    </xf>
    <xf numFmtId="1" fontId="7" fillId="10" borderId="7" xfId="0" applyNumberFormat="1" applyFont="1" applyFill="1" applyBorder="1" applyAlignment="1">
      <alignment horizontal="center"/>
    </xf>
    <xf numFmtId="9" fontId="7" fillId="10" borderId="7" xfId="1" applyFont="1" applyFill="1" applyBorder="1" applyAlignment="1">
      <alignment horizontal="center"/>
    </xf>
    <xf numFmtId="0" fontId="7" fillId="10" borderId="7" xfId="0" applyFont="1" applyFill="1" applyBorder="1" applyAlignment="1">
      <alignment horizontal="center" vertical="center"/>
    </xf>
    <xf numFmtId="9" fontId="7" fillId="10" borderId="7" xfId="0" applyNumberFormat="1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7" fillId="10" borderId="10" xfId="0" applyFont="1" applyFill="1" applyBorder="1" applyAlignment="1">
      <alignment horizontal="left"/>
    </xf>
    <xf numFmtId="0" fontId="7" fillId="10" borderId="11" xfId="0" applyFont="1" applyFill="1" applyBorder="1" applyAlignment="1">
      <alignment horizontal="center"/>
    </xf>
    <xf numFmtId="164" fontId="7" fillId="10" borderId="12" xfId="1" applyNumberFormat="1" applyFont="1" applyFill="1" applyBorder="1" applyAlignment="1">
      <alignment horizontal="center" vertical="top"/>
    </xf>
    <xf numFmtId="0" fontId="7" fillId="10" borderId="12" xfId="0" applyFont="1" applyFill="1" applyBorder="1" applyAlignment="1">
      <alignment horizontal="center" vertical="top"/>
    </xf>
    <xf numFmtId="1" fontId="8" fillId="10" borderId="12" xfId="0" applyNumberFormat="1" applyFont="1" applyFill="1" applyBorder="1" applyAlignment="1">
      <alignment horizontal="center" vertical="top"/>
    </xf>
    <xf numFmtId="10" fontId="7" fillId="10" borderId="12" xfId="1" applyNumberFormat="1" applyFont="1" applyFill="1" applyBorder="1" applyAlignment="1">
      <alignment horizontal="center"/>
    </xf>
    <xf numFmtId="0" fontId="8" fillId="10" borderId="12" xfId="0" applyFont="1" applyFill="1" applyBorder="1" applyAlignment="1">
      <alignment horizontal="center" vertical="center"/>
    </xf>
    <xf numFmtId="165" fontId="7" fillId="10" borderId="12" xfId="0" applyNumberFormat="1" applyFont="1" applyFill="1" applyBorder="1" applyAlignment="1">
      <alignment horizontal="center"/>
    </xf>
    <xf numFmtId="1" fontId="7" fillId="10" borderId="12" xfId="0" applyNumberFormat="1" applyFont="1" applyFill="1" applyBorder="1" applyAlignment="1">
      <alignment horizontal="center"/>
    </xf>
    <xf numFmtId="9" fontId="7" fillId="10" borderId="12" xfId="1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 vertical="center"/>
    </xf>
    <xf numFmtId="9" fontId="7" fillId="10" borderId="12" xfId="0" applyNumberFormat="1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0" fontId="10" fillId="10" borderId="13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10" borderId="5" xfId="0" applyFont="1" applyFill="1" applyBorder="1" applyAlignment="1">
      <alignment horizontal="left" vertical="top"/>
    </xf>
    <xf numFmtId="0" fontId="10" fillId="0" borderId="9" xfId="0" applyFont="1" applyBorder="1" applyAlignment="1">
      <alignment horizontal="center"/>
    </xf>
    <xf numFmtId="0" fontId="7" fillId="0" borderId="9" xfId="0" quotePrefix="1" applyFont="1" applyBorder="1" applyAlignment="1">
      <alignment horizontal="center"/>
    </xf>
    <xf numFmtId="0" fontId="7" fillId="10" borderId="10" xfId="0" applyFont="1" applyFill="1" applyBorder="1" applyAlignment="1">
      <alignment horizontal="left" vertical="top"/>
    </xf>
    <xf numFmtId="10" fontId="8" fillId="10" borderId="12" xfId="1" applyNumberFormat="1" applyFont="1" applyFill="1" applyBorder="1" applyAlignment="1">
      <alignment horizontal="center" vertical="top"/>
    </xf>
    <xf numFmtId="1" fontId="8" fillId="10" borderId="12" xfId="0" applyNumberFormat="1" applyFont="1" applyFill="1" applyBorder="1" applyAlignment="1">
      <alignment horizontal="center" vertical="center"/>
    </xf>
    <xf numFmtId="164" fontId="7" fillId="10" borderId="12" xfId="1" applyNumberFormat="1" applyFont="1" applyFill="1" applyBorder="1" applyAlignment="1">
      <alignment horizontal="center"/>
    </xf>
    <xf numFmtId="10" fontId="7" fillId="10" borderId="12" xfId="1" applyNumberFormat="1" applyFont="1" applyFill="1" applyBorder="1" applyAlignment="1">
      <alignment horizontal="center" vertical="top"/>
    </xf>
    <xf numFmtId="0" fontId="7" fillId="0" borderId="13" xfId="0" applyFont="1" applyBorder="1" applyAlignment="1">
      <alignment horizontal="center"/>
    </xf>
    <xf numFmtId="10" fontId="7" fillId="10" borderId="4" xfId="0" applyNumberFormat="1" applyFont="1" applyFill="1" applyBorder="1" applyAlignment="1">
      <alignment horizontal="center" vertical="top"/>
    </xf>
    <xf numFmtId="9" fontId="7" fillId="10" borderId="4" xfId="1" applyFont="1" applyFill="1" applyBorder="1" applyAlignment="1">
      <alignment horizontal="center"/>
    </xf>
    <xf numFmtId="1" fontId="8" fillId="10" borderId="4" xfId="0" applyNumberFormat="1" applyFont="1" applyFill="1" applyBorder="1" applyAlignment="1">
      <alignment horizontal="center" vertical="center"/>
    </xf>
    <xf numFmtId="164" fontId="7" fillId="10" borderId="4" xfId="1" applyNumberFormat="1" applyFont="1" applyFill="1" applyBorder="1" applyAlignment="1">
      <alignment horizontal="center"/>
    </xf>
    <xf numFmtId="10" fontId="7" fillId="10" borderId="4" xfId="1" applyNumberFormat="1" applyFont="1" applyFill="1" applyBorder="1" applyAlignment="1">
      <alignment horizontal="center" vertical="top"/>
    </xf>
    <xf numFmtId="0" fontId="7" fillId="0" borderId="14" xfId="0" applyFont="1" applyBorder="1" applyAlignment="1">
      <alignment horizontal="center"/>
    </xf>
    <xf numFmtId="0" fontId="5" fillId="12" borderId="15" xfId="0" applyFont="1" applyFill="1" applyBorder="1" applyAlignment="1">
      <alignment horizontal="left" vertical="top"/>
    </xf>
    <xf numFmtId="0" fontId="5" fillId="1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/>
    </xf>
    <xf numFmtId="0" fontId="5" fillId="6" borderId="2" xfId="0" applyFont="1" applyFill="1" applyBorder="1" applyAlignment="1">
      <alignment horizontal="center" vertical="top" wrapText="1"/>
    </xf>
    <xf numFmtId="0" fontId="5" fillId="8" borderId="2" xfId="0" applyFont="1" applyFill="1" applyBorder="1" applyAlignment="1">
      <alignment horizontal="center" vertical="top" wrapText="1"/>
    </xf>
    <xf numFmtId="0" fontId="5" fillId="13" borderId="2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center" vertical="top" wrapText="1"/>
    </xf>
    <xf numFmtId="0" fontId="5" fillId="9" borderId="2" xfId="0" applyFont="1" applyFill="1" applyBorder="1" applyAlignment="1">
      <alignment horizontal="center" vertical="top" wrapText="1"/>
    </xf>
    <xf numFmtId="0" fontId="6" fillId="11" borderId="2" xfId="0" applyFont="1" applyFill="1" applyBorder="1" applyAlignment="1">
      <alignment horizontal="center" vertical="top" wrapText="1"/>
    </xf>
    <xf numFmtId="164" fontId="5" fillId="11" borderId="2" xfId="0" applyNumberFormat="1" applyFont="1" applyFill="1" applyBorder="1" applyAlignment="1">
      <alignment horizontal="center" vertical="top" wrapText="1"/>
    </xf>
    <xf numFmtId="0" fontId="5" fillId="11" borderId="2" xfId="0" applyFont="1" applyFill="1" applyBorder="1" applyAlignment="1">
      <alignment horizontal="center" vertical="top" wrapText="1"/>
    </xf>
    <xf numFmtId="0" fontId="5" fillId="11" borderId="16" xfId="0" applyFont="1" applyFill="1" applyBorder="1" applyAlignment="1">
      <alignment horizontal="center" vertical="top" wrapText="1"/>
    </xf>
    <xf numFmtId="0" fontId="14" fillId="14" borderId="17" xfId="0" applyFont="1" applyFill="1" applyBorder="1" applyAlignment="1">
      <alignment horizontal="center" vertical="center"/>
    </xf>
    <xf numFmtId="0" fontId="14" fillId="14" borderId="18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9" fontId="14" fillId="17" borderId="18" xfId="0" applyNumberFormat="1" applyFont="1" applyFill="1" applyBorder="1" applyAlignment="1">
      <alignment horizontal="center" vertical="center"/>
    </xf>
    <xf numFmtId="0" fontId="15" fillId="14" borderId="18" xfId="0" applyFont="1" applyFill="1" applyBorder="1" applyAlignment="1">
      <alignment horizontal="center" vertical="center"/>
    </xf>
    <xf numFmtId="0" fontId="16" fillId="14" borderId="18" xfId="0" applyFont="1" applyFill="1" applyBorder="1" applyAlignment="1">
      <alignment horizontal="center" vertical="center"/>
    </xf>
    <xf numFmtId="0" fontId="14" fillId="15" borderId="18" xfId="0" applyFont="1" applyFill="1" applyBorder="1" applyAlignment="1">
      <alignment horizontal="center" vertical="center"/>
    </xf>
    <xf numFmtId="9" fontId="14" fillId="14" borderId="18" xfId="0" applyNumberFormat="1" applyFont="1" applyFill="1" applyBorder="1" applyAlignment="1">
      <alignment horizontal="center" vertical="center"/>
    </xf>
    <xf numFmtId="0" fontId="17" fillId="14" borderId="18" xfId="0" applyFont="1" applyFill="1" applyBorder="1" applyAlignment="1">
      <alignment horizontal="center" vertical="center"/>
    </xf>
    <xf numFmtId="0" fontId="14" fillId="9" borderId="18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center" vertical="center"/>
    </xf>
    <xf numFmtId="0" fontId="14" fillId="18" borderId="18" xfId="0" applyFont="1" applyFill="1" applyBorder="1" applyAlignment="1">
      <alignment horizontal="center" vertical="center"/>
    </xf>
    <xf numFmtId="0" fontId="15" fillId="16" borderId="18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9" fontId="14" fillId="19" borderId="18" xfId="0" applyNumberFormat="1" applyFont="1" applyFill="1" applyBorder="1" applyAlignment="1">
      <alignment horizontal="center" vertical="center"/>
    </xf>
    <xf numFmtId="0" fontId="15" fillId="17" borderId="18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" fontId="0" fillId="16" borderId="1" xfId="0" applyNumberForma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9" fontId="1" fillId="0" borderId="1" xfId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0" fillId="0" borderId="0" xfId="0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9" fontId="1" fillId="10" borderId="1" xfId="1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3" fillId="11" borderId="1" xfId="0" applyFont="1" applyFill="1" applyBorder="1" applyAlignment="1">
      <alignment horizontal="center" vertical="center" wrapText="1"/>
    </xf>
    <xf numFmtId="164" fontId="20" fillId="11" borderId="1" xfId="0" applyNumberFormat="1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/>
    </xf>
    <xf numFmtId="9" fontId="1" fillId="0" borderId="1" xfId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4" fillId="14" borderId="19" xfId="0" applyFont="1" applyFill="1" applyBorder="1" applyAlignment="1">
      <alignment horizontal="center" vertical="center"/>
    </xf>
    <xf numFmtId="0" fontId="0" fillId="0" borderId="0" xfId="0"/>
  </cellXfs>
  <cellStyles count="3">
    <cellStyle name="Normal" xfId="0" builtinId="0"/>
    <cellStyle name="Percent" xfId="1" builtinId="5"/>
    <cellStyle name="Percent 2" xfId="2" xr:uid="{3F1493AD-D3B8-4019-8611-0B137AE12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95FD-B712-409B-8955-A5BCE7769C35}">
  <dimension ref="A1:AD22"/>
  <sheetViews>
    <sheetView zoomScale="82" zoomScaleNormal="82" workbookViewId="0">
      <selection activeCell="AD2" sqref="AD2:AD22"/>
    </sheetView>
  </sheetViews>
  <sheetFormatPr defaultColWidth="9.109375" defaultRowHeight="14.4" x14ac:dyDescent="0.3"/>
  <cols>
    <col min="1" max="1" width="29.6640625" style="16" customWidth="1"/>
    <col min="2" max="2" width="16.88671875" style="16" bestFit="1" customWidth="1"/>
    <col min="3" max="3" width="12.109375" style="16" hidden="1" customWidth="1"/>
    <col min="4" max="5" width="7" style="16" hidden="1" customWidth="1"/>
    <col min="6" max="6" width="8.6640625" style="16" hidden="1" customWidth="1"/>
    <col min="7" max="7" width="12.5546875" style="16" hidden="1" customWidth="1"/>
    <col min="8" max="8" width="7.109375" style="16" hidden="1" customWidth="1"/>
    <col min="9" max="9" width="6.88671875" style="16" hidden="1" customWidth="1"/>
    <col min="10" max="10" width="8.88671875" style="16" hidden="1" customWidth="1"/>
    <col min="11" max="11" width="9.109375" style="16" hidden="1" customWidth="1"/>
    <col min="12" max="12" width="11" style="16" bestFit="1" customWidth="1"/>
    <col min="13" max="13" width="9.5546875" style="16" hidden="1" customWidth="1"/>
    <col min="14" max="14" width="13.33203125" style="16" hidden="1" customWidth="1"/>
    <col min="15" max="15" width="7.109375" style="16" bestFit="1" customWidth="1"/>
    <col min="16" max="16" width="7.6640625" style="16" hidden="1" customWidth="1"/>
    <col min="17" max="17" width="13.33203125" style="16" hidden="1" customWidth="1"/>
    <col min="18" max="18" width="7.6640625" style="16" bestFit="1" customWidth="1"/>
    <col min="19" max="19" width="10.33203125" style="16" hidden="1" customWidth="1"/>
    <col min="20" max="20" width="10.44140625" style="16" hidden="1" customWidth="1"/>
    <col min="21" max="21" width="11.109375" style="16" bestFit="1" customWidth="1"/>
    <col min="22" max="22" width="11.5546875" style="16" bestFit="1" customWidth="1"/>
    <col min="23" max="23" width="10.88671875" style="16" bestFit="1" customWidth="1"/>
    <col min="24" max="24" width="15" style="16" bestFit="1" customWidth="1"/>
    <col min="25" max="25" width="10.6640625" style="16" bestFit="1" customWidth="1"/>
    <col min="26" max="26" width="8.33203125" style="16" bestFit="1" customWidth="1"/>
    <col min="27" max="28" width="8.88671875" style="16" bestFit="1" customWidth="1"/>
    <col min="29" max="29" width="10.6640625" style="16" customWidth="1"/>
    <col min="30" max="30" width="21.5546875" style="122" customWidth="1"/>
    <col min="31" max="16384" width="9.109375" style="16"/>
  </cols>
  <sheetData>
    <row r="1" spans="1:30" s="1" customFormat="1" ht="15" thickBot="1" x14ac:dyDescent="0.35">
      <c r="A1" s="17" t="s">
        <v>35</v>
      </c>
      <c r="AD1" s="132"/>
    </row>
    <row r="2" spans="1:30" s="1" customFormat="1" ht="39.75" customHeight="1" thickBot="1" x14ac:dyDescent="0.35">
      <c r="A2" s="77" t="s">
        <v>36</v>
      </c>
      <c r="B2" s="78" t="s">
        <v>37</v>
      </c>
      <c r="C2" s="79" t="s">
        <v>48</v>
      </c>
      <c r="D2" s="80" t="s">
        <v>2</v>
      </c>
      <c r="E2" s="80" t="s">
        <v>49</v>
      </c>
      <c r="F2" s="81" t="s">
        <v>50</v>
      </c>
      <c r="G2" s="81" t="s">
        <v>0</v>
      </c>
      <c r="H2" s="81" t="s">
        <v>51</v>
      </c>
      <c r="I2" s="82" t="s">
        <v>11</v>
      </c>
      <c r="J2" s="82" t="s">
        <v>1</v>
      </c>
      <c r="K2" s="82" t="s">
        <v>55</v>
      </c>
      <c r="L2" s="80" t="s">
        <v>12</v>
      </c>
      <c r="M2" s="83" t="s">
        <v>7</v>
      </c>
      <c r="N2" s="84" t="s">
        <v>3</v>
      </c>
      <c r="O2" s="84" t="s">
        <v>13</v>
      </c>
      <c r="P2" s="85" t="s">
        <v>4</v>
      </c>
      <c r="Q2" s="85" t="s">
        <v>8</v>
      </c>
      <c r="R2" s="85" t="s">
        <v>16</v>
      </c>
      <c r="S2" s="86" t="s">
        <v>5</v>
      </c>
      <c r="T2" s="86" t="s">
        <v>60</v>
      </c>
      <c r="U2" s="86" t="s">
        <v>14</v>
      </c>
      <c r="V2" s="87" t="s">
        <v>15</v>
      </c>
      <c r="W2" s="88" t="s">
        <v>9</v>
      </c>
      <c r="X2" s="89" t="s">
        <v>10</v>
      </c>
      <c r="Y2" s="89" t="s">
        <v>6</v>
      </c>
      <c r="Z2" s="90" t="s">
        <v>31</v>
      </c>
      <c r="AA2" s="91" t="s">
        <v>21</v>
      </c>
      <c r="AB2" s="91" t="s">
        <v>23</v>
      </c>
      <c r="AC2" s="92" t="s">
        <v>61</v>
      </c>
      <c r="AD2" s="132" t="s">
        <v>163</v>
      </c>
    </row>
    <row r="3" spans="1:30" s="1" customFormat="1" x14ac:dyDescent="0.3">
      <c r="A3" s="20" t="s">
        <v>38</v>
      </c>
      <c r="B3" s="22" t="s">
        <v>32</v>
      </c>
      <c r="C3" s="71">
        <v>0.98899999999999999</v>
      </c>
      <c r="D3" s="22" t="s">
        <v>18</v>
      </c>
      <c r="E3" s="22">
        <v>10</v>
      </c>
      <c r="F3" s="72">
        <v>0.62745098039215685</v>
      </c>
      <c r="G3" s="22" t="s">
        <v>20</v>
      </c>
      <c r="H3" s="22">
        <v>10</v>
      </c>
      <c r="I3" s="73">
        <v>14</v>
      </c>
      <c r="J3" s="28" t="s">
        <v>59</v>
      </c>
      <c r="K3" s="21">
        <v>10</v>
      </c>
      <c r="L3" s="25">
        <v>30</v>
      </c>
      <c r="M3" s="74">
        <v>0.99921876941979426</v>
      </c>
      <c r="N3" s="26" t="s">
        <v>17</v>
      </c>
      <c r="O3" s="26">
        <v>20</v>
      </c>
      <c r="P3" s="27">
        <v>1</v>
      </c>
      <c r="Q3" s="26" t="s">
        <v>17</v>
      </c>
      <c r="R3" s="26">
        <v>15</v>
      </c>
      <c r="S3" s="75">
        <v>0.21718592954969435</v>
      </c>
      <c r="T3" s="22">
        <v>2</v>
      </c>
      <c r="U3" s="21">
        <v>24</v>
      </c>
      <c r="V3" s="21">
        <v>10</v>
      </c>
      <c r="W3" s="25">
        <f t="shared" ref="W3:W12" si="0">L3+O3+R3+U3+V3</f>
        <v>99</v>
      </c>
      <c r="X3" s="28" t="s">
        <v>33</v>
      </c>
      <c r="Y3" s="21" t="s">
        <v>34</v>
      </c>
      <c r="Z3" s="21">
        <v>1</v>
      </c>
      <c r="AA3" s="21">
        <v>2</v>
      </c>
      <c r="AB3" s="25">
        <v>96</v>
      </c>
      <c r="AC3" s="76" t="s">
        <v>25</v>
      </c>
      <c r="AD3" s="146" t="s">
        <v>165</v>
      </c>
    </row>
    <row r="4" spans="1:30" s="1" customFormat="1" x14ac:dyDescent="0.3">
      <c r="A4" s="62" t="s">
        <v>39</v>
      </c>
      <c r="B4" s="2" t="s">
        <v>32</v>
      </c>
      <c r="C4" s="3">
        <v>1</v>
      </c>
      <c r="D4" s="2" t="s">
        <v>18</v>
      </c>
      <c r="E4" s="2">
        <v>10</v>
      </c>
      <c r="F4" s="4">
        <v>0.52845528455284552</v>
      </c>
      <c r="G4" s="2" t="s">
        <v>52</v>
      </c>
      <c r="H4" s="2">
        <v>7</v>
      </c>
      <c r="I4" s="5">
        <v>10</v>
      </c>
      <c r="J4" s="6" t="s">
        <v>59</v>
      </c>
      <c r="K4" s="7">
        <v>10</v>
      </c>
      <c r="L4" s="8">
        <v>27</v>
      </c>
      <c r="M4" s="18">
        <v>1</v>
      </c>
      <c r="N4" s="9" t="s">
        <v>17</v>
      </c>
      <c r="O4" s="9">
        <v>20</v>
      </c>
      <c r="P4" s="10">
        <v>1</v>
      </c>
      <c r="Q4" s="9" t="s">
        <v>17</v>
      </c>
      <c r="R4" s="9">
        <v>15</v>
      </c>
      <c r="S4" s="13">
        <v>0.2445021697307998</v>
      </c>
      <c r="T4" s="2">
        <v>10</v>
      </c>
      <c r="U4" s="7">
        <v>16</v>
      </c>
      <c r="V4" s="7">
        <v>10</v>
      </c>
      <c r="W4" s="8">
        <f t="shared" si="0"/>
        <v>88</v>
      </c>
      <c r="X4" s="6" t="s">
        <v>28</v>
      </c>
      <c r="Y4" s="7" t="s">
        <v>29</v>
      </c>
      <c r="Z4" s="7">
        <v>5</v>
      </c>
      <c r="AA4" s="7">
        <v>1</v>
      </c>
      <c r="AB4" s="8">
        <v>98</v>
      </c>
      <c r="AC4" s="63" t="s">
        <v>24</v>
      </c>
      <c r="AD4" s="146" t="s">
        <v>165</v>
      </c>
    </row>
    <row r="5" spans="1:30" s="1" customFormat="1" x14ac:dyDescent="0.3">
      <c r="A5" s="29" t="s">
        <v>40</v>
      </c>
      <c r="B5" s="2" t="s">
        <v>32</v>
      </c>
      <c r="C5" s="3">
        <v>1</v>
      </c>
      <c r="D5" s="2" t="s">
        <v>18</v>
      </c>
      <c r="E5" s="2">
        <v>10</v>
      </c>
      <c r="F5" s="4">
        <v>0.62406015037593987</v>
      </c>
      <c r="G5" s="2" t="s">
        <v>20</v>
      </c>
      <c r="H5" s="2">
        <v>10</v>
      </c>
      <c r="I5" s="5">
        <v>0</v>
      </c>
      <c r="J5" s="6" t="s">
        <v>59</v>
      </c>
      <c r="K5" s="7">
        <v>10</v>
      </c>
      <c r="L5" s="8">
        <v>30</v>
      </c>
      <c r="M5" s="18">
        <v>1</v>
      </c>
      <c r="N5" s="9" t="s">
        <v>17</v>
      </c>
      <c r="O5" s="9">
        <v>20</v>
      </c>
      <c r="P5" s="10">
        <v>1</v>
      </c>
      <c r="Q5" s="9" t="s">
        <v>17</v>
      </c>
      <c r="R5" s="9">
        <v>15</v>
      </c>
      <c r="S5" s="13">
        <v>0.2445021697307998</v>
      </c>
      <c r="T5" s="2">
        <v>10</v>
      </c>
      <c r="U5" s="7">
        <v>16</v>
      </c>
      <c r="V5" s="7">
        <v>10</v>
      </c>
      <c r="W5" s="8">
        <f t="shared" si="0"/>
        <v>91</v>
      </c>
      <c r="X5" s="6" t="s">
        <v>28</v>
      </c>
      <c r="Y5" s="7" t="s">
        <v>29</v>
      </c>
      <c r="Z5" s="7">
        <v>3</v>
      </c>
      <c r="AA5" s="7">
        <v>3</v>
      </c>
      <c r="AB5" s="8">
        <v>92</v>
      </c>
      <c r="AC5" s="63" t="s">
        <v>24</v>
      </c>
      <c r="AD5" s="146" t="s">
        <v>165</v>
      </c>
    </row>
    <row r="6" spans="1:30" s="1" customFormat="1" x14ac:dyDescent="0.3">
      <c r="A6" s="62" t="s">
        <v>41</v>
      </c>
      <c r="B6" s="2" t="s">
        <v>32</v>
      </c>
      <c r="C6" s="3">
        <v>0.96599999999999997</v>
      </c>
      <c r="D6" s="2" t="s">
        <v>18</v>
      </c>
      <c r="E6" s="2">
        <v>10</v>
      </c>
      <c r="F6" s="4">
        <v>0.56390977443609025</v>
      </c>
      <c r="G6" s="2" t="s">
        <v>52</v>
      </c>
      <c r="H6" s="2">
        <v>7</v>
      </c>
      <c r="I6" s="5">
        <v>24</v>
      </c>
      <c r="J6" s="6" t="s">
        <v>59</v>
      </c>
      <c r="K6" s="7">
        <v>10</v>
      </c>
      <c r="L6" s="8">
        <v>27</v>
      </c>
      <c r="M6" s="18">
        <v>0.98022131659646217</v>
      </c>
      <c r="N6" s="9" t="s">
        <v>17</v>
      </c>
      <c r="O6" s="9">
        <v>20</v>
      </c>
      <c r="P6" s="10">
        <v>1</v>
      </c>
      <c r="Q6" s="9" t="s">
        <v>17</v>
      </c>
      <c r="R6" s="9">
        <v>15</v>
      </c>
      <c r="S6" s="13">
        <v>0.22236067384977526</v>
      </c>
      <c r="T6" s="2">
        <v>3</v>
      </c>
      <c r="U6" s="7">
        <v>23</v>
      </c>
      <c r="V6" s="7">
        <v>10</v>
      </c>
      <c r="W6" s="8">
        <f t="shared" si="0"/>
        <v>95</v>
      </c>
      <c r="X6" s="6" t="s">
        <v>28</v>
      </c>
      <c r="Y6" s="7" t="s">
        <v>29</v>
      </c>
      <c r="Z6" s="7">
        <v>2</v>
      </c>
      <c r="AA6" s="7">
        <v>4</v>
      </c>
      <c r="AB6" s="8">
        <v>92</v>
      </c>
      <c r="AC6" s="61" t="s">
        <v>25</v>
      </c>
      <c r="AD6" s="146" t="s">
        <v>165</v>
      </c>
    </row>
    <row r="7" spans="1:30" s="1" customFormat="1" x14ac:dyDescent="0.3">
      <c r="A7" s="62" t="s">
        <v>42</v>
      </c>
      <c r="B7" s="2" t="s">
        <v>32</v>
      </c>
      <c r="C7" s="3">
        <v>0.96199999999999997</v>
      </c>
      <c r="D7" s="2" t="s">
        <v>18</v>
      </c>
      <c r="E7" s="2">
        <v>10</v>
      </c>
      <c r="F7" s="4">
        <v>0.38</v>
      </c>
      <c r="G7" s="11" t="s">
        <v>53</v>
      </c>
      <c r="H7" s="2">
        <v>3</v>
      </c>
      <c r="I7" s="5">
        <v>48</v>
      </c>
      <c r="J7" s="6" t="s">
        <v>59</v>
      </c>
      <c r="K7" s="7">
        <v>10</v>
      </c>
      <c r="L7" s="8">
        <v>23</v>
      </c>
      <c r="M7" s="18">
        <v>0.96</v>
      </c>
      <c r="N7" s="9" t="s">
        <v>17</v>
      </c>
      <c r="O7" s="9">
        <v>20</v>
      </c>
      <c r="P7" s="10">
        <v>1</v>
      </c>
      <c r="Q7" s="9" t="s">
        <v>17</v>
      </c>
      <c r="R7" s="9">
        <v>15</v>
      </c>
      <c r="S7" s="13">
        <v>0.22500000000000001</v>
      </c>
      <c r="T7" s="2">
        <v>4</v>
      </c>
      <c r="U7" s="7">
        <v>22</v>
      </c>
      <c r="V7" s="7">
        <v>7</v>
      </c>
      <c r="W7" s="8">
        <f t="shared" si="0"/>
        <v>87</v>
      </c>
      <c r="X7" s="6" t="s">
        <v>28</v>
      </c>
      <c r="Y7" s="7" t="s">
        <v>29</v>
      </c>
      <c r="Z7" s="7">
        <v>7</v>
      </c>
      <c r="AA7" s="12" t="s">
        <v>58</v>
      </c>
      <c r="AB7" s="19" t="s">
        <v>58</v>
      </c>
      <c r="AC7" s="64" t="s">
        <v>58</v>
      </c>
      <c r="AD7" s="146" t="s">
        <v>165</v>
      </c>
    </row>
    <row r="8" spans="1:30" s="1" customFormat="1" x14ac:dyDescent="0.3">
      <c r="A8" s="62" t="s">
        <v>43</v>
      </c>
      <c r="B8" s="2" t="s">
        <v>32</v>
      </c>
      <c r="C8" s="13">
        <v>1</v>
      </c>
      <c r="D8" s="2" t="s">
        <v>18</v>
      </c>
      <c r="E8" s="2">
        <v>10</v>
      </c>
      <c r="F8" s="4">
        <v>0.53409090909090906</v>
      </c>
      <c r="G8" s="2" t="s">
        <v>52</v>
      </c>
      <c r="H8" s="2">
        <v>7</v>
      </c>
      <c r="I8" s="5">
        <v>45</v>
      </c>
      <c r="J8" s="6" t="s">
        <v>59</v>
      </c>
      <c r="K8" s="7">
        <v>10</v>
      </c>
      <c r="L8" s="8">
        <v>27</v>
      </c>
      <c r="M8" s="18">
        <v>1</v>
      </c>
      <c r="N8" s="9" t="s">
        <v>17</v>
      </c>
      <c r="O8" s="9">
        <v>20</v>
      </c>
      <c r="P8" s="10">
        <v>0.9</v>
      </c>
      <c r="Q8" s="9" t="s">
        <v>56</v>
      </c>
      <c r="R8" s="9">
        <v>10.5</v>
      </c>
      <c r="S8" s="13">
        <v>0.24047165619074831</v>
      </c>
      <c r="T8" s="2">
        <v>9</v>
      </c>
      <c r="U8" s="7">
        <v>17</v>
      </c>
      <c r="V8" s="7">
        <v>10</v>
      </c>
      <c r="W8" s="8">
        <f t="shared" si="0"/>
        <v>84.5</v>
      </c>
      <c r="X8" s="6" t="s">
        <v>28</v>
      </c>
      <c r="Y8" s="7" t="s">
        <v>29</v>
      </c>
      <c r="Z8" s="7">
        <v>9</v>
      </c>
      <c r="AA8" s="7">
        <v>6</v>
      </c>
      <c r="AB8" s="8">
        <v>84.986486486486484</v>
      </c>
      <c r="AC8" s="64" t="s">
        <v>58</v>
      </c>
      <c r="AD8" s="146" t="s">
        <v>165</v>
      </c>
    </row>
    <row r="9" spans="1:30" s="1" customFormat="1" x14ac:dyDescent="0.3">
      <c r="A9" s="62" t="s">
        <v>44</v>
      </c>
      <c r="B9" s="2" t="s">
        <v>32</v>
      </c>
      <c r="C9" s="14">
        <v>1</v>
      </c>
      <c r="D9" s="2" t="s">
        <v>18</v>
      </c>
      <c r="E9" s="11">
        <v>10</v>
      </c>
      <c r="F9" s="4">
        <v>1</v>
      </c>
      <c r="G9" s="4" t="s">
        <v>20</v>
      </c>
      <c r="H9" s="2">
        <v>10</v>
      </c>
      <c r="I9" s="5">
        <v>45</v>
      </c>
      <c r="J9" s="15" t="s">
        <v>26</v>
      </c>
      <c r="K9" s="8">
        <v>10</v>
      </c>
      <c r="L9" s="8">
        <v>30</v>
      </c>
      <c r="M9" s="18">
        <v>1</v>
      </c>
      <c r="N9" s="9" t="s">
        <v>17</v>
      </c>
      <c r="O9" s="9">
        <v>20</v>
      </c>
      <c r="P9" s="10">
        <v>1</v>
      </c>
      <c r="Q9" s="9" t="s">
        <v>17</v>
      </c>
      <c r="R9" s="9">
        <v>15</v>
      </c>
      <c r="S9" s="13">
        <v>0.27620709523809522</v>
      </c>
      <c r="T9" s="2">
        <v>13</v>
      </c>
      <c r="U9" s="7">
        <v>13</v>
      </c>
      <c r="V9" s="7">
        <v>10</v>
      </c>
      <c r="W9" s="8">
        <f t="shared" si="0"/>
        <v>88</v>
      </c>
      <c r="X9" s="6" t="s">
        <v>28</v>
      </c>
      <c r="Y9" s="7" t="s">
        <v>29</v>
      </c>
      <c r="Z9" s="7">
        <v>5</v>
      </c>
      <c r="AA9" s="7">
        <v>10</v>
      </c>
      <c r="AB9" s="8">
        <v>78.141999999999996</v>
      </c>
      <c r="AC9" s="45" t="s">
        <v>25</v>
      </c>
      <c r="AD9" s="146" t="s">
        <v>165</v>
      </c>
    </row>
    <row r="10" spans="1:30" s="1" customFormat="1" x14ac:dyDescent="0.3">
      <c r="A10" s="62" t="s">
        <v>45</v>
      </c>
      <c r="B10" s="2" t="s">
        <v>32</v>
      </c>
      <c r="C10" s="3">
        <v>0.99299999999999999</v>
      </c>
      <c r="D10" s="2" t="s">
        <v>18</v>
      </c>
      <c r="E10" s="2">
        <v>10</v>
      </c>
      <c r="F10" s="4">
        <v>0.59541984732824427</v>
      </c>
      <c r="G10" s="2" t="s">
        <v>20</v>
      </c>
      <c r="H10" s="2">
        <v>10</v>
      </c>
      <c r="I10" s="5">
        <v>32</v>
      </c>
      <c r="J10" s="6" t="s">
        <v>59</v>
      </c>
      <c r="K10" s="7">
        <v>10</v>
      </c>
      <c r="L10" s="8">
        <v>30</v>
      </c>
      <c r="M10" s="18">
        <v>0.99407501452557734</v>
      </c>
      <c r="N10" s="9" t="s">
        <v>17</v>
      </c>
      <c r="O10" s="9">
        <v>20</v>
      </c>
      <c r="P10" s="10">
        <v>1</v>
      </c>
      <c r="Q10" s="9" t="s">
        <v>17</v>
      </c>
      <c r="R10" s="9">
        <v>15</v>
      </c>
      <c r="S10" s="13">
        <v>0.27144695077424924</v>
      </c>
      <c r="T10" s="2">
        <v>12</v>
      </c>
      <c r="U10" s="7">
        <v>14</v>
      </c>
      <c r="V10" s="7">
        <v>10</v>
      </c>
      <c r="W10" s="8">
        <f t="shared" si="0"/>
        <v>89</v>
      </c>
      <c r="X10" s="6" t="s">
        <v>28</v>
      </c>
      <c r="Y10" s="7" t="s">
        <v>29</v>
      </c>
      <c r="Z10" s="7">
        <v>4</v>
      </c>
      <c r="AA10" s="7">
        <v>9</v>
      </c>
      <c r="AB10" s="8">
        <v>83</v>
      </c>
      <c r="AC10" s="61" t="s">
        <v>25</v>
      </c>
      <c r="AD10" s="146" t="s">
        <v>165</v>
      </c>
    </row>
    <row r="11" spans="1:30" s="1" customFormat="1" x14ac:dyDescent="0.3">
      <c r="A11" s="62" t="s">
        <v>46</v>
      </c>
      <c r="B11" s="2" t="s">
        <v>32</v>
      </c>
      <c r="C11" s="3">
        <v>0.94199999999999995</v>
      </c>
      <c r="D11" s="2" t="s">
        <v>19</v>
      </c>
      <c r="E11" s="2">
        <v>7</v>
      </c>
      <c r="F11" s="4">
        <v>0.48349056603773582</v>
      </c>
      <c r="G11" s="11" t="s">
        <v>54</v>
      </c>
      <c r="H11" s="2">
        <v>5</v>
      </c>
      <c r="I11" s="5">
        <v>16</v>
      </c>
      <c r="J11" s="6" t="s">
        <v>59</v>
      </c>
      <c r="K11" s="7">
        <v>10</v>
      </c>
      <c r="L11" s="8">
        <v>22</v>
      </c>
      <c r="M11" s="18">
        <v>0.99589505804276257</v>
      </c>
      <c r="N11" s="9" t="s">
        <v>17</v>
      </c>
      <c r="O11" s="9">
        <v>20</v>
      </c>
      <c r="P11" s="10">
        <v>1</v>
      </c>
      <c r="Q11" s="9" t="s">
        <v>17</v>
      </c>
      <c r="R11" s="9">
        <v>15</v>
      </c>
      <c r="S11" s="13">
        <v>0.23599883830877791</v>
      </c>
      <c r="T11" s="2">
        <v>7</v>
      </c>
      <c r="U11" s="7">
        <v>19</v>
      </c>
      <c r="V11" s="7">
        <v>10</v>
      </c>
      <c r="W11" s="8">
        <f t="shared" si="0"/>
        <v>86</v>
      </c>
      <c r="X11" s="6" t="s">
        <v>28</v>
      </c>
      <c r="Y11" s="7" t="s">
        <v>29</v>
      </c>
      <c r="Z11" s="7">
        <v>8</v>
      </c>
      <c r="AA11" s="7">
        <v>7</v>
      </c>
      <c r="AB11" s="8">
        <v>83.5</v>
      </c>
      <c r="AC11" s="61" t="s">
        <v>25</v>
      </c>
      <c r="AD11" s="146" t="s">
        <v>165</v>
      </c>
    </row>
    <row r="12" spans="1:30" s="1" customFormat="1" ht="15" thickBot="1" x14ac:dyDescent="0.35">
      <c r="A12" s="65" t="s">
        <v>47</v>
      </c>
      <c r="B12" s="50" t="s">
        <v>32</v>
      </c>
      <c r="C12" s="66">
        <v>1</v>
      </c>
      <c r="D12" s="50" t="s">
        <v>18</v>
      </c>
      <c r="E12" s="50">
        <v>10</v>
      </c>
      <c r="F12" s="56">
        <v>0.546875</v>
      </c>
      <c r="G12" s="50" t="s">
        <v>52</v>
      </c>
      <c r="H12" s="50">
        <v>7</v>
      </c>
      <c r="I12" s="67">
        <v>48</v>
      </c>
      <c r="J12" s="53" t="s">
        <v>59</v>
      </c>
      <c r="K12" s="59">
        <v>10</v>
      </c>
      <c r="L12" s="55">
        <v>27</v>
      </c>
      <c r="M12" s="68">
        <v>1</v>
      </c>
      <c r="N12" s="57" t="s">
        <v>17</v>
      </c>
      <c r="O12" s="57">
        <v>20</v>
      </c>
      <c r="P12" s="58">
        <v>0.85</v>
      </c>
      <c r="Q12" s="57" t="s">
        <v>57</v>
      </c>
      <c r="R12" s="57">
        <v>7.5</v>
      </c>
      <c r="S12" s="69">
        <v>0.21509235913841862</v>
      </c>
      <c r="T12" s="50">
        <v>1</v>
      </c>
      <c r="U12" s="59">
        <v>25</v>
      </c>
      <c r="V12" s="59">
        <v>7</v>
      </c>
      <c r="W12" s="55">
        <f t="shared" si="0"/>
        <v>86.5</v>
      </c>
      <c r="X12" s="53" t="s">
        <v>28</v>
      </c>
      <c r="Y12" s="59" t="s">
        <v>29</v>
      </c>
      <c r="Z12" s="59">
        <v>7</v>
      </c>
      <c r="AA12" s="59">
        <v>8</v>
      </c>
      <c r="AB12" s="55">
        <v>83</v>
      </c>
      <c r="AC12" s="70" t="s">
        <v>25</v>
      </c>
      <c r="AD12" s="146" t="s">
        <v>165</v>
      </c>
    </row>
    <row r="13" spans="1:30" x14ac:dyDescent="0.3">
      <c r="A13" s="33" t="s">
        <v>38</v>
      </c>
      <c r="B13" s="34" t="s">
        <v>22</v>
      </c>
      <c r="C13" s="35">
        <v>1</v>
      </c>
      <c r="D13" s="36" t="s">
        <v>18</v>
      </c>
      <c r="E13" s="36">
        <v>10</v>
      </c>
      <c r="F13" s="37">
        <v>0.64814814814814814</v>
      </c>
      <c r="G13" s="36" t="s">
        <v>20</v>
      </c>
      <c r="H13" s="36">
        <v>10</v>
      </c>
      <c r="I13" s="38" t="s">
        <v>59</v>
      </c>
      <c r="J13" s="39">
        <v>10</v>
      </c>
      <c r="K13" s="40">
        <v>10</v>
      </c>
      <c r="L13" s="40">
        <f t="shared" ref="L13:L22" si="1">E13+H13+K13</f>
        <v>30</v>
      </c>
      <c r="M13" s="41">
        <v>0.95</v>
      </c>
      <c r="N13" s="42" t="s">
        <v>62</v>
      </c>
      <c r="O13" s="42">
        <v>20</v>
      </c>
      <c r="P13" s="43">
        <v>1</v>
      </c>
      <c r="Q13" s="42" t="s">
        <v>17</v>
      </c>
      <c r="R13" s="42">
        <v>15</v>
      </c>
      <c r="S13" s="37">
        <v>0.26050442749047625</v>
      </c>
      <c r="T13" s="34">
        <v>1</v>
      </c>
      <c r="U13" s="34">
        <v>25</v>
      </c>
      <c r="V13" s="34">
        <v>10</v>
      </c>
      <c r="W13" s="40">
        <f t="shared" ref="W13:W22" si="2">L13+O13+R13+U13+V13</f>
        <v>100</v>
      </c>
      <c r="X13" s="38" t="s">
        <v>33</v>
      </c>
      <c r="Y13" s="34" t="s">
        <v>34</v>
      </c>
      <c r="Z13" s="34">
        <v>1</v>
      </c>
      <c r="AA13" s="34">
        <v>1</v>
      </c>
      <c r="AB13" s="34">
        <v>98</v>
      </c>
      <c r="AC13" s="44" t="s">
        <v>25</v>
      </c>
      <c r="AD13" s="146" t="s">
        <v>165</v>
      </c>
    </row>
    <row r="14" spans="1:30" x14ac:dyDescent="0.3">
      <c r="A14" s="29" t="s">
        <v>67</v>
      </c>
      <c r="B14" s="21" t="s">
        <v>22</v>
      </c>
      <c r="C14" s="30">
        <v>0.96399999999999997</v>
      </c>
      <c r="D14" s="2" t="s">
        <v>18</v>
      </c>
      <c r="E14" s="2">
        <v>10</v>
      </c>
      <c r="F14" s="23">
        <v>0.66666666666666663</v>
      </c>
      <c r="G14" s="2" t="s">
        <v>20</v>
      </c>
      <c r="H14" s="2">
        <v>10</v>
      </c>
      <c r="I14" s="6" t="s">
        <v>59</v>
      </c>
      <c r="J14" s="24">
        <v>10</v>
      </c>
      <c r="K14" s="8">
        <v>10</v>
      </c>
      <c r="L14" s="8">
        <f t="shared" si="1"/>
        <v>30</v>
      </c>
      <c r="M14" s="4">
        <v>1</v>
      </c>
      <c r="N14" s="9" t="s">
        <v>62</v>
      </c>
      <c r="O14" s="9">
        <v>20</v>
      </c>
      <c r="P14" s="10">
        <v>1</v>
      </c>
      <c r="Q14" s="9" t="s">
        <v>56</v>
      </c>
      <c r="R14" s="9">
        <v>10.5</v>
      </c>
      <c r="S14" s="23">
        <v>0.26377727399517981</v>
      </c>
      <c r="T14" s="7">
        <v>2</v>
      </c>
      <c r="U14" s="7">
        <v>24</v>
      </c>
      <c r="V14" s="7">
        <v>10</v>
      </c>
      <c r="W14" s="25">
        <f t="shared" si="2"/>
        <v>94.5</v>
      </c>
      <c r="X14" s="6" t="s">
        <v>33</v>
      </c>
      <c r="Y14" s="7" t="s">
        <v>34</v>
      </c>
      <c r="Z14" s="7">
        <v>2</v>
      </c>
      <c r="AA14" s="7">
        <v>7</v>
      </c>
      <c r="AB14" s="7">
        <v>87</v>
      </c>
      <c r="AC14" s="45" t="s">
        <v>25</v>
      </c>
      <c r="AD14" s="146" t="s">
        <v>165</v>
      </c>
    </row>
    <row r="15" spans="1:30" x14ac:dyDescent="0.3">
      <c r="A15" s="29" t="s">
        <v>64</v>
      </c>
      <c r="B15" s="21" t="s">
        <v>22</v>
      </c>
      <c r="C15" s="30">
        <v>0.96799999999999997</v>
      </c>
      <c r="D15" s="2" t="s">
        <v>18</v>
      </c>
      <c r="E15" s="11">
        <v>10</v>
      </c>
      <c r="F15" s="23">
        <v>0.63265306122448983</v>
      </c>
      <c r="G15" s="2" t="s">
        <v>20</v>
      </c>
      <c r="H15" s="2">
        <v>10</v>
      </c>
      <c r="I15" s="6" t="s">
        <v>59</v>
      </c>
      <c r="J15" s="24">
        <v>10</v>
      </c>
      <c r="K15" s="8">
        <v>10</v>
      </c>
      <c r="L15" s="8">
        <f t="shared" si="1"/>
        <v>30</v>
      </c>
      <c r="M15" s="4">
        <v>0.97</v>
      </c>
      <c r="N15" s="9" t="s">
        <v>62</v>
      </c>
      <c r="O15" s="9">
        <v>20</v>
      </c>
      <c r="P15" s="10">
        <v>1</v>
      </c>
      <c r="Q15" s="9" t="s">
        <v>17</v>
      </c>
      <c r="R15" s="9">
        <v>15</v>
      </c>
      <c r="S15" s="23">
        <v>0.27434431681227806</v>
      </c>
      <c r="T15" s="7">
        <v>5</v>
      </c>
      <c r="U15" s="7">
        <v>21</v>
      </c>
      <c r="V15" s="7">
        <v>7</v>
      </c>
      <c r="W15" s="8">
        <f t="shared" si="2"/>
        <v>93</v>
      </c>
      <c r="X15" s="6" t="s">
        <v>28</v>
      </c>
      <c r="Y15" s="7" t="s">
        <v>29</v>
      </c>
      <c r="Z15" s="7">
        <v>3</v>
      </c>
      <c r="AA15" s="7">
        <v>4</v>
      </c>
      <c r="AB15" s="7">
        <v>90</v>
      </c>
      <c r="AC15" s="45" t="s">
        <v>25</v>
      </c>
      <c r="AD15" s="146" t="s">
        <v>165</v>
      </c>
    </row>
    <row r="16" spans="1:30" x14ac:dyDescent="0.3">
      <c r="A16" s="29" t="s">
        <v>69</v>
      </c>
      <c r="B16" s="21" t="s">
        <v>22</v>
      </c>
      <c r="C16" s="30">
        <v>0.96499999999999997</v>
      </c>
      <c r="D16" s="2" t="s">
        <v>18</v>
      </c>
      <c r="E16" s="2">
        <v>10</v>
      </c>
      <c r="F16" s="23">
        <v>0.67368421052631577</v>
      </c>
      <c r="G16" s="2" t="s">
        <v>20</v>
      </c>
      <c r="H16" s="2">
        <v>10</v>
      </c>
      <c r="I16" s="6" t="s">
        <v>59</v>
      </c>
      <c r="J16" s="24">
        <v>10</v>
      </c>
      <c r="K16" s="8">
        <v>10</v>
      </c>
      <c r="L16" s="8">
        <f t="shared" si="1"/>
        <v>30</v>
      </c>
      <c r="M16" s="4">
        <v>0.9</v>
      </c>
      <c r="N16" s="9" t="s">
        <v>27</v>
      </c>
      <c r="O16" s="9">
        <v>14</v>
      </c>
      <c r="P16" s="10">
        <v>0.9</v>
      </c>
      <c r="Q16" s="9" t="s">
        <v>56</v>
      </c>
      <c r="R16" s="9">
        <v>10.5</v>
      </c>
      <c r="S16" s="23">
        <v>0.26979038655369081</v>
      </c>
      <c r="T16" s="7">
        <v>4</v>
      </c>
      <c r="U16" s="7">
        <v>22</v>
      </c>
      <c r="V16" s="7">
        <v>10</v>
      </c>
      <c r="W16" s="8">
        <f t="shared" si="2"/>
        <v>86.5</v>
      </c>
      <c r="X16" s="6" t="s">
        <v>28</v>
      </c>
      <c r="Y16" s="7" t="s">
        <v>29</v>
      </c>
      <c r="Z16" s="7">
        <v>4</v>
      </c>
      <c r="AA16" s="7">
        <v>10</v>
      </c>
      <c r="AB16" s="7">
        <v>84</v>
      </c>
      <c r="AC16" s="45" t="s">
        <v>25</v>
      </c>
      <c r="AD16" s="146" t="s">
        <v>165</v>
      </c>
    </row>
    <row r="17" spans="1:30" x14ac:dyDescent="0.3">
      <c r="A17" s="29" t="s">
        <v>65</v>
      </c>
      <c r="B17" s="21" t="s">
        <v>22</v>
      </c>
      <c r="C17" s="30">
        <v>0.96599999999999997</v>
      </c>
      <c r="D17" s="2" t="s">
        <v>18</v>
      </c>
      <c r="E17" s="11">
        <v>10</v>
      </c>
      <c r="F17" s="23">
        <v>0.59615384615384615</v>
      </c>
      <c r="G17" s="11" t="s">
        <v>52</v>
      </c>
      <c r="H17" s="2">
        <v>7</v>
      </c>
      <c r="I17" s="6" t="s">
        <v>59</v>
      </c>
      <c r="J17" s="24">
        <v>10</v>
      </c>
      <c r="K17" s="8">
        <v>10</v>
      </c>
      <c r="L17" s="8">
        <f t="shared" si="1"/>
        <v>27</v>
      </c>
      <c r="M17" s="4">
        <v>0.99</v>
      </c>
      <c r="N17" s="9" t="s">
        <v>62</v>
      </c>
      <c r="O17" s="9">
        <v>20</v>
      </c>
      <c r="P17" s="10">
        <v>1</v>
      </c>
      <c r="Q17" s="9" t="s">
        <v>17</v>
      </c>
      <c r="R17" s="9">
        <v>15</v>
      </c>
      <c r="S17" s="23">
        <v>0.29485645373176311</v>
      </c>
      <c r="T17" s="7">
        <v>13</v>
      </c>
      <c r="U17" s="7">
        <v>13</v>
      </c>
      <c r="V17" s="7">
        <v>10</v>
      </c>
      <c r="W17" s="8">
        <f t="shared" si="2"/>
        <v>85</v>
      </c>
      <c r="X17" s="6" t="s">
        <v>28</v>
      </c>
      <c r="Y17" s="7" t="s">
        <v>29</v>
      </c>
      <c r="Z17" s="7">
        <v>5</v>
      </c>
      <c r="AA17" s="7">
        <v>5</v>
      </c>
      <c r="AB17" s="7">
        <v>89</v>
      </c>
      <c r="AC17" s="46" t="s">
        <v>24</v>
      </c>
      <c r="AD17" s="146" t="s">
        <v>165</v>
      </c>
    </row>
    <row r="18" spans="1:30" x14ac:dyDescent="0.3">
      <c r="A18" s="29" t="s">
        <v>66</v>
      </c>
      <c r="B18" s="21" t="s">
        <v>22</v>
      </c>
      <c r="C18" s="31">
        <v>1</v>
      </c>
      <c r="D18" s="2" t="s">
        <v>18</v>
      </c>
      <c r="E18" s="11">
        <v>10</v>
      </c>
      <c r="F18" s="23">
        <v>0.53982300884955747</v>
      </c>
      <c r="G18" s="11" t="s">
        <v>52</v>
      </c>
      <c r="H18" s="2">
        <v>7</v>
      </c>
      <c r="I18" s="6" t="s">
        <v>59</v>
      </c>
      <c r="J18" s="24">
        <v>10</v>
      </c>
      <c r="K18" s="8">
        <v>10</v>
      </c>
      <c r="L18" s="8">
        <f t="shared" si="1"/>
        <v>27</v>
      </c>
      <c r="M18" s="4">
        <v>1</v>
      </c>
      <c r="N18" s="9" t="s">
        <v>62</v>
      </c>
      <c r="O18" s="9">
        <v>20</v>
      </c>
      <c r="P18" s="10">
        <v>1</v>
      </c>
      <c r="Q18" s="9" t="s">
        <v>17</v>
      </c>
      <c r="R18" s="9">
        <v>15</v>
      </c>
      <c r="S18" s="23">
        <v>0.29652915816326531</v>
      </c>
      <c r="T18" s="7">
        <v>15</v>
      </c>
      <c r="U18" s="7">
        <v>11</v>
      </c>
      <c r="V18" s="7">
        <v>10</v>
      </c>
      <c r="W18" s="8">
        <f t="shared" si="2"/>
        <v>83</v>
      </c>
      <c r="X18" s="6" t="s">
        <v>63</v>
      </c>
      <c r="Y18" s="21" t="s">
        <v>30</v>
      </c>
      <c r="Z18" s="7">
        <v>6</v>
      </c>
      <c r="AA18" s="7">
        <v>6</v>
      </c>
      <c r="AB18" s="7">
        <v>89</v>
      </c>
      <c r="AC18" s="46" t="s">
        <v>24</v>
      </c>
      <c r="AD18" s="146" t="s">
        <v>165</v>
      </c>
    </row>
    <row r="19" spans="1:30" x14ac:dyDescent="0.3">
      <c r="A19" s="29" t="s">
        <v>70</v>
      </c>
      <c r="B19" s="21" t="s">
        <v>22</v>
      </c>
      <c r="C19" s="31">
        <v>0.996</v>
      </c>
      <c r="D19" s="2" t="s">
        <v>18</v>
      </c>
      <c r="E19" s="11">
        <v>10</v>
      </c>
      <c r="F19" s="23">
        <v>0.54545454545454541</v>
      </c>
      <c r="G19" s="11" t="s">
        <v>52</v>
      </c>
      <c r="H19" s="2">
        <v>7</v>
      </c>
      <c r="I19" s="6" t="s">
        <v>59</v>
      </c>
      <c r="J19" s="24">
        <v>10</v>
      </c>
      <c r="K19" s="8">
        <v>10</v>
      </c>
      <c r="L19" s="8">
        <f t="shared" si="1"/>
        <v>27</v>
      </c>
      <c r="M19" s="4">
        <v>0.9</v>
      </c>
      <c r="N19" s="9" t="s">
        <v>27</v>
      </c>
      <c r="O19" s="9">
        <v>14</v>
      </c>
      <c r="P19" s="10">
        <v>1</v>
      </c>
      <c r="Q19" s="9" t="s">
        <v>17</v>
      </c>
      <c r="R19" s="9">
        <v>15</v>
      </c>
      <c r="S19" s="23">
        <v>0.28826903283602801</v>
      </c>
      <c r="T19" s="7">
        <v>9</v>
      </c>
      <c r="U19" s="7">
        <v>17</v>
      </c>
      <c r="V19" s="7">
        <v>10</v>
      </c>
      <c r="W19" s="8">
        <f t="shared" si="2"/>
        <v>83</v>
      </c>
      <c r="X19" s="6" t="s">
        <v>63</v>
      </c>
      <c r="Y19" s="7" t="s">
        <v>30</v>
      </c>
      <c r="Z19" s="7">
        <v>6</v>
      </c>
      <c r="AA19" s="7">
        <v>12</v>
      </c>
      <c r="AB19" s="7">
        <v>81</v>
      </c>
      <c r="AC19" s="45" t="s">
        <v>25</v>
      </c>
      <c r="AD19" s="146" t="s">
        <v>165</v>
      </c>
    </row>
    <row r="20" spans="1:30" x14ac:dyDescent="0.3">
      <c r="A20" s="29" t="s">
        <v>68</v>
      </c>
      <c r="B20" s="21" t="s">
        <v>22</v>
      </c>
      <c r="C20" s="32">
        <v>0.98599999999999999</v>
      </c>
      <c r="D20" s="2" t="s">
        <v>18</v>
      </c>
      <c r="E20" s="11">
        <v>10</v>
      </c>
      <c r="F20" s="23">
        <v>0.56425702811244982</v>
      </c>
      <c r="G20" s="11" t="s">
        <v>52</v>
      </c>
      <c r="H20" s="2">
        <v>7</v>
      </c>
      <c r="I20" s="6" t="s">
        <v>59</v>
      </c>
      <c r="J20" s="24">
        <v>10</v>
      </c>
      <c r="K20" s="8">
        <v>10</v>
      </c>
      <c r="L20" s="8">
        <f t="shared" si="1"/>
        <v>27</v>
      </c>
      <c r="M20" s="4">
        <v>0.95</v>
      </c>
      <c r="N20" s="9" t="s">
        <v>62</v>
      </c>
      <c r="O20" s="9">
        <v>20</v>
      </c>
      <c r="P20" s="10">
        <v>1</v>
      </c>
      <c r="Q20" s="9" t="s">
        <v>17</v>
      </c>
      <c r="R20" s="9">
        <v>15</v>
      </c>
      <c r="S20" s="23">
        <v>0.30000618573122917</v>
      </c>
      <c r="T20" s="7">
        <v>16</v>
      </c>
      <c r="U20" s="7">
        <v>10</v>
      </c>
      <c r="V20" s="7">
        <v>10</v>
      </c>
      <c r="W20" s="8">
        <f t="shared" si="2"/>
        <v>82</v>
      </c>
      <c r="X20" s="6" t="s">
        <v>63</v>
      </c>
      <c r="Y20" s="7" t="s">
        <v>30</v>
      </c>
      <c r="Z20" s="7">
        <v>8</v>
      </c>
      <c r="AA20" s="7">
        <v>9</v>
      </c>
      <c r="AB20" s="7">
        <v>84</v>
      </c>
      <c r="AC20" s="46" t="s">
        <v>24</v>
      </c>
      <c r="AD20" s="146" t="s">
        <v>165</v>
      </c>
    </row>
    <row r="21" spans="1:30" x14ac:dyDescent="0.3">
      <c r="A21" s="29" t="s">
        <v>71</v>
      </c>
      <c r="B21" s="21" t="s">
        <v>22</v>
      </c>
      <c r="C21" s="30">
        <v>0.96399999999999997</v>
      </c>
      <c r="D21" s="2" t="s">
        <v>18</v>
      </c>
      <c r="E21" s="11">
        <v>10</v>
      </c>
      <c r="F21" s="23">
        <v>0.67567567567567566</v>
      </c>
      <c r="G21" s="2" t="s">
        <v>20</v>
      </c>
      <c r="H21" s="2">
        <v>10</v>
      </c>
      <c r="I21" s="6" t="s">
        <v>59</v>
      </c>
      <c r="J21" s="24">
        <v>10</v>
      </c>
      <c r="K21" s="8">
        <v>10</v>
      </c>
      <c r="L21" s="8">
        <f t="shared" si="1"/>
        <v>30</v>
      </c>
      <c r="M21" s="4">
        <v>0.9</v>
      </c>
      <c r="N21" s="9" t="s">
        <v>27</v>
      </c>
      <c r="O21" s="9">
        <v>14</v>
      </c>
      <c r="P21" s="10">
        <v>0.9</v>
      </c>
      <c r="Q21" s="9" t="s">
        <v>56</v>
      </c>
      <c r="R21" s="9">
        <v>10.5</v>
      </c>
      <c r="S21" s="23">
        <v>0.2845783413928783</v>
      </c>
      <c r="T21" s="7">
        <v>7</v>
      </c>
      <c r="U21" s="7">
        <v>19</v>
      </c>
      <c r="V21" s="7">
        <v>7</v>
      </c>
      <c r="W21" s="8">
        <f t="shared" si="2"/>
        <v>80.5</v>
      </c>
      <c r="X21" s="6" t="s">
        <v>63</v>
      </c>
      <c r="Y21" s="7" t="s">
        <v>30</v>
      </c>
      <c r="Z21" s="7">
        <v>9</v>
      </c>
      <c r="AA21" s="7">
        <v>13</v>
      </c>
      <c r="AB21" s="7">
        <v>80</v>
      </c>
      <c r="AC21" s="45" t="s">
        <v>25</v>
      </c>
      <c r="AD21" s="146" t="s">
        <v>165</v>
      </c>
    </row>
    <row r="22" spans="1:30" ht="15" thickBot="1" x14ac:dyDescent="0.35">
      <c r="A22" s="47" t="s">
        <v>72</v>
      </c>
      <c r="B22" s="48" t="s">
        <v>22</v>
      </c>
      <c r="C22" s="49">
        <v>0.90400000000000003</v>
      </c>
      <c r="D22" s="50" t="s">
        <v>19</v>
      </c>
      <c r="E22" s="51">
        <v>7</v>
      </c>
      <c r="F22" s="52">
        <v>0.68786127167630062</v>
      </c>
      <c r="G22" s="50" t="s">
        <v>20</v>
      </c>
      <c r="H22" s="50">
        <v>10</v>
      </c>
      <c r="I22" s="53" t="s">
        <v>59</v>
      </c>
      <c r="J22" s="54">
        <v>10</v>
      </c>
      <c r="K22" s="55">
        <v>10</v>
      </c>
      <c r="L22" s="55">
        <f t="shared" si="1"/>
        <v>27</v>
      </c>
      <c r="M22" s="56">
        <v>0.89</v>
      </c>
      <c r="N22" s="57" t="s">
        <v>57</v>
      </c>
      <c r="O22" s="57">
        <v>10</v>
      </c>
      <c r="P22" s="58">
        <v>1</v>
      </c>
      <c r="Q22" s="57" t="s">
        <v>17</v>
      </c>
      <c r="R22" s="57">
        <v>15</v>
      </c>
      <c r="S22" s="52">
        <v>0.28623052992311204</v>
      </c>
      <c r="T22" s="59">
        <v>8</v>
      </c>
      <c r="U22" s="59">
        <v>18</v>
      </c>
      <c r="V22" s="59">
        <v>10</v>
      </c>
      <c r="W22" s="55">
        <f t="shared" si="2"/>
        <v>80</v>
      </c>
      <c r="X22" s="53" t="s">
        <v>63</v>
      </c>
      <c r="Y22" s="59" t="s">
        <v>30</v>
      </c>
      <c r="Z22" s="59">
        <v>10</v>
      </c>
      <c r="AA22" s="59">
        <v>2</v>
      </c>
      <c r="AB22" s="59">
        <v>95</v>
      </c>
      <c r="AC22" s="60" t="s">
        <v>24</v>
      </c>
      <c r="AD22" s="146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2992-7DF7-492C-86AA-2855AB910AA0}">
  <dimension ref="A1:AD20"/>
  <sheetViews>
    <sheetView tabSelected="1" zoomScale="70" zoomScaleNormal="70" workbookViewId="0">
      <pane ySplit="1" topLeftCell="A5" activePane="bottomLeft" state="frozen"/>
      <selection pane="bottomLeft" activeCell="G17" sqref="G17"/>
    </sheetView>
  </sheetViews>
  <sheetFormatPr defaultRowHeight="14.4" x14ac:dyDescent="0.3"/>
  <cols>
    <col min="1" max="1" width="53" customWidth="1"/>
    <col min="2" max="2" width="33.33203125" customWidth="1"/>
    <col min="7" max="7" width="19" customWidth="1"/>
    <col min="28" max="28" width="24.77734375" customWidth="1"/>
    <col min="29" max="29" width="21.5546875" style="122" customWidth="1"/>
  </cols>
  <sheetData>
    <row r="1" spans="1:30" s="122" customFormat="1" ht="72" x14ac:dyDescent="0.3">
      <c r="A1" s="123" t="s">
        <v>73</v>
      </c>
      <c r="B1" s="124" t="s">
        <v>74</v>
      </c>
      <c r="C1" s="124" t="s">
        <v>168</v>
      </c>
      <c r="D1" s="125" t="s">
        <v>2</v>
      </c>
      <c r="E1" s="125" t="s">
        <v>75</v>
      </c>
      <c r="F1" s="126" t="s">
        <v>76</v>
      </c>
      <c r="G1" s="126" t="s">
        <v>0</v>
      </c>
      <c r="H1" s="126" t="s">
        <v>77</v>
      </c>
      <c r="I1" s="127" t="s">
        <v>11</v>
      </c>
      <c r="J1" s="127" t="s">
        <v>1</v>
      </c>
      <c r="K1" s="127" t="s">
        <v>78</v>
      </c>
      <c r="L1" s="125" t="s">
        <v>12</v>
      </c>
      <c r="M1" s="133" t="s">
        <v>7</v>
      </c>
      <c r="N1" s="134" t="s">
        <v>3</v>
      </c>
      <c r="O1" s="134" t="s">
        <v>13</v>
      </c>
      <c r="P1" s="137" t="s">
        <v>4</v>
      </c>
      <c r="Q1" s="137" t="s">
        <v>8</v>
      </c>
      <c r="R1" s="137" t="s">
        <v>16</v>
      </c>
      <c r="S1" s="136" t="s">
        <v>5</v>
      </c>
      <c r="T1" s="136" t="s">
        <v>79</v>
      </c>
      <c r="U1" s="136" t="s">
        <v>14</v>
      </c>
      <c r="V1" s="135" t="s">
        <v>15</v>
      </c>
      <c r="W1" s="138" t="s">
        <v>9</v>
      </c>
      <c r="X1" s="153" t="s">
        <v>10</v>
      </c>
      <c r="Y1" s="154" t="s">
        <v>6</v>
      </c>
      <c r="Z1" s="155" t="s">
        <v>31</v>
      </c>
      <c r="AA1" s="156" t="s">
        <v>23</v>
      </c>
      <c r="AB1" s="156" t="s">
        <v>21</v>
      </c>
      <c r="AC1" s="132" t="s">
        <v>163</v>
      </c>
    </row>
    <row r="2" spans="1:30" ht="15.6" customHeight="1" thickBot="1" x14ac:dyDescent="0.35">
      <c r="A2" s="93" t="s">
        <v>80</v>
      </c>
      <c r="B2" s="94" t="s">
        <v>81</v>
      </c>
      <c r="C2" s="95">
        <v>96.1</v>
      </c>
      <c r="D2" s="94" t="s">
        <v>18</v>
      </c>
      <c r="E2" s="94">
        <v>10</v>
      </c>
      <c r="F2" s="96">
        <v>0.64</v>
      </c>
      <c r="G2" s="97" t="s">
        <v>20</v>
      </c>
      <c r="H2" s="94">
        <v>10</v>
      </c>
      <c r="I2" s="94">
        <v>80.3</v>
      </c>
      <c r="J2" s="98" t="s">
        <v>82</v>
      </c>
      <c r="K2" s="94">
        <v>9</v>
      </c>
      <c r="L2" s="99">
        <v>29</v>
      </c>
      <c r="M2" s="100">
        <v>0.81</v>
      </c>
      <c r="N2" s="97" t="s">
        <v>83</v>
      </c>
      <c r="O2" s="94">
        <v>6</v>
      </c>
      <c r="P2" s="100">
        <v>0.94</v>
      </c>
      <c r="Q2" s="94" t="s">
        <v>27</v>
      </c>
      <c r="R2" s="101">
        <v>11</v>
      </c>
      <c r="S2" s="100">
        <v>0.21</v>
      </c>
      <c r="T2" s="94" t="s">
        <v>84</v>
      </c>
      <c r="U2" s="97">
        <v>21</v>
      </c>
      <c r="V2" s="94">
        <v>10</v>
      </c>
      <c r="W2" s="102">
        <v>77</v>
      </c>
      <c r="X2" s="97" t="s">
        <v>85</v>
      </c>
      <c r="Y2" s="103" t="s">
        <v>30</v>
      </c>
      <c r="Z2" s="94">
        <v>21</v>
      </c>
      <c r="AA2" s="94">
        <v>71</v>
      </c>
      <c r="AB2" s="94">
        <v>12</v>
      </c>
      <c r="AC2" s="146" t="s">
        <v>166</v>
      </c>
    </row>
    <row r="3" spans="1:30" ht="15" thickBot="1" x14ac:dyDescent="0.35">
      <c r="A3" s="93" t="s">
        <v>86</v>
      </c>
      <c r="B3" s="94" t="s">
        <v>81</v>
      </c>
      <c r="C3" s="95">
        <v>96.7</v>
      </c>
      <c r="D3" s="94" t="s">
        <v>18</v>
      </c>
      <c r="E3" s="94">
        <v>10</v>
      </c>
      <c r="F3" s="96">
        <v>0.65</v>
      </c>
      <c r="G3" s="97" t="s">
        <v>20</v>
      </c>
      <c r="H3" s="94">
        <v>10</v>
      </c>
      <c r="I3" s="94">
        <v>74</v>
      </c>
      <c r="J3" s="98" t="s">
        <v>82</v>
      </c>
      <c r="K3" s="94">
        <v>9</v>
      </c>
      <c r="L3" s="99">
        <v>29</v>
      </c>
      <c r="M3" s="100">
        <v>0.99</v>
      </c>
      <c r="N3" s="97" t="s">
        <v>17</v>
      </c>
      <c r="O3" s="94">
        <v>20</v>
      </c>
      <c r="P3" s="100">
        <v>0.94</v>
      </c>
      <c r="Q3" s="94" t="s">
        <v>27</v>
      </c>
      <c r="R3" s="101">
        <v>11</v>
      </c>
      <c r="S3" s="100">
        <v>0.26</v>
      </c>
      <c r="T3" s="94" t="s">
        <v>87</v>
      </c>
      <c r="U3" s="97">
        <v>16</v>
      </c>
      <c r="V3" s="94">
        <v>9</v>
      </c>
      <c r="W3" s="102">
        <v>85</v>
      </c>
      <c r="X3" s="97" t="s">
        <v>85</v>
      </c>
      <c r="Y3" s="103" t="s">
        <v>30</v>
      </c>
      <c r="Z3" s="94">
        <v>14</v>
      </c>
      <c r="AA3" s="94">
        <v>75</v>
      </c>
      <c r="AB3" s="94">
        <v>7</v>
      </c>
      <c r="AC3" s="146" t="s">
        <v>166</v>
      </c>
    </row>
    <row r="4" spans="1:30" ht="15" thickBot="1" x14ac:dyDescent="0.35">
      <c r="A4" s="93" t="s">
        <v>88</v>
      </c>
      <c r="B4" s="94" t="s">
        <v>32</v>
      </c>
      <c r="C4" s="104">
        <v>79</v>
      </c>
      <c r="D4" s="94" t="s">
        <v>89</v>
      </c>
      <c r="E4" s="94">
        <v>0</v>
      </c>
      <c r="F4" s="96">
        <v>0.93</v>
      </c>
      <c r="G4" s="97" t="s">
        <v>20</v>
      </c>
      <c r="H4" s="94">
        <v>10</v>
      </c>
      <c r="I4" s="94">
        <v>0</v>
      </c>
      <c r="J4" s="98" t="s">
        <v>26</v>
      </c>
      <c r="K4" s="94">
        <v>10</v>
      </c>
      <c r="L4" s="99">
        <v>20</v>
      </c>
      <c r="M4" s="100">
        <v>1</v>
      </c>
      <c r="N4" s="97" t="s">
        <v>17</v>
      </c>
      <c r="O4" s="94">
        <v>20</v>
      </c>
      <c r="P4" s="100">
        <v>1</v>
      </c>
      <c r="Q4" s="94" t="s">
        <v>17</v>
      </c>
      <c r="R4" s="101">
        <v>15</v>
      </c>
      <c r="S4" s="100">
        <v>0.21</v>
      </c>
      <c r="T4" s="94" t="s">
        <v>84</v>
      </c>
      <c r="U4" s="97">
        <v>21</v>
      </c>
      <c r="V4" s="94">
        <v>10</v>
      </c>
      <c r="W4" s="102">
        <v>86</v>
      </c>
      <c r="X4" s="97" t="s">
        <v>28</v>
      </c>
      <c r="Y4" s="105" t="s">
        <v>29</v>
      </c>
      <c r="Z4" s="94">
        <v>12</v>
      </c>
      <c r="AA4" s="94" t="s">
        <v>107</v>
      </c>
      <c r="AB4" s="94" t="s">
        <v>107</v>
      </c>
      <c r="AC4" s="146" t="s">
        <v>166</v>
      </c>
    </row>
    <row r="5" spans="1:30" ht="15" thickBot="1" x14ac:dyDescent="0.35">
      <c r="A5" s="93" t="s">
        <v>90</v>
      </c>
      <c r="B5" s="94" t="s">
        <v>22</v>
      </c>
      <c r="C5" s="104">
        <v>60.8</v>
      </c>
      <c r="D5" s="94" t="s">
        <v>89</v>
      </c>
      <c r="E5" s="94">
        <v>0</v>
      </c>
      <c r="F5" s="96">
        <v>0.62</v>
      </c>
      <c r="G5" s="97" t="s">
        <v>20</v>
      </c>
      <c r="H5" s="94">
        <v>10</v>
      </c>
      <c r="I5" s="94">
        <v>65.3</v>
      </c>
      <c r="J5" s="98" t="s">
        <v>82</v>
      </c>
      <c r="K5" s="94">
        <v>9</v>
      </c>
      <c r="L5" s="99">
        <v>19</v>
      </c>
      <c r="M5" s="100">
        <v>0.97</v>
      </c>
      <c r="N5" s="97" t="s">
        <v>17</v>
      </c>
      <c r="O5" s="94">
        <v>20</v>
      </c>
      <c r="P5" s="100">
        <v>1</v>
      </c>
      <c r="Q5" s="94" t="s">
        <v>17</v>
      </c>
      <c r="R5" s="101">
        <v>15</v>
      </c>
      <c r="S5" s="100">
        <v>0.1</v>
      </c>
      <c r="T5" s="94" t="s">
        <v>91</v>
      </c>
      <c r="U5" s="97">
        <v>25</v>
      </c>
      <c r="V5" s="94">
        <v>8</v>
      </c>
      <c r="W5" s="102">
        <v>87</v>
      </c>
      <c r="X5" s="97" t="s">
        <v>85</v>
      </c>
      <c r="Y5" s="103" t="s">
        <v>30</v>
      </c>
      <c r="Z5" s="94">
        <v>10</v>
      </c>
      <c r="AA5" s="94" t="s">
        <v>107</v>
      </c>
      <c r="AB5" s="94" t="s">
        <v>107</v>
      </c>
      <c r="AC5" s="146" t="s">
        <v>166</v>
      </c>
    </row>
    <row r="6" spans="1:30" ht="15" thickBot="1" x14ac:dyDescent="0.35">
      <c r="A6" s="93" t="s">
        <v>43</v>
      </c>
      <c r="B6" s="94" t="s">
        <v>81</v>
      </c>
      <c r="C6" s="106">
        <v>95</v>
      </c>
      <c r="D6" s="94" t="s">
        <v>18</v>
      </c>
      <c r="E6" s="94">
        <v>10</v>
      </c>
      <c r="F6" s="107">
        <v>0.59</v>
      </c>
      <c r="G6" s="97" t="s">
        <v>92</v>
      </c>
      <c r="H6" s="94">
        <v>7</v>
      </c>
      <c r="I6" s="94">
        <v>11</v>
      </c>
      <c r="J6" s="98" t="s">
        <v>26</v>
      </c>
      <c r="K6" s="94">
        <v>10</v>
      </c>
      <c r="L6" s="99">
        <v>27</v>
      </c>
      <c r="M6" s="100">
        <v>0.93</v>
      </c>
      <c r="N6" s="97" t="s">
        <v>93</v>
      </c>
      <c r="O6" s="94">
        <v>14</v>
      </c>
      <c r="P6" s="100">
        <v>0.92</v>
      </c>
      <c r="Q6" s="94" t="s">
        <v>27</v>
      </c>
      <c r="R6" s="101">
        <v>11</v>
      </c>
      <c r="S6" s="100">
        <v>0.19</v>
      </c>
      <c r="T6" s="94" t="s">
        <v>94</v>
      </c>
      <c r="U6" s="97">
        <v>23</v>
      </c>
      <c r="V6" s="94">
        <v>9</v>
      </c>
      <c r="W6" s="102">
        <v>84</v>
      </c>
      <c r="X6" s="97" t="s">
        <v>85</v>
      </c>
      <c r="Y6" s="103" t="s">
        <v>30</v>
      </c>
      <c r="Z6" s="94">
        <v>15</v>
      </c>
      <c r="AA6" s="94">
        <v>88</v>
      </c>
      <c r="AB6" s="94">
        <v>4</v>
      </c>
      <c r="AC6" s="146" t="s">
        <v>166</v>
      </c>
    </row>
    <row r="7" spans="1:30" ht="15" thickBot="1" x14ac:dyDescent="0.35">
      <c r="A7" s="93" t="s">
        <v>95</v>
      </c>
      <c r="B7" s="94" t="s">
        <v>32</v>
      </c>
      <c r="C7" s="102">
        <v>91.3</v>
      </c>
      <c r="D7" s="94" t="s">
        <v>19</v>
      </c>
      <c r="E7" s="94">
        <v>7</v>
      </c>
      <c r="F7" s="96">
        <v>0.81</v>
      </c>
      <c r="G7" s="97" t="s">
        <v>20</v>
      </c>
      <c r="H7" s="94">
        <v>10</v>
      </c>
      <c r="I7" s="94">
        <v>8.5</v>
      </c>
      <c r="J7" s="98" t="s">
        <v>26</v>
      </c>
      <c r="K7" s="94">
        <v>10</v>
      </c>
      <c r="L7" s="99">
        <v>27</v>
      </c>
      <c r="M7" s="100">
        <v>0.91</v>
      </c>
      <c r="N7" s="97" t="s">
        <v>93</v>
      </c>
      <c r="O7" s="94">
        <v>14</v>
      </c>
      <c r="P7" s="100">
        <v>1</v>
      </c>
      <c r="Q7" s="94" t="s">
        <v>17</v>
      </c>
      <c r="R7" s="101">
        <v>15</v>
      </c>
      <c r="S7" s="100">
        <v>0.21</v>
      </c>
      <c r="T7" s="94" t="s">
        <v>84</v>
      </c>
      <c r="U7" s="97">
        <v>21</v>
      </c>
      <c r="V7" s="94">
        <v>10</v>
      </c>
      <c r="W7" s="102">
        <v>87</v>
      </c>
      <c r="X7" s="97" t="s">
        <v>28</v>
      </c>
      <c r="Y7" s="105" t="s">
        <v>29</v>
      </c>
      <c r="Z7" s="94">
        <v>11</v>
      </c>
      <c r="AA7" s="94">
        <v>93</v>
      </c>
      <c r="AB7" s="94">
        <v>3</v>
      </c>
      <c r="AC7" s="146" t="s">
        <v>166</v>
      </c>
    </row>
    <row r="8" spans="1:30" ht="15" thickBot="1" x14ac:dyDescent="0.35">
      <c r="A8" s="93" t="s">
        <v>96</v>
      </c>
      <c r="B8" s="94" t="s">
        <v>32</v>
      </c>
      <c r="C8" s="102">
        <v>90.2</v>
      </c>
      <c r="D8" s="94" t="s">
        <v>19</v>
      </c>
      <c r="E8" s="94">
        <v>7</v>
      </c>
      <c r="F8" s="96">
        <v>0.7</v>
      </c>
      <c r="G8" s="97" t="s">
        <v>20</v>
      </c>
      <c r="H8" s="94">
        <v>10</v>
      </c>
      <c r="I8" s="94">
        <v>70.599999999999994</v>
      </c>
      <c r="J8" s="98" t="s">
        <v>82</v>
      </c>
      <c r="K8" s="94">
        <v>9</v>
      </c>
      <c r="L8" s="99">
        <v>26</v>
      </c>
      <c r="M8" s="100">
        <v>0.82</v>
      </c>
      <c r="N8" s="97" t="s">
        <v>83</v>
      </c>
      <c r="O8" s="94">
        <v>6</v>
      </c>
      <c r="P8" s="100">
        <v>0.96</v>
      </c>
      <c r="Q8" s="94" t="s">
        <v>17</v>
      </c>
      <c r="R8" s="101">
        <v>15</v>
      </c>
      <c r="S8" s="100">
        <v>0.24</v>
      </c>
      <c r="T8" s="94" t="s">
        <v>97</v>
      </c>
      <c r="U8" s="97">
        <v>18</v>
      </c>
      <c r="V8" s="94">
        <v>9</v>
      </c>
      <c r="W8" s="102">
        <v>74</v>
      </c>
      <c r="X8" s="97" t="s">
        <v>85</v>
      </c>
      <c r="Y8" s="103" t="s">
        <v>30</v>
      </c>
      <c r="Z8" s="94">
        <v>22</v>
      </c>
      <c r="AA8" s="94">
        <v>80</v>
      </c>
      <c r="AB8" s="94">
        <v>9</v>
      </c>
      <c r="AC8" s="146" t="s">
        <v>166</v>
      </c>
    </row>
    <row r="9" spans="1:30" ht="15" thickBot="1" x14ac:dyDescent="0.35">
      <c r="A9" s="93" t="s">
        <v>98</v>
      </c>
      <c r="B9" s="94" t="s">
        <v>32</v>
      </c>
      <c r="C9" s="95">
        <v>99.7</v>
      </c>
      <c r="D9" s="94" t="s">
        <v>18</v>
      </c>
      <c r="E9" s="94">
        <v>10</v>
      </c>
      <c r="F9" s="96">
        <v>1</v>
      </c>
      <c r="G9" s="97" t="s">
        <v>20</v>
      </c>
      <c r="H9" s="94">
        <v>10</v>
      </c>
      <c r="I9" s="94">
        <v>0</v>
      </c>
      <c r="J9" s="98" t="s">
        <v>26</v>
      </c>
      <c r="K9" s="94">
        <v>10</v>
      </c>
      <c r="L9" s="99">
        <v>30</v>
      </c>
      <c r="M9" s="100">
        <v>1</v>
      </c>
      <c r="N9" s="97" t="s">
        <v>17</v>
      </c>
      <c r="O9" s="94">
        <v>20</v>
      </c>
      <c r="P9" s="100">
        <v>1</v>
      </c>
      <c r="Q9" s="94" t="s">
        <v>17</v>
      </c>
      <c r="R9" s="101">
        <v>15</v>
      </c>
      <c r="S9" s="100">
        <v>0.22</v>
      </c>
      <c r="T9" s="94" t="s">
        <v>99</v>
      </c>
      <c r="U9" s="97">
        <v>20</v>
      </c>
      <c r="V9" s="94">
        <v>10</v>
      </c>
      <c r="W9" s="102">
        <v>95</v>
      </c>
      <c r="X9" s="94" t="s">
        <v>33</v>
      </c>
      <c r="Y9" s="108" t="s">
        <v>34</v>
      </c>
      <c r="Z9" s="94">
        <v>3</v>
      </c>
      <c r="AA9" s="94">
        <v>95</v>
      </c>
      <c r="AB9" s="94">
        <v>1</v>
      </c>
      <c r="AC9" s="146" t="s">
        <v>166</v>
      </c>
    </row>
    <row r="10" spans="1:30" ht="15" thickBot="1" x14ac:dyDescent="0.35">
      <c r="A10" s="162" t="s">
        <v>169</v>
      </c>
      <c r="B10" s="94" t="s">
        <v>32</v>
      </c>
      <c r="C10" s="95">
        <v>100.7</v>
      </c>
      <c r="D10" s="94" t="s">
        <v>18</v>
      </c>
      <c r="E10" s="94">
        <v>10</v>
      </c>
      <c r="F10" s="96">
        <v>1</v>
      </c>
      <c r="G10" s="97" t="s">
        <v>20</v>
      </c>
      <c r="H10" s="94">
        <v>10</v>
      </c>
      <c r="I10" s="94">
        <v>0</v>
      </c>
      <c r="J10" s="98" t="s">
        <v>170</v>
      </c>
      <c r="K10" s="94">
        <v>10</v>
      </c>
      <c r="L10" s="99">
        <v>30</v>
      </c>
      <c r="M10" s="100">
        <v>1</v>
      </c>
      <c r="N10" s="97" t="s">
        <v>17</v>
      </c>
      <c r="O10" s="94">
        <v>20</v>
      </c>
      <c r="P10" s="100">
        <v>1</v>
      </c>
      <c r="Q10" s="94" t="s">
        <v>17</v>
      </c>
      <c r="R10" s="101">
        <v>15</v>
      </c>
      <c r="S10" s="100">
        <v>0.22</v>
      </c>
      <c r="T10" s="94" t="s">
        <v>109</v>
      </c>
      <c r="U10" s="97">
        <v>20</v>
      </c>
      <c r="V10" s="94">
        <v>10</v>
      </c>
      <c r="W10" s="102">
        <v>95</v>
      </c>
      <c r="X10" s="94" t="s">
        <v>33</v>
      </c>
      <c r="Y10" s="108" t="s">
        <v>34</v>
      </c>
      <c r="Z10" s="94">
        <v>3</v>
      </c>
      <c r="AA10" s="94">
        <v>95</v>
      </c>
      <c r="AB10" s="94">
        <v>1</v>
      </c>
      <c r="AC10" s="146" t="s">
        <v>166</v>
      </c>
      <c r="AD10" s="122"/>
    </row>
    <row r="11" spans="1:30" x14ac:dyDescent="0.3">
      <c r="AC11" s="146"/>
    </row>
    <row r="12" spans="1:30" x14ac:dyDescent="0.3">
      <c r="J12" s="163"/>
      <c r="K12" s="163"/>
      <c r="L12" s="163"/>
      <c r="AC12" s="146"/>
    </row>
    <row r="13" spans="1:30" x14ac:dyDescent="0.3">
      <c r="I13" s="163"/>
      <c r="J13" s="163"/>
      <c r="K13" s="122"/>
      <c r="L13" s="122"/>
      <c r="AC13" s="146"/>
    </row>
    <row r="14" spans="1:30" x14ac:dyDescent="0.3">
      <c r="I14" s="163"/>
      <c r="J14" s="163"/>
      <c r="K14" s="122"/>
      <c r="AC14" s="146"/>
    </row>
    <row r="15" spans="1:30" x14ac:dyDescent="0.3">
      <c r="I15" s="163"/>
      <c r="J15" s="163"/>
      <c r="K15" s="122"/>
      <c r="L15" s="122"/>
      <c r="AC15" s="146"/>
    </row>
    <row r="16" spans="1:30" x14ac:dyDescent="0.3">
      <c r="I16" s="163"/>
      <c r="J16" s="163"/>
      <c r="K16" s="122"/>
      <c r="AC16" s="146"/>
    </row>
    <row r="17" spans="29:29" x14ac:dyDescent="0.3">
      <c r="AC17" s="146"/>
    </row>
    <row r="18" spans="29:29" x14ac:dyDescent="0.3">
      <c r="AC18" s="146"/>
    </row>
    <row r="19" spans="29:29" x14ac:dyDescent="0.3">
      <c r="AC19" s="146"/>
    </row>
    <row r="20" spans="29:29" x14ac:dyDescent="0.3">
      <c r="AC20" s="146"/>
    </row>
  </sheetData>
  <mergeCells count="5">
    <mergeCell ref="J12:L12"/>
    <mergeCell ref="I13:J13"/>
    <mergeCell ref="I14:J14"/>
    <mergeCell ref="I15:J15"/>
    <mergeCell ref="I16:J16"/>
  </mergeCells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B653-B435-4B6B-AC05-AA889292E97E}">
  <dimension ref="A1:AC21"/>
  <sheetViews>
    <sheetView topLeftCell="S1" workbookViewId="0">
      <selection activeCell="AB1" sqref="AB1"/>
    </sheetView>
  </sheetViews>
  <sheetFormatPr defaultRowHeight="14.4" x14ac:dyDescent="0.3"/>
  <cols>
    <col min="1" max="1" width="25.77734375" customWidth="1"/>
    <col min="2" max="2" width="17.6640625" customWidth="1"/>
    <col min="3" max="3" width="18.88671875" customWidth="1"/>
    <col min="4" max="4" width="14.77734375" customWidth="1"/>
    <col min="5" max="5" width="13.21875" customWidth="1"/>
    <col min="7" max="7" width="14.44140625" customWidth="1"/>
    <col min="8" max="8" width="11.109375" customWidth="1"/>
    <col min="12" max="12" width="11.33203125" customWidth="1"/>
    <col min="13" max="13" width="10.33203125" customWidth="1"/>
    <col min="14" max="14" width="13.109375" customWidth="1"/>
    <col min="15" max="15" width="11.44140625" customWidth="1"/>
    <col min="18" max="18" width="9.6640625" customWidth="1"/>
    <col min="19" max="19" width="12" customWidth="1"/>
    <col min="20" max="20" width="13.88671875" customWidth="1"/>
    <col min="21" max="21" width="13.109375" customWidth="1"/>
    <col min="22" max="22" width="15.77734375" customWidth="1"/>
    <col min="23" max="23" width="16.77734375" customWidth="1"/>
    <col min="24" max="24" width="12.77734375" customWidth="1"/>
    <col min="25" max="25" width="12.5546875" customWidth="1"/>
    <col min="26" max="26" width="12.109375" customWidth="1"/>
    <col min="27" max="27" width="10.21875" customWidth="1"/>
    <col min="28" max="28" width="10.109375" customWidth="1"/>
    <col min="29" max="29" width="21.5546875" customWidth="1"/>
  </cols>
  <sheetData>
    <row r="1" spans="1:29" ht="43.2" x14ac:dyDescent="0.3">
      <c r="A1" s="123" t="s">
        <v>73</v>
      </c>
      <c r="B1" s="124" t="s">
        <v>74</v>
      </c>
      <c r="C1" s="124" t="s">
        <v>168</v>
      </c>
      <c r="D1" s="125" t="s">
        <v>2</v>
      </c>
      <c r="E1" s="125" t="s">
        <v>75</v>
      </c>
      <c r="F1" s="126" t="s">
        <v>76</v>
      </c>
      <c r="G1" s="126" t="s">
        <v>0</v>
      </c>
      <c r="H1" s="126" t="s">
        <v>77</v>
      </c>
      <c r="I1" s="127" t="s">
        <v>11</v>
      </c>
      <c r="J1" s="127" t="s">
        <v>1</v>
      </c>
      <c r="K1" s="127" t="s">
        <v>78</v>
      </c>
      <c r="L1" s="125" t="s">
        <v>12</v>
      </c>
      <c r="M1" s="133" t="s">
        <v>7</v>
      </c>
      <c r="N1" s="134" t="s">
        <v>3</v>
      </c>
      <c r="O1" s="134" t="s">
        <v>13</v>
      </c>
      <c r="P1" s="137" t="s">
        <v>4</v>
      </c>
      <c r="Q1" s="137" t="s">
        <v>8</v>
      </c>
      <c r="R1" s="137" t="s">
        <v>16</v>
      </c>
      <c r="S1" s="136" t="s">
        <v>5</v>
      </c>
      <c r="T1" s="136" t="s">
        <v>79</v>
      </c>
      <c r="U1" s="136" t="s">
        <v>14</v>
      </c>
      <c r="V1" s="135" t="s">
        <v>15</v>
      </c>
      <c r="W1" s="138" t="s">
        <v>9</v>
      </c>
      <c r="X1" s="153" t="s">
        <v>10</v>
      </c>
      <c r="Y1" s="154" t="s">
        <v>6</v>
      </c>
      <c r="Z1" s="155" t="s">
        <v>31</v>
      </c>
      <c r="AA1" s="156" t="s">
        <v>21</v>
      </c>
      <c r="AB1" s="156" t="s">
        <v>23</v>
      </c>
      <c r="AC1" s="132" t="s">
        <v>163</v>
      </c>
    </row>
    <row r="2" spans="1:29" x14ac:dyDescent="0.3">
      <c r="A2" s="161" t="s">
        <v>146</v>
      </c>
      <c r="B2" s="130" t="s">
        <v>32</v>
      </c>
      <c r="C2" s="158">
        <v>100</v>
      </c>
      <c r="D2" s="140" t="s">
        <v>18</v>
      </c>
      <c r="E2" s="140">
        <v>10</v>
      </c>
      <c r="F2" s="141">
        <v>0.7</v>
      </c>
      <c r="G2" s="147" t="s">
        <v>20</v>
      </c>
      <c r="H2" s="143">
        <v>10</v>
      </c>
      <c r="I2" s="148">
        <v>3.6325060011599191</v>
      </c>
      <c r="J2" s="129" t="s">
        <v>82</v>
      </c>
      <c r="K2" s="145">
        <v>10</v>
      </c>
      <c r="L2" s="151">
        <v>30</v>
      </c>
      <c r="M2" s="159">
        <v>0.97894736842105268</v>
      </c>
      <c r="N2" s="147" t="s">
        <v>17</v>
      </c>
      <c r="O2" s="147">
        <v>20</v>
      </c>
      <c r="P2" s="150">
        <v>0.99886104783599083</v>
      </c>
      <c r="Q2" s="147" t="s">
        <v>17</v>
      </c>
      <c r="R2" s="147">
        <v>15</v>
      </c>
      <c r="S2" s="152">
        <v>9.3131780895513314E-2</v>
      </c>
      <c r="T2" s="139" t="s">
        <v>147</v>
      </c>
      <c r="U2" s="139">
        <v>22</v>
      </c>
      <c r="V2" s="144">
        <v>10</v>
      </c>
      <c r="W2" s="149">
        <v>97</v>
      </c>
      <c r="X2" s="128" t="s">
        <v>33</v>
      </c>
      <c r="Y2" s="129" t="s">
        <v>34</v>
      </c>
      <c r="Z2" s="143">
        <v>1</v>
      </c>
      <c r="AA2" s="147">
        <v>1</v>
      </c>
      <c r="AB2" s="149">
        <v>88</v>
      </c>
      <c r="AC2" s="146" t="s">
        <v>164</v>
      </c>
    </row>
    <row r="3" spans="1:29" x14ac:dyDescent="0.3">
      <c r="A3" s="161" t="s">
        <v>98</v>
      </c>
      <c r="B3" s="130" t="s">
        <v>32</v>
      </c>
      <c r="C3" s="158">
        <v>100</v>
      </c>
      <c r="D3" s="140" t="s">
        <v>18</v>
      </c>
      <c r="E3" s="140">
        <v>10</v>
      </c>
      <c r="F3" s="141">
        <v>0.8</v>
      </c>
      <c r="G3" s="147" t="s">
        <v>20</v>
      </c>
      <c r="H3" s="143">
        <v>10</v>
      </c>
      <c r="I3" s="148">
        <v>0</v>
      </c>
      <c r="J3" s="129" t="s">
        <v>26</v>
      </c>
      <c r="K3" s="145">
        <v>10</v>
      </c>
      <c r="L3" s="151">
        <v>30</v>
      </c>
      <c r="M3" s="159">
        <v>0.95652173913043481</v>
      </c>
      <c r="N3" s="147" t="s">
        <v>17</v>
      </c>
      <c r="O3" s="147">
        <v>20</v>
      </c>
      <c r="P3" s="150">
        <v>1</v>
      </c>
      <c r="Q3" s="147" t="s">
        <v>17</v>
      </c>
      <c r="R3" s="147">
        <v>15</v>
      </c>
      <c r="S3" s="152">
        <v>9.929432973322444E-2</v>
      </c>
      <c r="T3" s="139" t="s">
        <v>99</v>
      </c>
      <c r="U3" s="139">
        <v>20</v>
      </c>
      <c r="V3" s="144">
        <v>10</v>
      </c>
      <c r="W3" s="149">
        <v>95</v>
      </c>
      <c r="X3" s="129" t="s">
        <v>28</v>
      </c>
      <c r="Y3" s="129" t="s">
        <v>29</v>
      </c>
      <c r="Z3" s="143">
        <v>2</v>
      </c>
      <c r="AA3" s="143" t="s">
        <v>107</v>
      </c>
      <c r="AB3" s="143" t="s">
        <v>107</v>
      </c>
      <c r="AC3" s="146" t="s">
        <v>164</v>
      </c>
    </row>
    <row r="4" spans="1:29" x14ac:dyDescent="0.3">
      <c r="A4" s="161" t="s">
        <v>148</v>
      </c>
      <c r="B4" s="130" t="s">
        <v>32</v>
      </c>
      <c r="C4" s="158">
        <v>95.9</v>
      </c>
      <c r="D4" s="140" t="s">
        <v>18</v>
      </c>
      <c r="E4" s="140">
        <v>10</v>
      </c>
      <c r="F4" s="141">
        <v>0.68</v>
      </c>
      <c r="G4" s="147" t="s">
        <v>20</v>
      </c>
      <c r="H4" s="143">
        <v>10</v>
      </c>
      <c r="I4" s="148">
        <v>10.009426892456151</v>
      </c>
      <c r="J4" s="129" t="s">
        <v>26</v>
      </c>
      <c r="K4" s="145">
        <v>10</v>
      </c>
      <c r="L4" s="151">
        <v>30</v>
      </c>
      <c r="M4" s="159">
        <v>0.98519736842105265</v>
      </c>
      <c r="N4" s="147" t="s">
        <v>17</v>
      </c>
      <c r="O4" s="147">
        <v>20</v>
      </c>
      <c r="P4" s="150">
        <v>0.99886104783599083</v>
      </c>
      <c r="Q4" s="147" t="s">
        <v>17</v>
      </c>
      <c r="R4" s="147">
        <v>15</v>
      </c>
      <c r="S4" s="152">
        <v>0.10103239361704901</v>
      </c>
      <c r="T4" s="139" t="s">
        <v>97</v>
      </c>
      <c r="U4" s="139">
        <v>18</v>
      </c>
      <c r="V4" s="144">
        <v>10</v>
      </c>
      <c r="W4" s="149">
        <v>93</v>
      </c>
      <c r="X4" s="129" t="s">
        <v>28</v>
      </c>
      <c r="Y4" s="129" t="s">
        <v>29</v>
      </c>
      <c r="Z4" s="143">
        <v>3</v>
      </c>
      <c r="AA4" s="143">
        <v>4</v>
      </c>
      <c r="AB4" s="147">
        <v>83</v>
      </c>
      <c r="AC4" s="146" t="s">
        <v>164</v>
      </c>
    </row>
    <row r="5" spans="1:29" x14ac:dyDescent="0.3">
      <c r="A5" s="161" t="s">
        <v>80</v>
      </c>
      <c r="B5" s="130" t="s">
        <v>32</v>
      </c>
      <c r="C5" s="158">
        <v>94.6</v>
      </c>
      <c r="D5" s="140" t="s">
        <v>19</v>
      </c>
      <c r="E5" s="142">
        <v>7</v>
      </c>
      <c r="F5" s="141">
        <v>0.68</v>
      </c>
      <c r="G5" s="147" t="s">
        <v>20</v>
      </c>
      <c r="H5" s="143">
        <v>10</v>
      </c>
      <c r="I5" s="148">
        <v>6.1613269526631402</v>
      </c>
      <c r="J5" s="129" t="s">
        <v>82</v>
      </c>
      <c r="K5" s="145">
        <v>77.905296000000007</v>
      </c>
      <c r="L5" s="151">
        <v>27</v>
      </c>
      <c r="M5" s="159">
        <v>0.94696969696969702</v>
      </c>
      <c r="N5" s="147" t="s">
        <v>17</v>
      </c>
      <c r="O5" s="147">
        <v>20</v>
      </c>
      <c r="P5" s="150">
        <v>0.89830508474576276</v>
      </c>
      <c r="Q5" s="147" t="s">
        <v>27</v>
      </c>
      <c r="R5" s="147">
        <v>10.5</v>
      </c>
      <c r="S5" s="152">
        <v>7.9426442049637308E-2</v>
      </c>
      <c r="T5" s="139" t="s">
        <v>91</v>
      </c>
      <c r="U5" s="139">
        <v>25</v>
      </c>
      <c r="V5" s="144">
        <v>5</v>
      </c>
      <c r="W5" s="149">
        <v>87.5</v>
      </c>
      <c r="X5" s="129" t="s">
        <v>28</v>
      </c>
      <c r="Y5" s="129" t="s">
        <v>29</v>
      </c>
      <c r="Z5" s="143">
        <v>4</v>
      </c>
      <c r="AA5" s="147">
        <v>7</v>
      </c>
      <c r="AB5" s="160">
        <v>79</v>
      </c>
      <c r="AC5" s="146" t="s">
        <v>164</v>
      </c>
    </row>
    <row r="6" spans="1:29" x14ac:dyDescent="0.3">
      <c r="A6" s="161" t="s">
        <v>149</v>
      </c>
      <c r="B6" s="130" t="s">
        <v>81</v>
      </c>
      <c r="C6" s="158">
        <v>86</v>
      </c>
      <c r="D6" s="140" t="s">
        <v>19</v>
      </c>
      <c r="E6" s="142">
        <v>7</v>
      </c>
      <c r="F6" s="141">
        <v>0.63</v>
      </c>
      <c r="G6" s="147" t="s">
        <v>20</v>
      </c>
      <c r="H6" s="143">
        <v>10</v>
      </c>
      <c r="I6" s="148">
        <v>68.107449932437902</v>
      </c>
      <c r="J6" s="129" t="s">
        <v>82</v>
      </c>
      <c r="K6" s="145">
        <v>7.0476871542857138</v>
      </c>
      <c r="L6" s="151">
        <v>24.047687154285715</v>
      </c>
      <c r="M6" s="159">
        <v>0.95388349514563109</v>
      </c>
      <c r="N6" s="147" t="s">
        <v>17</v>
      </c>
      <c r="O6" s="147">
        <v>20</v>
      </c>
      <c r="P6" s="150">
        <v>0.9838709677419355</v>
      </c>
      <c r="Q6" s="147" t="s">
        <v>17</v>
      </c>
      <c r="R6" s="147">
        <v>15</v>
      </c>
      <c r="S6" s="152">
        <v>8.8653264362900275E-2</v>
      </c>
      <c r="T6" s="139" t="s">
        <v>94</v>
      </c>
      <c r="U6" s="139">
        <v>23</v>
      </c>
      <c r="V6" s="144">
        <v>5</v>
      </c>
      <c r="W6" s="149">
        <v>87.047687154285711</v>
      </c>
      <c r="X6" s="129" t="s">
        <v>28</v>
      </c>
      <c r="Y6" s="129" t="s">
        <v>29</v>
      </c>
      <c r="Z6" s="143">
        <v>5</v>
      </c>
      <c r="AA6" s="143">
        <v>15</v>
      </c>
      <c r="AB6" s="143">
        <v>72</v>
      </c>
      <c r="AC6" s="146" t="s">
        <v>164</v>
      </c>
    </row>
    <row r="7" spans="1:29" x14ac:dyDescent="0.3">
      <c r="A7" s="161" t="s">
        <v>150</v>
      </c>
      <c r="B7" s="130" t="s">
        <v>32</v>
      </c>
      <c r="C7" s="158">
        <v>100</v>
      </c>
      <c r="D7" s="140" t="s">
        <v>18</v>
      </c>
      <c r="E7" s="140">
        <v>10</v>
      </c>
      <c r="F7" s="141">
        <v>0.6</v>
      </c>
      <c r="G7" s="147" t="s">
        <v>20</v>
      </c>
      <c r="H7" s="143">
        <v>10</v>
      </c>
      <c r="I7" s="148">
        <v>0</v>
      </c>
      <c r="J7" s="129" t="s">
        <v>26</v>
      </c>
      <c r="K7" s="145">
        <v>10</v>
      </c>
      <c r="L7" s="151">
        <v>30</v>
      </c>
      <c r="M7" s="159">
        <v>1</v>
      </c>
      <c r="N7" s="147" t="s">
        <v>17</v>
      </c>
      <c r="O7" s="147">
        <v>20</v>
      </c>
      <c r="P7" s="150">
        <v>1</v>
      </c>
      <c r="Q7" s="147" t="s">
        <v>17</v>
      </c>
      <c r="R7" s="147">
        <v>15</v>
      </c>
      <c r="S7" s="152">
        <v>0.11987244938228114</v>
      </c>
      <c r="T7" s="139" t="s">
        <v>133</v>
      </c>
      <c r="U7" s="139">
        <v>10</v>
      </c>
      <c r="V7" s="144">
        <v>10</v>
      </c>
      <c r="W7" s="149">
        <v>85</v>
      </c>
      <c r="X7" s="129" t="s">
        <v>28</v>
      </c>
      <c r="Y7" s="129" t="s">
        <v>29</v>
      </c>
      <c r="Z7" s="143">
        <v>6</v>
      </c>
      <c r="AA7" s="143" t="s">
        <v>107</v>
      </c>
      <c r="AB7" s="143" t="s">
        <v>107</v>
      </c>
      <c r="AC7" s="146" t="s">
        <v>164</v>
      </c>
    </row>
    <row r="8" spans="1:29" x14ac:dyDescent="0.3">
      <c r="A8" s="161" t="s">
        <v>151</v>
      </c>
      <c r="B8" s="130" t="s">
        <v>32</v>
      </c>
      <c r="C8" s="158">
        <v>100</v>
      </c>
      <c r="D8" s="140" t="s">
        <v>18</v>
      </c>
      <c r="E8" s="140">
        <v>10</v>
      </c>
      <c r="F8" s="141">
        <v>1</v>
      </c>
      <c r="G8" s="147" t="s">
        <v>20</v>
      </c>
      <c r="H8" s="143">
        <v>10</v>
      </c>
      <c r="I8" s="148">
        <v>12.747655068850083</v>
      </c>
      <c r="J8" s="129" t="s">
        <v>26</v>
      </c>
      <c r="K8" s="145">
        <v>10</v>
      </c>
      <c r="L8" s="151">
        <v>30</v>
      </c>
      <c r="M8" s="159">
        <v>0.94117647058823528</v>
      </c>
      <c r="N8" s="147" t="s">
        <v>93</v>
      </c>
      <c r="O8" s="147">
        <v>14</v>
      </c>
      <c r="P8" s="150">
        <v>0.98529411764705888</v>
      </c>
      <c r="Q8" s="147" t="s">
        <v>17</v>
      </c>
      <c r="R8" s="147">
        <v>15</v>
      </c>
      <c r="S8" s="152">
        <v>0.1000906969302605</v>
      </c>
      <c r="T8" s="139" t="s">
        <v>109</v>
      </c>
      <c r="U8" s="139">
        <v>19</v>
      </c>
      <c r="V8" s="144">
        <v>5</v>
      </c>
      <c r="W8" s="149">
        <v>83</v>
      </c>
      <c r="X8" s="129" t="s">
        <v>85</v>
      </c>
      <c r="Y8" s="129" t="s">
        <v>30</v>
      </c>
      <c r="Z8" s="143">
        <v>7</v>
      </c>
      <c r="AA8" s="143">
        <v>14</v>
      </c>
      <c r="AB8" s="143">
        <v>73</v>
      </c>
      <c r="AC8" s="146" t="s">
        <v>164</v>
      </c>
    </row>
    <row r="9" spans="1:29" x14ac:dyDescent="0.3">
      <c r="A9" s="161" t="s">
        <v>152</v>
      </c>
      <c r="B9" s="130" t="s">
        <v>81</v>
      </c>
      <c r="C9" s="158">
        <v>99.2</v>
      </c>
      <c r="D9" s="140" t="s">
        <v>18</v>
      </c>
      <c r="E9" s="140">
        <v>10</v>
      </c>
      <c r="F9" s="141">
        <v>0.63</v>
      </c>
      <c r="G9" s="147" t="s">
        <v>20</v>
      </c>
      <c r="H9" s="143">
        <v>10</v>
      </c>
      <c r="I9" s="148">
        <v>53.848304878824905</v>
      </c>
      <c r="J9" s="129" t="s">
        <v>26</v>
      </c>
      <c r="K9" s="145">
        <v>10</v>
      </c>
      <c r="L9" s="151">
        <v>30</v>
      </c>
      <c r="M9" s="159">
        <v>0.97159090909090906</v>
      </c>
      <c r="N9" s="147" t="s">
        <v>17</v>
      </c>
      <c r="O9" s="147">
        <v>20</v>
      </c>
      <c r="P9" s="150">
        <v>0.98412698412698407</v>
      </c>
      <c r="Q9" s="147" t="s">
        <v>17</v>
      </c>
      <c r="R9" s="147">
        <v>15</v>
      </c>
      <c r="S9" s="152">
        <v>0.11938109756966783</v>
      </c>
      <c r="T9" s="139" t="s">
        <v>127</v>
      </c>
      <c r="U9" s="139">
        <v>11</v>
      </c>
      <c r="V9" s="144">
        <v>7</v>
      </c>
      <c r="W9" s="149">
        <v>83</v>
      </c>
      <c r="X9" s="129" t="s">
        <v>85</v>
      </c>
      <c r="Y9" s="129" t="s">
        <v>30</v>
      </c>
      <c r="Z9" s="143">
        <v>8</v>
      </c>
      <c r="AA9" s="147">
        <v>11</v>
      </c>
      <c r="AB9" s="160">
        <v>77</v>
      </c>
      <c r="AC9" s="146" t="s">
        <v>164</v>
      </c>
    </row>
    <row r="10" spans="1:29" x14ac:dyDescent="0.3">
      <c r="A10" s="161" t="s">
        <v>153</v>
      </c>
      <c r="B10" s="128" t="s">
        <v>22</v>
      </c>
      <c r="C10" s="158">
        <v>98</v>
      </c>
      <c r="D10" s="140" t="s">
        <v>18</v>
      </c>
      <c r="E10" s="140">
        <v>10</v>
      </c>
      <c r="F10" s="141">
        <v>0.64</v>
      </c>
      <c r="G10" s="147" t="s">
        <v>20</v>
      </c>
      <c r="H10" s="143">
        <v>10</v>
      </c>
      <c r="I10" s="148">
        <v>96.07781425820987</v>
      </c>
      <c r="J10" s="129" t="s">
        <v>26</v>
      </c>
      <c r="K10" s="145">
        <v>10</v>
      </c>
      <c r="L10" s="151">
        <v>30</v>
      </c>
      <c r="M10" s="159">
        <v>0.94444444444444442</v>
      </c>
      <c r="N10" s="147" t="s">
        <v>93</v>
      </c>
      <c r="O10" s="147">
        <v>14</v>
      </c>
      <c r="P10" s="150">
        <v>1</v>
      </c>
      <c r="Q10" s="147" t="s">
        <v>17</v>
      </c>
      <c r="R10" s="147">
        <v>15</v>
      </c>
      <c r="S10" s="152">
        <v>0.10367577195927281</v>
      </c>
      <c r="T10" s="139" t="s">
        <v>87</v>
      </c>
      <c r="U10" s="139">
        <v>16</v>
      </c>
      <c r="V10" s="144">
        <v>7</v>
      </c>
      <c r="W10" s="149">
        <v>82</v>
      </c>
      <c r="X10" s="129" t="s">
        <v>85</v>
      </c>
      <c r="Y10" s="129" t="s">
        <v>30</v>
      </c>
      <c r="Z10" s="143">
        <v>9</v>
      </c>
      <c r="AA10" s="143">
        <v>2</v>
      </c>
      <c r="AB10" s="143">
        <v>85</v>
      </c>
      <c r="AC10" s="146" t="s">
        <v>164</v>
      </c>
    </row>
    <row r="11" spans="1:29" x14ac:dyDescent="0.3">
      <c r="A11" s="161" t="s">
        <v>154</v>
      </c>
      <c r="B11" s="130" t="s">
        <v>81</v>
      </c>
      <c r="C11" s="158">
        <v>95.1</v>
      </c>
      <c r="D11" s="140" t="s">
        <v>18</v>
      </c>
      <c r="E11" s="140">
        <v>10</v>
      </c>
      <c r="F11" s="141">
        <v>0.65</v>
      </c>
      <c r="G11" s="147" t="s">
        <v>20</v>
      </c>
      <c r="H11" s="143">
        <v>10</v>
      </c>
      <c r="I11" s="148">
        <v>45.579209772729534</v>
      </c>
      <c r="J11" s="129" t="s">
        <v>26</v>
      </c>
      <c r="K11" s="145">
        <v>10</v>
      </c>
      <c r="L11" s="151">
        <v>30</v>
      </c>
      <c r="M11" s="159">
        <v>0.9576271186440678</v>
      </c>
      <c r="N11" s="147" t="s">
        <v>17</v>
      </c>
      <c r="O11" s="147">
        <v>20</v>
      </c>
      <c r="P11" s="150">
        <v>0.94023904382470125</v>
      </c>
      <c r="Q11" s="147" t="s">
        <v>27</v>
      </c>
      <c r="R11" s="147">
        <v>10.5</v>
      </c>
      <c r="S11" s="152">
        <v>0.1037342922867199</v>
      </c>
      <c r="T11" s="139" t="s">
        <v>100</v>
      </c>
      <c r="U11" s="139">
        <v>15</v>
      </c>
      <c r="V11" s="144">
        <v>5</v>
      </c>
      <c r="W11" s="149">
        <v>80.5</v>
      </c>
      <c r="X11" s="129" t="s">
        <v>85</v>
      </c>
      <c r="Y11" s="129" t="s">
        <v>30</v>
      </c>
      <c r="Z11" s="143">
        <v>10</v>
      </c>
      <c r="AA11" s="143">
        <v>8</v>
      </c>
      <c r="AB11" s="160">
        <v>78</v>
      </c>
      <c r="AC11" s="146" t="s">
        <v>164</v>
      </c>
    </row>
    <row r="12" spans="1:29" x14ac:dyDescent="0.3">
      <c r="A12" s="161" t="s">
        <v>155</v>
      </c>
      <c r="B12" s="128" t="s">
        <v>156</v>
      </c>
      <c r="C12" s="158">
        <v>98.7</v>
      </c>
      <c r="D12" s="140" t="s">
        <v>18</v>
      </c>
      <c r="E12" s="140">
        <v>10</v>
      </c>
      <c r="F12" s="141">
        <v>0.68</v>
      </c>
      <c r="G12" s="147" t="s">
        <v>20</v>
      </c>
      <c r="H12" s="143">
        <v>10</v>
      </c>
      <c r="I12" s="148">
        <v>47.717873607568585</v>
      </c>
      <c r="J12" s="129" t="s">
        <v>26</v>
      </c>
      <c r="K12" s="145">
        <v>10</v>
      </c>
      <c r="L12" s="151">
        <v>30</v>
      </c>
      <c r="M12" s="159">
        <v>0.89784946236559138</v>
      </c>
      <c r="N12" s="147" t="s">
        <v>93</v>
      </c>
      <c r="O12" s="147">
        <v>14</v>
      </c>
      <c r="P12" s="150">
        <v>0.9652173913043478</v>
      </c>
      <c r="Q12" s="147" t="s">
        <v>17</v>
      </c>
      <c r="R12" s="147">
        <v>15</v>
      </c>
      <c r="S12" s="152">
        <v>0.10955571923006899</v>
      </c>
      <c r="T12" s="139" t="s">
        <v>122</v>
      </c>
      <c r="U12" s="139">
        <v>13</v>
      </c>
      <c r="V12" s="144">
        <v>7</v>
      </c>
      <c r="W12" s="149">
        <v>79</v>
      </c>
      <c r="X12" s="129" t="s">
        <v>85</v>
      </c>
      <c r="Y12" s="129" t="s">
        <v>30</v>
      </c>
      <c r="Z12" s="143">
        <v>11</v>
      </c>
      <c r="AA12" s="143">
        <v>10</v>
      </c>
      <c r="AB12" s="160">
        <v>77</v>
      </c>
      <c r="AC12" s="146" t="s">
        <v>164</v>
      </c>
    </row>
    <row r="13" spans="1:29" x14ac:dyDescent="0.3">
      <c r="A13" s="161" t="s">
        <v>157</v>
      </c>
      <c r="B13" s="128" t="s">
        <v>156</v>
      </c>
      <c r="C13" s="158">
        <v>96.3</v>
      </c>
      <c r="D13" s="140" t="s">
        <v>18</v>
      </c>
      <c r="E13" s="140">
        <v>10</v>
      </c>
      <c r="F13" s="152">
        <v>0.64</v>
      </c>
      <c r="G13" s="147" t="s">
        <v>20</v>
      </c>
      <c r="H13" s="143">
        <v>10</v>
      </c>
      <c r="I13" s="148">
        <v>362.37423248634263</v>
      </c>
      <c r="J13" s="129" t="s">
        <v>26</v>
      </c>
      <c r="K13" s="145">
        <v>10</v>
      </c>
      <c r="L13" s="151">
        <v>30</v>
      </c>
      <c r="M13" s="159">
        <v>0.90692640692640691</v>
      </c>
      <c r="N13" s="147" t="s">
        <v>93</v>
      </c>
      <c r="O13" s="147">
        <v>14</v>
      </c>
      <c r="P13" s="150">
        <v>0.94915254237288138</v>
      </c>
      <c r="Q13" s="147" t="s">
        <v>17</v>
      </c>
      <c r="R13" s="147">
        <v>15</v>
      </c>
      <c r="S13" s="152">
        <v>0.10895389173577627</v>
      </c>
      <c r="T13" s="139" t="s">
        <v>139</v>
      </c>
      <c r="U13" s="139">
        <v>14</v>
      </c>
      <c r="V13" s="144">
        <v>5</v>
      </c>
      <c r="W13" s="149">
        <v>78</v>
      </c>
      <c r="X13" s="129" t="s">
        <v>85</v>
      </c>
      <c r="Y13" s="129" t="s">
        <v>30</v>
      </c>
      <c r="Z13" s="143">
        <v>12</v>
      </c>
      <c r="AA13" s="143">
        <v>16</v>
      </c>
      <c r="AB13" s="160">
        <v>72</v>
      </c>
      <c r="AC13" s="146" t="s">
        <v>164</v>
      </c>
    </row>
    <row r="14" spans="1:29" x14ac:dyDescent="0.3">
      <c r="A14" s="161" t="s">
        <v>158</v>
      </c>
      <c r="B14" s="128" t="s">
        <v>156</v>
      </c>
      <c r="C14" s="158">
        <v>95.8</v>
      </c>
      <c r="D14" s="140" t="s">
        <v>18</v>
      </c>
      <c r="E14" s="140">
        <v>10</v>
      </c>
      <c r="F14" s="141">
        <v>0.71</v>
      </c>
      <c r="G14" s="147" t="s">
        <v>20</v>
      </c>
      <c r="H14" s="143">
        <v>10</v>
      </c>
      <c r="I14" s="148">
        <v>45.120610211132501</v>
      </c>
      <c r="J14" s="129" t="s">
        <v>82</v>
      </c>
      <c r="K14" s="145">
        <v>10.638153999999998</v>
      </c>
      <c r="L14" s="151">
        <v>30</v>
      </c>
      <c r="M14" s="159">
        <v>0.87962962962962965</v>
      </c>
      <c r="N14" s="147" t="s">
        <v>159</v>
      </c>
      <c r="O14" s="147">
        <v>10</v>
      </c>
      <c r="P14" s="150">
        <v>1</v>
      </c>
      <c r="Q14" s="147" t="s">
        <v>17</v>
      </c>
      <c r="R14" s="147">
        <v>15</v>
      </c>
      <c r="S14" s="152">
        <v>0.10194096298363421</v>
      </c>
      <c r="T14" s="139" t="s">
        <v>120</v>
      </c>
      <c r="U14" s="139">
        <v>17</v>
      </c>
      <c r="V14" s="144">
        <v>5</v>
      </c>
      <c r="W14" s="149">
        <v>77</v>
      </c>
      <c r="X14" s="129" t="s">
        <v>85</v>
      </c>
      <c r="Y14" s="129" t="s">
        <v>30</v>
      </c>
      <c r="Z14" s="143">
        <v>13</v>
      </c>
      <c r="AA14" s="143">
        <v>6</v>
      </c>
      <c r="AB14" s="143">
        <v>80</v>
      </c>
      <c r="AC14" s="146" t="s">
        <v>164</v>
      </c>
    </row>
    <row r="15" spans="1:29" x14ac:dyDescent="0.3">
      <c r="A15" s="161" t="s">
        <v>123</v>
      </c>
      <c r="B15" s="130" t="s">
        <v>32</v>
      </c>
      <c r="C15" s="158">
        <v>100</v>
      </c>
      <c r="D15" s="140" t="s">
        <v>18</v>
      </c>
      <c r="E15" s="140">
        <v>10</v>
      </c>
      <c r="F15" s="141">
        <v>0.71</v>
      </c>
      <c r="G15" s="147" t="s">
        <v>20</v>
      </c>
      <c r="H15" s="143">
        <v>10</v>
      </c>
      <c r="I15" s="148">
        <v>40.775368089441592</v>
      </c>
      <c r="J15" s="129" t="s">
        <v>26</v>
      </c>
      <c r="K15" s="145">
        <v>10</v>
      </c>
      <c r="L15" s="151">
        <v>30</v>
      </c>
      <c r="M15" s="159">
        <v>0.93333333333333335</v>
      </c>
      <c r="N15" s="147" t="s">
        <v>93</v>
      </c>
      <c r="O15" s="147">
        <v>14</v>
      </c>
      <c r="P15" s="150">
        <v>1</v>
      </c>
      <c r="Q15" s="147" t="s">
        <v>17</v>
      </c>
      <c r="R15" s="147">
        <v>15</v>
      </c>
      <c r="S15" s="152">
        <v>0.12954167712958711</v>
      </c>
      <c r="T15" s="139" t="s">
        <v>111</v>
      </c>
      <c r="U15" s="139">
        <v>8</v>
      </c>
      <c r="V15" s="144">
        <v>10</v>
      </c>
      <c r="W15" s="149">
        <v>77</v>
      </c>
      <c r="X15" s="129" t="s">
        <v>85</v>
      </c>
      <c r="Y15" s="129" t="s">
        <v>30</v>
      </c>
      <c r="Z15" s="143">
        <v>14</v>
      </c>
      <c r="AA15" s="143">
        <v>9</v>
      </c>
      <c r="AB15" s="160">
        <v>78</v>
      </c>
      <c r="AC15" s="146" t="s">
        <v>164</v>
      </c>
    </row>
    <row r="16" spans="1:29" x14ac:dyDescent="0.3">
      <c r="A16" s="161" t="s">
        <v>95</v>
      </c>
      <c r="B16" s="130" t="s">
        <v>32</v>
      </c>
      <c r="C16" s="158">
        <v>100</v>
      </c>
      <c r="D16" s="140" t="s">
        <v>18</v>
      </c>
      <c r="E16" s="140">
        <v>10</v>
      </c>
      <c r="F16" s="141">
        <v>0.66</v>
      </c>
      <c r="G16" s="147" t="s">
        <v>20</v>
      </c>
      <c r="H16" s="143">
        <v>10</v>
      </c>
      <c r="I16" s="148">
        <v>238.89376365286327</v>
      </c>
      <c r="J16" s="129" t="s">
        <v>26</v>
      </c>
      <c r="K16" s="145">
        <v>10</v>
      </c>
      <c r="L16" s="151">
        <v>30</v>
      </c>
      <c r="M16" s="159">
        <v>0.94166666666666665</v>
      </c>
      <c r="N16" s="147" t="s">
        <v>93</v>
      </c>
      <c r="O16" s="147">
        <v>14</v>
      </c>
      <c r="P16" s="150">
        <v>0.99886104783599083</v>
      </c>
      <c r="Q16" s="147" t="s">
        <v>17</v>
      </c>
      <c r="R16" s="147">
        <v>15</v>
      </c>
      <c r="S16" s="152">
        <v>0.12956261311550538</v>
      </c>
      <c r="T16" s="139" t="s">
        <v>135</v>
      </c>
      <c r="U16" s="139">
        <v>7</v>
      </c>
      <c r="V16" s="144">
        <v>10</v>
      </c>
      <c r="W16" s="149">
        <v>76</v>
      </c>
      <c r="X16" s="129" t="s">
        <v>85</v>
      </c>
      <c r="Y16" s="129" t="s">
        <v>30</v>
      </c>
      <c r="Z16" s="143">
        <v>15</v>
      </c>
      <c r="AA16" s="143">
        <v>5</v>
      </c>
      <c r="AB16" s="160">
        <v>83</v>
      </c>
      <c r="AC16" s="146" t="s">
        <v>164</v>
      </c>
    </row>
    <row r="17" spans="1:29" x14ac:dyDescent="0.3">
      <c r="A17" s="161" t="s">
        <v>134</v>
      </c>
      <c r="B17" s="130" t="s">
        <v>32</v>
      </c>
      <c r="C17" s="158">
        <v>97.1</v>
      </c>
      <c r="D17" s="140" t="s">
        <v>18</v>
      </c>
      <c r="E17" s="140">
        <v>10</v>
      </c>
      <c r="F17" s="141">
        <v>0.65</v>
      </c>
      <c r="G17" s="147" t="s">
        <v>20</v>
      </c>
      <c r="H17" s="143">
        <v>10</v>
      </c>
      <c r="I17" s="148">
        <v>959.7016698809058</v>
      </c>
      <c r="J17" s="129" t="s">
        <v>82</v>
      </c>
      <c r="K17" s="145">
        <v>0.50015542857142847</v>
      </c>
      <c r="L17" s="151">
        <v>20.500155428571428</v>
      </c>
      <c r="M17" s="159">
        <v>0.86111111111111116</v>
      </c>
      <c r="N17" s="147" t="s">
        <v>159</v>
      </c>
      <c r="O17" s="147">
        <v>10</v>
      </c>
      <c r="P17" s="150">
        <v>0.96923076923076923</v>
      </c>
      <c r="Q17" s="147" t="s">
        <v>17</v>
      </c>
      <c r="R17" s="147">
        <v>15</v>
      </c>
      <c r="S17" s="152">
        <v>8.5370830561328603E-2</v>
      </c>
      <c r="T17" s="139" t="s">
        <v>124</v>
      </c>
      <c r="U17" s="139">
        <v>24</v>
      </c>
      <c r="V17" s="144">
        <v>5</v>
      </c>
      <c r="W17" s="149">
        <v>74.500155428571432</v>
      </c>
      <c r="X17" s="129" t="s">
        <v>85</v>
      </c>
      <c r="Y17" s="129" t="s">
        <v>30</v>
      </c>
      <c r="Z17" s="143">
        <v>16</v>
      </c>
      <c r="AA17" s="143">
        <v>19</v>
      </c>
      <c r="AB17" s="160">
        <v>66</v>
      </c>
      <c r="AC17" s="146" t="s">
        <v>164</v>
      </c>
    </row>
    <row r="18" spans="1:29" x14ac:dyDescent="0.3">
      <c r="A18" s="161" t="s">
        <v>160</v>
      </c>
      <c r="B18" s="130" t="s">
        <v>32</v>
      </c>
      <c r="C18" s="158">
        <v>95.9</v>
      </c>
      <c r="D18" s="140" t="s">
        <v>18</v>
      </c>
      <c r="E18" s="140">
        <v>10</v>
      </c>
      <c r="F18" s="141">
        <v>0.6</v>
      </c>
      <c r="G18" s="147" t="s">
        <v>20</v>
      </c>
      <c r="H18" s="143">
        <v>10</v>
      </c>
      <c r="I18" s="148">
        <v>248.3809067686345</v>
      </c>
      <c r="J18" s="129" t="s">
        <v>82</v>
      </c>
      <c r="K18" s="145">
        <v>1.932515692307692</v>
      </c>
      <c r="L18" s="151">
        <v>21.932515692307692</v>
      </c>
      <c r="M18" s="159">
        <v>0.93382352941176472</v>
      </c>
      <c r="N18" s="147" t="s">
        <v>93</v>
      </c>
      <c r="O18" s="147">
        <v>14</v>
      </c>
      <c r="P18" s="150">
        <v>0.9017857142857143</v>
      </c>
      <c r="Q18" s="147" t="s">
        <v>27</v>
      </c>
      <c r="R18" s="147">
        <v>10.5</v>
      </c>
      <c r="S18" s="152">
        <v>9.3441105624678153E-2</v>
      </c>
      <c r="T18" s="139" t="s">
        <v>84</v>
      </c>
      <c r="U18" s="139">
        <v>21</v>
      </c>
      <c r="V18" s="144">
        <v>5</v>
      </c>
      <c r="W18" s="149">
        <v>72.432515692307689</v>
      </c>
      <c r="X18" s="129" t="s">
        <v>85</v>
      </c>
      <c r="Y18" s="129" t="s">
        <v>30</v>
      </c>
      <c r="Z18" s="143">
        <v>17</v>
      </c>
      <c r="AA18" s="143">
        <v>18</v>
      </c>
      <c r="AB18" s="160">
        <v>67</v>
      </c>
      <c r="AC18" s="146" t="s">
        <v>164</v>
      </c>
    </row>
    <row r="19" spans="1:29" x14ac:dyDescent="0.3">
      <c r="A19" s="161" t="s">
        <v>161</v>
      </c>
      <c r="B19" s="130" t="s">
        <v>81</v>
      </c>
      <c r="C19" s="158">
        <v>94.9</v>
      </c>
      <c r="D19" s="140" t="s">
        <v>19</v>
      </c>
      <c r="E19" s="142">
        <v>7</v>
      </c>
      <c r="F19" s="141">
        <v>0.59</v>
      </c>
      <c r="G19" s="129" t="s">
        <v>92</v>
      </c>
      <c r="H19" s="157">
        <v>7</v>
      </c>
      <c r="I19" s="148">
        <v>24.913565843523369</v>
      </c>
      <c r="J19" s="129" t="s">
        <v>26</v>
      </c>
      <c r="K19" s="145">
        <v>10</v>
      </c>
      <c r="L19" s="151">
        <v>24</v>
      </c>
      <c r="M19" s="159">
        <v>0.90773809523809523</v>
      </c>
      <c r="N19" s="147" t="s">
        <v>93</v>
      </c>
      <c r="O19" s="147">
        <v>14</v>
      </c>
      <c r="P19" s="150">
        <v>0.97619047619047616</v>
      </c>
      <c r="Q19" s="147" t="s">
        <v>17</v>
      </c>
      <c r="R19" s="147">
        <v>15</v>
      </c>
      <c r="S19" s="152">
        <v>0.12869917163273245</v>
      </c>
      <c r="T19" s="139" t="s">
        <v>103</v>
      </c>
      <c r="U19" s="139">
        <v>9</v>
      </c>
      <c r="V19" s="144">
        <v>5</v>
      </c>
      <c r="W19" s="149">
        <v>67</v>
      </c>
      <c r="X19" s="129" t="s">
        <v>117</v>
      </c>
      <c r="Y19" s="129" t="s">
        <v>118</v>
      </c>
      <c r="Z19" s="143">
        <v>18</v>
      </c>
      <c r="AA19" s="143">
        <v>13</v>
      </c>
      <c r="AB19" s="160">
        <v>74</v>
      </c>
      <c r="AC19" s="146" t="s">
        <v>164</v>
      </c>
    </row>
    <row r="20" spans="1:29" x14ac:dyDescent="0.3">
      <c r="A20" s="161" t="s">
        <v>96</v>
      </c>
      <c r="B20" s="130" t="s">
        <v>81</v>
      </c>
      <c r="C20" s="158">
        <v>91</v>
      </c>
      <c r="D20" s="140" t="s">
        <v>19</v>
      </c>
      <c r="E20" s="142">
        <v>7</v>
      </c>
      <c r="F20" s="141">
        <v>0.73</v>
      </c>
      <c r="G20" s="147" t="s">
        <v>20</v>
      </c>
      <c r="H20" s="143">
        <v>10</v>
      </c>
      <c r="I20" s="148">
        <v>6.3387713631728753</v>
      </c>
      <c r="J20" s="129" t="s">
        <v>26</v>
      </c>
      <c r="K20" s="145">
        <v>10</v>
      </c>
      <c r="L20" s="151">
        <v>27</v>
      </c>
      <c r="M20" s="159">
        <v>0.86879432624113473</v>
      </c>
      <c r="N20" s="147" t="s">
        <v>159</v>
      </c>
      <c r="O20" s="147">
        <v>10</v>
      </c>
      <c r="P20" s="150">
        <v>1</v>
      </c>
      <c r="Q20" s="147" t="s">
        <v>17</v>
      </c>
      <c r="R20" s="147">
        <v>15</v>
      </c>
      <c r="S20" s="152">
        <v>0.1390475454832171</v>
      </c>
      <c r="T20" s="139" t="s">
        <v>143</v>
      </c>
      <c r="U20" s="139">
        <v>6</v>
      </c>
      <c r="V20" s="144">
        <v>5</v>
      </c>
      <c r="W20" s="149">
        <v>63</v>
      </c>
      <c r="X20" s="129" t="s">
        <v>117</v>
      </c>
      <c r="Y20" s="129" t="s">
        <v>118</v>
      </c>
      <c r="Z20" s="143">
        <v>19</v>
      </c>
      <c r="AA20" s="143">
        <v>20</v>
      </c>
      <c r="AB20" s="160">
        <v>51</v>
      </c>
      <c r="AC20" s="146" t="s">
        <v>164</v>
      </c>
    </row>
    <row r="21" spans="1:29" x14ac:dyDescent="0.3">
      <c r="A21" s="161" t="s">
        <v>162</v>
      </c>
      <c r="B21" s="130" t="s">
        <v>32</v>
      </c>
      <c r="C21" s="158">
        <v>44</v>
      </c>
      <c r="D21" s="140" t="s">
        <v>89</v>
      </c>
      <c r="E21" s="140">
        <v>4</v>
      </c>
      <c r="F21" s="141">
        <v>0.7</v>
      </c>
      <c r="G21" s="147" t="s">
        <v>20</v>
      </c>
      <c r="H21" s="143">
        <v>10</v>
      </c>
      <c r="I21" s="148">
        <v>0</v>
      </c>
      <c r="J21" s="129" t="s">
        <v>26</v>
      </c>
      <c r="K21" s="145">
        <v>10</v>
      </c>
      <c r="L21" s="151">
        <v>24</v>
      </c>
      <c r="M21" s="159">
        <v>0.58333333333333337</v>
      </c>
      <c r="N21" s="147" t="s">
        <v>113</v>
      </c>
      <c r="O21" s="147">
        <v>0</v>
      </c>
      <c r="P21" s="150">
        <v>0.54545454545454541</v>
      </c>
      <c r="Q21" s="147" t="s">
        <v>113</v>
      </c>
      <c r="R21" s="147">
        <v>0</v>
      </c>
      <c r="S21" s="152">
        <v>0.11310436812270756</v>
      </c>
      <c r="T21" s="139" t="s">
        <v>116</v>
      </c>
      <c r="U21" s="139">
        <v>12</v>
      </c>
      <c r="V21" s="144">
        <v>5</v>
      </c>
      <c r="W21" s="149">
        <v>41</v>
      </c>
      <c r="X21" s="129" t="s">
        <v>136</v>
      </c>
      <c r="Y21" s="129" t="s">
        <v>137</v>
      </c>
      <c r="Z21" s="143">
        <v>20</v>
      </c>
      <c r="AA21" s="147" t="s">
        <v>107</v>
      </c>
      <c r="AB21" s="143" t="s">
        <v>107</v>
      </c>
      <c r="AC21" s="146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200F-D072-4245-B8DC-6003F0F7FC6F}">
  <dimension ref="A1:AC25"/>
  <sheetViews>
    <sheetView topLeftCell="M1" workbookViewId="0">
      <selection activeCell="AE2" sqref="AE2"/>
    </sheetView>
  </sheetViews>
  <sheetFormatPr defaultRowHeight="14.4" x14ac:dyDescent="0.3"/>
  <cols>
    <col min="1" max="1" width="42.21875" customWidth="1"/>
    <col min="2" max="2" width="34" customWidth="1"/>
    <col min="25" max="25" width="13.21875" customWidth="1"/>
    <col min="27" max="27" width="13.44140625" style="122" customWidth="1"/>
    <col min="28" max="28" width="27.44140625" style="122" customWidth="1"/>
    <col min="29" max="29" width="27.44140625" customWidth="1"/>
  </cols>
  <sheetData>
    <row r="1" spans="1:29" s="122" customFormat="1" ht="72" x14ac:dyDescent="0.3">
      <c r="A1" s="123" t="s">
        <v>73</v>
      </c>
      <c r="B1" s="124" t="s">
        <v>74</v>
      </c>
      <c r="C1" s="124" t="s">
        <v>168</v>
      </c>
      <c r="D1" s="125" t="s">
        <v>2</v>
      </c>
      <c r="E1" s="125" t="s">
        <v>75</v>
      </c>
      <c r="F1" s="126" t="s">
        <v>76</v>
      </c>
      <c r="G1" s="126" t="s">
        <v>0</v>
      </c>
      <c r="H1" s="126" t="s">
        <v>77</v>
      </c>
      <c r="I1" s="127" t="s">
        <v>11</v>
      </c>
      <c r="J1" s="127" t="s">
        <v>1</v>
      </c>
      <c r="K1" s="127" t="s">
        <v>78</v>
      </c>
      <c r="L1" s="125" t="s">
        <v>12</v>
      </c>
      <c r="M1" s="133" t="s">
        <v>7</v>
      </c>
      <c r="N1" s="134" t="s">
        <v>3</v>
      </c>
      <c r="O1" s="134" t="s">
        <v>13</v>
      </c>
      <c r="P1" s="137" t="s">
        <v>4</v>
      </c>
      <c r="Q1" s="137" t="s">
        <v>8</v>
      </c>
      <c r="R1" s="137" t="s">
        <v>16</v>
      </c>
      <c r="S1" s="136" t="s">
        <v>5</v>
      </c>
      <c r="T1" s="136" t="s">
        <v>79</v>
      </c>
      <c r="U1" s="136" t="s">
        <v>14</v>
      </c>
      <c r="V1" s="135" t="s">
        <v>15</v>
      </c>
      <c r="W1" s="138" t="s">
        <v>9</v>
      </c>
      <c r="X1" s="153" t="s">
        <v>10</v>
      </c>
      <c r="Y1" s="154" t="s">
        <v>6</v>
      </c>
      <c r="Z1" s="155" t="s">
        <v>31</v>
      </c>
      <c r="AA1" s="156" t="s">
        <v>21</v>
      </c>
      <c r="AB1" s="132" t="s">
        <v>163</v>
      </c>
      <c r="AC1" s="156" t="s">
        <v>23</v>
      </c>
    </row>
    <row r="2" spans="1:29" ht="15" thickBot="1" x14ac:dyDescent="0.35">
      <c r="A2" s="110" t="s">
        <v>39</v>
      </c>
      <c r="B2" s="110" t="s">
        <v>32</v>
      </c>
      <c r="C2" s="116">
        <v>99.645660040190791</v>
      </c>
      <c r="D2" s="117" t="s">
        <v>18</v>
      </c>
      <c r="E2" s="117">
        <v>10</v>
      </c>
      <c r="F2" s="115">
        <v>0.65</v>
      </c>
      <c r="G2" s="112" t="s">
        <v>20</v>
      </c>
      <c r="H2" s="110">
        <v>10</v>
      </c>
      <c r="I2" s="113">
        <v>42.686245424568064</v>
      </c>
      <c r="J2" s="110" t="s">
        <v>26</v>
      </c>
      <c r="K2" s="113">
        <v>11.244840000000002</v>
      </c>
      <c r="L2" s="114">
        <v>26.244840000000003</v>
      </c>
      <c r="M2" s="118">
        <v>0.95</v>
      </c>
      <c r="N2" s="111" t="s">
        <v>57</v>
      </c>
      <c r="O2" s="111">
        <v>20</v>
      </c>
      <c r="P2" s="115">
        <v>0.94606741573033704</v>
      </c>
      <c r="Q2" s="115" t="s">
        <v>62</v>
      </c>
      <c r="R2" s="119">
        <v>15</v>
      </c>
      <c r="S2" s="115">
        <v>0.1270196140386019</v>
      </c>
      <c r="T2" s="115" t="s">
        <v>100</v>
      </c>
      <c r="U2" s="119">
        <v>15</v>
      </c>
      <c r="V2" s="110">
        <v>10</v>
      </c>
      <c r="W2" s="120">
        <v>86.244840000000011</v>
      </c>
      <c r="X2" s="112" t="s">
        <v>28</v>
      </c>
      <c r="Y2" s="112" t="s">
        <v>29</v>
      </c>
      <c r="Z2" s="110">
        <v>1</v>
      </c>
      <c r="AA2" s="131">
        <v>8</v>
      </c>
      <c r="AB2" s="146" t="s">
        <v>167</v>
      </c>
      <c r="AC2" s="94" t="s">
        <v>107</v>
      </c>
    </row>
    <row r="3" spans="1:29" ht="15" thickBot="1" x14ac:dyDescent="0.35">
      <c r="A3" s="110" t="s">
        <v>101</v>
      </c>
      <c r="B3" s="110" t="s">
        <v>102</v>
      </c>
      <c r="C3" s="116">
        <v>97.892246008778386</v>
      </c>
      <c r="D3" s="117" t="s">
        <v>18</v>
      </c>
      <c r="E3" s="117">
        <v>10</v>
      </c>
      <c r="F3" s="115">
        <v>0.64</v>
      </c>
      <c r="G3" s="112" t="s">
        <v>20</v>
      </c>
      <c r="H3" s="110">
        <v>10</v>
      </c>
      <c r="I3" s="113">
        <v>46.806487004646947</v>
      </c>
      <c r="J3" s="110" t="s">
        <v>26</v>
      </c>
      <c r="K3" s="113">
        <v>10.2549888</v>
      </c>
      <c r="L3" s="114">
        <v>30.2549888</v>
      </c>
      <c r="M3" s="118">
        <v>0.95</v>
      </c>
      <c r="N3" s="109" t="s">
        <v>62</v>
      </c>
      <c r="O3" s="111">
        <v>20</v>
      </c>
      <c r="P3" s="115">
        <v>0.95934959349593496</v>
      </c>
      <c r="Q3" s="115" t="s">
        <v>27</v>
      </c>
      <c r="R3" s="121">
        <v>15</v>
      </c>
      <c r="S3" s="115">
        <v>0.14000000000000001</v>
      </c>
      <c r="T3" s="115" t="s">
        <v>103</v>
      </c>
      <c r="U3" s="119">
        <v>10</v>
      </c>
      <c r="V3" s="110">
        <v>10</v>
      </c>
      <c r="W3" s="120">
        <v>85.254988800000007</v>
      </c>
      <c r="X3" s="112" t="s">
        <v>28</v>
      </c>
      <c r="Y3" s="112" t="s">
        <v>29</v>
      </c>
      <c r="Z3" s="110">
        <v>2</v>
      </c>
      <c r="AA3" s="131">
        <v>3</v>
      </c>
      <c r="AB3" s="146" t="s">
        <v>167</v>
      </c>
      <c r="AC3" s="94" t="s">
        <v>107</v>
      </c>
    </row>
    <row r="4" spans="1:29" ht="15" thickBot="1" x14ac:dyDescent="0.35">
      <c r="A4" s="110" t="s">
        <v>104</v>
      </c>
      <c r="B4" s="110" t="s">
        <v>102</v>
      </c>
      <c r="C4" s="116">
        <v>95.685240057419563</v>
      </c>
      <c r="D4" s="117" t="s">
        <v>18</v>
      </c>
      <c r="E4" s="117">
        <v>10</v>
      </c>
      <c r="F4" s="115">
        <v>0.56000000000000005</v>
      </c>
      <c r="G4" s="112" t="s">
        <v>92</v>
      </c>
      <c r="H4" s="110">
        <v>7</v>
      </c>
      <c r="I4" s="113">
        <v>303.54122227771808</v>
      </c>
      <c r="J4" s="110" t="s">
        <v>26</v>
      </c>
      <c r="K4" s="113">
        <v>1.5813338181818186</v>
      </c>
      <c r="L4" s="114">
        <v>18.581333818181818</v>
      </c>
      <c r="M4" s="118">
        <v>0.98</v>
      </c>
      <c r="N4" s="111" t="s">
        <v>62</v>
      </c>
      <c r="O4" s="111">
        <v>20</v>
      </c>
      <c r="P4" s="115">
        <v>0.94117647058823528</v>
      </c>
      <c r="Q4" s="115" t="s">
        <v>27</v>
      </c>
      <c r="R4" s="121">
        <v>10.5</v>
      </c>
      <c r="S4" s="115">
        <v>0.11</v>
      </c>
      <c r="T4" s="115" t="s">
        <v>91</v>
      </c>
      <c r="U4" s="119">
        <v>25</v>
      </c>
      <c r="V4" s="110">
        <v>10</v>
      </c>
      <c r="W4" s="120">
        <v>84.081333818181818</v>
      </c>
      <c r="X4" s="112" t="s">
        <v>85</v>
      </c>
      <c r="Y4" s="112" t="s">
        <v>30</v>
      </c>
      <c r="Z4" s="110">
        <v>3</v>
      </c>
      <c r="AA4" s="131">
        <v>7</v>
      </c>
      <c r="AB4" s="146" t="s">
        <v>167</v>
      </c>
      <c r="AC4" s="94" t="s">
        <v>107</v>
      </c>
    </row>
    <row r="5" spans="1:29" ht="15" thickBot="1" x14ac:dyDescent="0.35">
      <c r="A5" s="110" t="s">
        <v>105</v>
      </c>
      <c r="B5" s="110" t="s">
        <v>106</v>
      </c>
      <c r="C5" s="116">
        <v>96.144572336627022</v>
      </c>
      <c r="D5" s="117" t="s">
        <v>18</v>
      </c>
      <c r="E5" s="117">
        <v>10</v>
      </c>
      <c r="F5" s="115">
        <v>0.57999999999999996</v>
      </c>
      <c r="G5" s="112" t="s">
        <v>92</v>
      </c>
      <c r="H5" s="110">
        <v>7</v>
      </c>
      <c r="I5" s="113">
        <v>918.53227201707239</v>
      </c>
      <c r="J5" s="110" t="s">
        <v>26</v>
      </c>
      <c r="K5" s="113">
        <v>0.52257282038216557</v>
      </c>
      <c r="L5" s="114">
        <v>17.522572820382166</v>
      </c>
      <c r="M5" s="118">
        <v>0.94</v>
      </c>
      <c r="N5" s="109" t="s">
        <v>27</v>
      </c>
      <c r="O5" s="111">
        <v>14</v>
      </c>
      <c r="P5" s="115">
        <v>0.963963963963964</v>
      </c>
      <c r="Q5" s="115" t="s">
        <v>62</v>
      </c>
      <c r="R5" s="119">
        <v>15</v>
      </c>
      <c r="S5" s="115">
        <v>0.11536578021165365</v>
      </c>
      <c r="T5" s="115" t="s">
        <v>94</v>
      </c>
      <c r="U5" s="119">
        <v>23</v>
      </c>
      <c r="V5" s="110">
        <v>10</v>
      </c>
      <c r="W5" s="120">
        <v>79.522572820382166</v>
      </c>
      <c r="X5" s="112" t="s">
        <v>85</v>
      </c>
      <c r="Y5" s="112" t="s">
        <v>30</v>
      </c>
      <c r="Z5" s="110">
        <v>4</v>
      </c>
      <c r="AA5" s="131" t="s">
        <v>107</v>
      </c>
      <c r="AB5" s="146" t="s">
        <v>167</v>
      </c>
      <c r="AC5" s="94" t="s">
        <v>107</v>
      </c>
    </row>
    <row r="6" spans="1:29" ht="15" thickBot="1" x14ac:dyDescent="0.35">
      <c r="A6" s="110" t="s">
        <v>108</v>
      </c>
      <c r="B6" s="110" t="s">
        <v>32</v>
      </c>
      <c r="C6" s="116">
        <v>94.515010739915823</v>
      </c>
      <c r="D6" s="117" t="s">
        <v>18</v>
      </c>
      <c r="E6" s="117">
        <v>10</v>
      </c>
      <c r="F6" s="115">
        <v>0.52</v>
      </c>
      <c r="G6" s="112" t="s">
        <v>92</v>
      </c>
      <c r="H6" s="110">
        <v>7</v>
      </c>
      <c r="I6" s="113">
        <v>970.42513863216266</v>
      </c>
      <c r="J6" s="110" t="s">
        <v>26</v>
      </c>
      <c r="K6" s="113">
        <v>0.49462857142857142</v>
      </c>
      <c r="L6" s="114">
        <v>15.494628571428571</v>
      </c>
      <c r="M6" s="118">
        <v>0.96153846153846156</v>
      </c>
      <c r="N6" s="111" t="s">
        <v>62</v>
      </c>
      <c r="O6" s="111">
        <v>20</v>
      </c>
      <c r="P6" s="115">
        <v>1</v>
      </c>
      <c r="Q6" s="115" t="s">
        <v>62</v>
      </c>
      <c r="R6" s="119">
        <v>15</v>
      </c>
      <c r="S6" s="115">
        <v>0.12103661348071379</v>
      </c>
      <c r="T6" s="115" t="s">
        <v>109</v>
      </c>
      <c r="U6" s="119">
        <v>19</v>
      </c>
      <c r="V6" s="110">
        <v>10</v>
      </c>
      <c r="W6" s="120">
        <v>79.494628571428564</v>
      </c>
      <c r="X6" s="112" t="s">
        <v>85</v>
      </c>
      <c r="Y6" s="112" t="s">
        <v>30</v>
      </c>
      <c r="Z6" s="110">
        <v>5</v>
      </c>
      <c r="AA6" s="131" t="s">
        <v>107</v>
      </c>
      <c r="AB6" s="146" t="s">
        <v>167</v>
      </c>
      <c r="AC6" s="94" t="s">
        <v>107</v>
      </c>
    </row>
    <row r="7" spans="1:29" ht="15" thickBot="1" x14ac:dyDescent="0.35">
      <c r="A7" s="110" t="s">
        <v>96</v>
      </c>
      <c r="B7" s="110" t="s">
        <v>32</v>
      </c>
      <c r="C7" s="116">
        <v>94.196594343246801</v>
      </c>
      <c r="D7" s="117" t="s">
        <v>18</v>
      </c>
      <c r="E7" s="117">
        <v>10</v>
      </c>
      <c r="F7" s="115">
        <v>0.61</v>
      </c>
      <c r="G7" s="112" t="s">
        <v>20</v>
      </c>
      <c r="H7" s="110">
        <v>10</v>
      </c>
      <c r="I7" s="113">
        <v>58.156440825821463</v>
      </c>
      <c r="J7" s="110" t="s">
        <v>26</v>
      </c>
      <c r="K7" s="113">
        <v>8.2535999999999987</v>
      </c>
      <c r="L7" s="114">
        <v>28.253599999999999</v>
      </c>
      <c r="M7" s="118">
        <v>0.87735849056603776</v>
      </c>
      <c r="N7" s="111" t="s">
        <v>57</v>
      </c>
      <c r="O7" s="111">
        <v>10</v>
      </c>
      <c r="P7" s="115">
        <v>0.90825688073394495</v>
      </c>
      <c r="Q7" s="115" t="s">
        <v>27</v>
      </c>
      <c r="R7" s="121">
        <v>10.5</v>
      </c>
      <c r="S7" s="115">
        <v>0.12043153850638882</v>
      </c>
      <c r="T7" s="115" t="s">
        <v>99</v>
      </c>
      <c r="U7" s="119">
        <v>20</v>
      </c>
      <c r="V7" s="110">
        <v>10</v>
      </c>
      <c r="W7" s="120">
        <v>78.753600000000006</v>
      </c>
      <c r="X7" s="112" t="s">
        <v>85</v>
      </c>
      <c r="Y7" s="112" t="s">
        <v>30</v>
      </c>
      <c r="Z7" s="110">
        <v>6</v>
      </c>
      <c r="AA7" s="131" t="s">
        <v>107</v>
      </c>
      <c r="AB7" s="146" t="s">
        <v>167</v>
      </c>
      <c r="AC7" s="94" t="s">
        <v>107</v>
      </c>
    </row>
    <row r="8" spans="1:29" ht="15" thickBot="1" x14ac:dyDescent="0.35">
      <c r="A8" s="110" t="s">
        <v>110</v>
      </c>
      <c r="B8" s="110" t="s">
        <v>32</v>
      </c>
      <c r="C8" s="116">
        <v>99.396850289795609</v>
      </c>
      <c r="D8" s="117" t="s">
        <v>18</v>
      </c>
      <c r="E8" s="117">
        <v>10</v>
      </c>
      <c r="F8" s="115">
        <v>0.61</v>
      </c>
      <c r="G8" s="112" t="s">
        <v>20</v>
      </c>
      <c r="H8" s="110">
        <v>10</v>
      </c>
      <c r="I8" s="113">
        <v>350.43175528462757</v>
      </c>
      <c r="J8" s="110" t="s">
        <v>26</v>
      </c>
      <c r="K8" s="113">
        <v>1.3697388800000003</v>
      </c>
      <c r="L8" s="114">
        <v>21.36973888</v>
      </c>
      <c r="M8" s="118">
        <v>0.95</v>
      </c>
      <c r="N8" s="111" t="s">
        <v>57</v>
      </c>
      <c r="O8" s="111">
        <v>20</v>
      </c>
      <c r="P8" s="115">
        <v>0.94606741573033704</v>
      </c>
      <c r="Q8" s="115" t="s">
        <v>62</v>
      </c>
      <c r="R8" s="119">
        <v>15</v>
      </c>
      <c r="S8" s="115">
        <v>0.15803635949787975</v>
      </c>
      <c r="T8" s="115" t="s">
        <v>111</v>
      </c>
      <c r="U8" s="119">
        <v>8</v>
      </c>
      <c r="V8" s="110">
        <v>10</v>
      </c>
      <c r="W8" s="120">
        <v>74.36973888</v>
      </c>
      <c r="X8" s="112" t="s">
        <v>85</v>
      </c>
      <c r="Y8" s="112" t="s">
        <v>30</v>
      </c>
      <c r="Z8" s="110">
        <v>7</v>
      </c>
      <c r="AA8" s="131">
        <v>11</v>
      </c>
      <c r="AB8" s="146" t="s">
        <v>167</v>
      </c>
      <c r="AC8" s="94" t="s">
        <v>107</v>
      </c>
    </row>
    <row r="9" spans="1:29" ht="15" thickBot="1" x14ac:dyDescent="0.35">
      <c r="A9" s="110" t="s">
        <v>112</v>
      </c>
      <c r="B9" s="110" t="s">
        <v>32</v>
      </c>
      <c r="C9" s="116">
        <v>100</v>
      </c>
      <c r="D9" s="117" t="s">
        <v>18</v>
      </c>
      <c r="E9" s="117">
        <v>10</v>
      </c>
      <c r="F9" s="115">
        <v>0.68</v>
      </c>
      <c r="G9" s="112" t="s">
        <v>20</v>
      </c>
      <c r="H9" s="110">
        <v>10</v>
      </c>
      <c r="I9" s="113">
        <v>42.808541708190944</v>
      </c>
      <c r="J9" s="110" t="s">
        <v>26</v>
      </c>
      <c r="K9" s="113">
        <v>10</v>
      </c>
      <c r="L9" s="114">
        <v>26</v>
      </c>
      <c r="M9" s="118">
        <v>0.90740740740740744</v>
      </c>
      <c r="N9" s="111" t="s">
        <v>62</v>
      </c>
      <c r="O9" s="111">
        <v>20</v>
      </c>
      <c r="P9" s="115">
        <v>0</v>
      </c>
      <c r="Q9" s="115" t="s">
        <v>113</v>
      </c>
      <c r="R9" s="119">
        <v>0</v>
      </c>
      <c r="S9" s="115">
        <v>0.12191454303686688</v>
      </c>
      <c r="T9" s="115" t="s">
        <v>97</v>
      </c>
      <c r="U9" s="119">
        <v>18</v>
      </c>
      <c r="V9" s="110">
        <v>10</v>
      </c>
      <c r="W9" s="120">
        <v>74</v>
      </c>
      <c r="X9" s="112" t="s">
        <v>85</v>
      </c>
      <c r="Y9" s="112" t="s">
        <v>30</v>
      </c>
      <c r="Z9" s="110">
        <v>8</v>
      </c>
      <c r="AA9" s="131" t="s">
        <v>107</v>
      </c>
      <c r="AB9" s="146" t="s">
        <v>167</v>
      </c>
      <c r="AC9" s="94" t="s">
        <v>107</v>
      </c>
    </row>
    <row r="10" spans="1:29" ht="15" thickBot="1" x14ac:dyDescent="0.35">
      <c r="A10" s="110" t="s">
        <v>114</v>
      </c>
      <c r="B10" s="110" t="s">
        <v>32</v>
      </c>
      <c r="C10" s="116">
        <v>100</v>
      </c>
      <c r="D10" s="117" t="s">
        <v>18</v>
      </c>
      <c r="E10" s="117">
        <v>10</v>
      </c>
      <c r="F10" s="115">
        <v>0.67</v>
      </c>
      <c r="G10" s="112" t="s">
        <v>20</v>
      </c>
      <c r="H10" s="110">
        <v>10</v>
      </c>
      <c r="I10" s="113">
        <v>80.459002517562197</v>
      </c>
      <c r="J10" s="110" t="s">
        <v>26</v>
      </c>
      <c r="K10" s="113">
        <v>5.9657711999999989</v>
      </c>
      <c r="L10" s="114">
        <v>22.965771199999999</v>
      </c>
      <c r="M10" s="118">
        <v>0.89166666666666672</v>
      </c>
      <c r="N10" s="111" t="s">
        <v>57</v>
      </c>
      <c r="O10" s="111">
        <v>10</v>
      </c>
      <c r="P10" s="115">
        <v>0.94606741573033704</v>
      </c>
      <c r="Q10" s="115" t="s">
        <v>62</v>
      </c>
      <c r="R10" s="119">
        <v>15</v>
      </c>
      <c r="S10" s="115">
        <v>0.12588453551792131</v>
      </c>
      <c r="T10" s="115" t="s">
        <v>87</v>
      </c>
      <c r="U10" s="119">
        <v>16</v>
      </c>
      <c r="V10" s="110">
        <v>10</v>
      </c>
      <c r="W10" s="120">
        <v>73.965771200000006</v>
      </c>
      <c r="X10" s="112" t="s">
        <v>85</v>
      </c>
      <c r="Y10" s="112" t="s">
        <v>30</v>
      </c>
      <c r="Z10" s="110">
        <v>9</v>
      </c>
      <c r="AA10" s="131">
        <v>1</v>
      </c>
      <c r="AB10" s="146" t="s">
        <v>167</v>
      </c>
      <c r="AC10" s="94" t="s">
        <v>107</v>
      </c>
    </row>
    <row r="11" spans="1:29" ht="15" thickBot="1" x14ac:dyDescent="0.35">
      <c r="A11" s="110" t="s">
        <v>67</v>
      </c>
      <c r="B11" s="110" t="s">
        <v>102</v>
      </c>
      <c r="C11" s="116">
        <v>97.678807625950753</v>
      </c>
      <c r="D11" s="117" t="s">
        <v>18</v>
      </c>
      <c r="E11" s="117">
        <v>10</v>
      </c>
      <c r="F11" s="115">
        <v>0.64</v>
      </c>
      <c r="G11" s="112" t="s">
        <v>20</v>
      </c>
      <c r="H11" s="110">
        <v>10</v>
      </c>
      <c r="I11" s="113">
        <v>510.27775611122229</v>
      </c>
      <c r="J11" s="110" t="s">
        <v>26</v>
      </c>
      <c r="K11" s="113">
        <v>0.94066416623376614</v>
      </c>
      <c r="L11" s="114">
        <v>20.940664166233766</v>
      </c>
      <c r="M11" s="118">
        <v>0.97</v>
      </c>
      <c r="N11" s="111" t="s">
        <v>62</v>
      </c>
      <c r="O11" s="111">
        <v>20</v>
      </c>
      <c r="P11" s="115">
        <v>0.8413793103448276</v>
      </c>
      <c r="Q11" s="115" t="s">
        <v>115</v>
      </c>
      <c r="R11" s="119">
        <v>4.5</v>
      </c>
      <c r="S11" s="115">
        <v>0.14000000000000001</v>
      </c>
      <c r="T11" s="115" t="s">
        <v>116</v>
      </c>
      <c r="U11" s="119">
        <v>12</v>
      </c>
      <c r="V11" s="110">
        <v>10</v>
      </c>
      <c r="W11" s="120">
        <v>67.440664166233773</v>
      </c>
      <c r="X11" s="112" t="s">
        <v>117</v>
      </c>
      <c r="Y11" s="112" t="s">
        <v>118</v>
      </c>
      <c r="Z11" s="110">
        <v>10</v>
      </c>
      <c r="AA11" s="131">
        <v>13</v>
      </c>
      <c r="AB11" s="146" t="s">
        <v>167</v>
      </c>
      <c r="AC11" s="94" t="s">
        <v>107</v>
      </c>
    </row>
    <row r="12" spans="1:29" ht="15" thickBot="1" x14ac:dyDescent="0.35">
      <c r="A12" s="110" t="s">
        <v>119</v>
      </c>
      <c r="B12" s="110" t="s">
        <v>32</v>
      </c>
      <c r="C12" s="116">
        <v>95.437894435474078</v>
      </c>
      <c r="D12" s="117" t="s">
        <v>18</v>
      </c>
      <c r="E12" s="117">
        <v>10</v>
      </c>
      <c r="F12" s="115">
        <v>0.59</v>
      </c>
      <c r="G12" s="112" t="s">
        <v>92</v>
      </c>
      <c r="H12" s="110">
        <v>7</v>
      </c>
      <c r="I12" s="113">
        <v>96.635179167259253</v>
      </c>
      <c r="J12" s="110" t="s">
        <v>26</v>
      </c>
      <c r="K12" s="113">
        <v>4.9671351999999986</v>
      </c>
      <c r="L12" s="114">
        <v>17.967135199999998</v>
      </c>
      <c r="M12" s="118">
        <v>0.89</v>
      </c>
      <c r="N12" s="111" t="s">
        <v>57</v>
      </c>
      <c r="O12" s="111">
        <v>10</v>
      </c>
      <c r="P12" s="115">
        <v>0.94300518134715028</v>
      </c>
      <c r="Q12" s="115" t="s">
        <v>27</v>
      </c>
      <c r="R12" s="121">
        <v>10.5</v>
      </c>
      <c r="S12" s="115">
        <v>0.12474826987343349</v>
      </c>
      <c r="T12" s="115" t="s">
        <v>120</v>
      </c>
      <c r="U12" s="119">
        <v>17</v>
      </c>
      <c r="V12" s="110">
        <v>10</v>
      </c>
      <c r="W12" s="120">
        <v>65.467135200000001</v>
      </c>
      <c r="X12" s="112" t="s">
        <v>117</v>
      </c>
      <c r="Y12" s="112" t="s">
        <v>118</v>
      </c>
      <c r="Z12" s="110">
        <v>11</v>
      </c>
      <c r="AA12" s="131">
        <v>22</v>
      </c>
      <c r="AB12" s="146" t="s">
        <v>167</v>
      </c>
      <c r="AC12" s="94" t="s">
        <v>107</v>
      </c>
    </row>
    <row r="13" spans="1:29" ht="15" thickBot="1" x14ac:dyDescent="0.35">
      <c r="A13" s="110" t="s">
        <v>121</v>
      </c>
      <c r="B13" s="110" t="s">
        <v>102</v>
      </c>
      <c r="C13" s="116">
        <v>99.108729806885151</v>
      </c>
      <c r="D13" s="117" t="s">
        <v>18</v>
      </c>
      <c r="E13" s="117">
        <v>10</v>
      </c>
      <c r="F13" s="115">
        <v>0.55000000000000004</v>
      </c>
      <c r="G13" s="112" t="s">
        <v>92</v>
      </c>
      <c r="H13" s="110">
        <v>7</v>
      </c>
      <c r="I13" s="113">
        <v>620.54659319920324</v>
      </c>
      <c r="J13" s="110" t="s">
        <v>26</v>
      </c>
      <c r="K13" s="113">
        <v>0.77351161904761911</v>
      </c>
      <c r="L13" s="114">
        <v>20.773511619047618</v>
      </c>
      <c r="M13" s="118">
        <v>0.9</v>
      </c>
      <c r="N13" s="111" t="s">
        <v>27</v>
      </c>
      <c r="O13" s="111">
        <v>14</v>
      </c>
      <c r="P13" s="115">
        <v>0.91176470588235292</v>
      </c>
      <c r="Q13" s="115" t="s">
        <v>27</v>
      </c>
      <c r="R13" s="121">
        <v>10.5</v>
      </c>
      <c r="S13" s="115">
        <v>0.13505098193774445</v>
      </c>
      <c r="T13" s="115" t="s">
        <v>122</v>
      </c>
      <c r="U13" s="119">
        <v>13</v>
      </c>
      <c r="V13" s="110">
        <v>7</v>
      </c>
      <c r="W13" s="120">
        <v>65.273511619047611</v>
      </c>
      <c r="X13" s="112" t="s">
        <v>117</v>
      </c>
      <c r="Y13" s="112" t="s">
        <v>118</v>
      </c>
      <c r="Z13" s="110">
        <v>12</v>
      </c>
      <c r="AA13" s="131">
        <v>24</v>
      </c>
      <c r="AB13" s="146" t="s">
        <v>167</v>
      </c>
      <c r="AC13" s="94" t="s">
        <v>107</v>
      </c>
    </row>
    <row r="14" spans="1:29" ht="15" thickBot="1" x14ac:dyDescent="0.35">
      <c r="A14" s="110" t="s">
        <v>123</v>
      </c>
      <c r="B14" s="110" t="s">
        <v>32</v>
      </c>
      <c r="C14" s="116">
        <v>92.266537762103326</v>
      </c>
      <c r="D14" s="117" t="s">
        <v>18</v>
      </c>
      <c r="E14" s="117">
        <v>10</v>
      </c>
      <c r="F14" s="115">
        <v>0.6</v>
      </c>
      <c r="G14" s="112" t="s">
        <v>92</v>
      </c>
      <c r="H14" s="110">
        <v>7</v>
      </c>
      <c r="I14" s="113">
        <v>401.32156123420378</v>
      </c>
      <c r="J14" s="110" t="s">
        <v>26</v>
      </c>
      <c r="K14" s="113">
        <v>1.1960483720930233</v>
      </c>
      <c r="L14" s="114">
        <v>21.196048372093024</v>
      </c>
      <c r="M14" s="118">
        <v>0.89473684210526316</v>
      </c>
      <c r="N14" s="111" t="s">
        <v>57</v>
      </c>
      <c r="O14" s="111">
        <v>10</v>
      </c>
      <c r="P14" s="115">
        <v>0</v>
      </c>
      <c r="Q14" s="115" t="s">
        <v>113</v>
      </c>
      <c r="R14" s="119">
        <v>0</v>
      </c>
      <c r="S14" s="115">
        <v>0.11173528280107735</v>
      </c>
      <c r="T14" s="115" t="s">
        <v>124</v>
      </c>
      <c r="U14" s="119">
        <v>24</v>
      </c>
      <c r="V14" s="110">
        <v>10</v>
      </c>
      <c r="W14" s="120">
        <v>65.196048372093031</v>
      </c>
      <c r="X14" s="112" t="s">
        <v>117</v>
      </c>
      <c r="Y14" s="112" t="s">
        <v>118</v>
      </c>
      <c r="Z14" s="110">
        <v>13</v>
      </c>
      <c r="AA14" s="131">
        <v>17</v>
      </c>
      <c r="AB14" s="146" t="s">
        <v>167</v>
      </c>
      <c r="AC14" s="94" t="s">
        <v>107</v>
      </c>
    </row>
    <row r="15" spans="1:29" ht="15" thickBot="1" x14ac:dyDescent="0.35">
      <c r="A15" s="110" t="s">
        <v>125</v>
      </c>
      <c r="B15" s="110" t="s">
        <v>102</v>
      </c>
      <c r="C15" s="116">
        <v>98.287139781761113</v>
      </c>
      <c r="D15" s="117" t="s">
        <v>18</v>
      </c>
      <c r="E15" s="117">
        <v>10</v>
      </c>
      <c r="F15" s="115">
        <v>0.54</v>
      </c>
      <c r="G15" s="112" t="s">
        <v>92</v>
      </c>
      <c r="H15" s="110">
        <v>7</v>
      </c>
      <c r="I15" s="113">
        <v>359.89800490540989</v>
      </c>
      <c r="J15" s="110" t="s">
        <v>26</v>
      </c>
      <c r="K15" s="113">
        <v>1.3337111999999998</v>
      </c>
      <c r="L15" s="114">
        <v>21.3337112</v>
      </c>
      <c r="M15" s="118">
        <v>0.97</v>
      </c>
      <c r="N15" s="111" t="s">
        <v>62</v>
      </c>
      <c r="O15" s="111">
        <v>20</v>
      </c>
      <c r="P15" s="115">
        <v>0.86363636363636365</v>
      </c>
      <c r="Q15" s="115" t="s">
        <v>57</v>
      </c>
      <c r="R15" s="119">
        <v>7.5</v>
      </c>
      <c r="S15" s="115">
        <v>0.26823515887434185</v>
      </c>
      <c r="T15" s="115" t="s">
        <v>126</v>
      </c>
      <c r="U15" s="119">
        <v>4</v>
      </c>
      <c r="V15" s="110">
        <v>10</v>
      </c>
      <c r="W15" s="120">
        <v>62.833711199999996</v>
      </c>
      <c r="X15" s="112" t="s">
        <v>117</v>
      </c>
      <c r="Y15" s="112" t="s">
        <v>118</v>
      </c>
      <c r="Z15" s="110">
        <v>14</v>
      </c>
      <c r="AA15" s="131">
        <v>18</v>
      </c>
      <c r="AB15" s="146" t="s">
        <v>167</v>
      </c>
      <c r="AC15" s="94" t="s">
        <v>107</v>
      </c>
    </row>
    <row r="16" spans="1:29" ht="15" thickBot="1" x14ac:dyDescent="0.35">
      <c r="A16" s="110" t="s">
        <v>90</v>
      </c>
      <c r="B16" s="110" t="s">
        <v>102</v>
      </c>
      <c r="C16" s="116">
        <v>98.99750369216116</v>
      </c>
      <c r="D16" s="117" t="s">
        <v>18</v>
      </c>
      <c r="E16" s="117">
        <v>10</v>
      </c>
      <c r="F16" s="115">
        <v>0.57999999999999996</v>
      </c>
      <c r="G16" s="112" t="s">
        <v>92</v>
      </c>
      <c r="H16" s="110">
        <v>7</v>
      </c>
      <c r="I16" s="113">
        <v>713.60078496086351</v>
      </c>
      <c r="J16" s="110" t="s">
        <v>26</v>
      </c>
      <c r="K16" s="113">
        <v>0.67264499999999994</v>
      </c>
      <c r="L16" s="114">
        <v>13.672644999999999</v>
      </c>
      <c r="M16" s="118">
        <v>0.95</v>
      </c>
      <c r="N16" s="111" t="s">
        <v>62</v>
      </c>
      <c r="O16" s="111">
        <v>20</v>
      </c>
      <c r="P16" s="115">
        <v>0.86792452830188682</v>
      </c>
      <c r="Q16" s="115" t="s">
        <v>57</v>
      </c>
      <c r="R16" s="119">
        <v>7.5</v>
      </c>
      <c r="S16" s="115">
        <v>0.14216094944872049</v>
      </c>
      <c r="T16" s="115" t="s">
        <v>127</v>
      </c>
      <c r="U16" s="119">
        <v>11</v>
      </c>
      <c r="V16" s="110">
        <v>10</v>
      </c>
      <c r="W16" s="120">
        <v>62.172645000000003</v>
      </c>
      <c r="X16" s="112" t="s">
        <v>117</v>
      </c>
      <c r="Y16" s="112" t="s">
        <v>118</v>
      </c>
      <c r="Z16" s="110">
        <v>15</v>
      </c>
      <c r="AA16" s="131">
        <v>14</v>
      </c>
      <c r="AB16" s="146" t="s">
        <v>167</v>
      </c>
      <c r="AC16" s="94" t="s">
        <v>107</v>
      </c>
    </row>
    <row r="17" spans="1:29" ht="15" thickBot="1" x14ac:dyDescent="0.35">
      <c r="A17" s="110" t="s">
        <v>128</v>
      </c>
      <c r="B17" s="110" t="s">
        <v>102</v>
      </c>
      <c r="C17" s="116">
        <v>89.956128646742599</v>
      </c>
      <c r="D17" s="117" t="s">
        <v>18</v>
      </c>
      <c r="E17" s="117">
        <v>10</v>
      </c>
      <c r="F17" s="115">
        <v>0.57999999999999996</v>
      </c>
      <c r="G17" s="112" t="s">
        <v>92</v>
      </c>
      <c r="H17" s="110">
        <v>7</v>
      </c>
      <c r="I17" s="113">
        <v>334.34025473384008</v>
      </c>
      <c r="J17" s="110" t="s">
        <v>26</v>
      </c>
      <c r="K17" s="113">
        <v>1.4356632</v>
      </c>
      <c r="L17" s="114">
        <v>21.4356632</v>
      </c>
      <c r="M17" s="118">
        <v>0.91</v>
      </c>
      <c r="N17" s="109" t="s">
        <v>27</v>
      </c>
      <c r="O17" s="111">
        <v>14</v>
      </c>
      <c r="P17" s="115">
        <v>0.89534883720930236</v>
      </c>
      <c r="Q17" s="115" t="s">
        <v>27</v>
      </c>
      <c r="R17" s="121">
        <v>10.5</v>
      </c>
      <c r="S17" s="115">
        <v>0.20337746604845408</v>
      </c>
      <c r="T17" s="115" t="s">
        <v>129</v>
      </c>
      <c r="U17" s="119">
        <v>5</v>
      </c>
      <c r="V17" s="110">
        <v>10</v>
      </c>
      <c r="W17" s="120">
        <v>60.9356632</v>
      </c>
      <c r="X17" s="112" t="s">
        <v>117</v>
      </c>
      <c r="Y17" s="112" t="s">
        <v>118</v>
      </c>
      <c r="Z17" s="110">
        <v>17</v>
      </c>
      <c r="AA17" s="131" t="s">
        <v>107</v>
      </c>
      <c r="AB17" s="146" t="s">
        <v>167</v>
      </c>
      <c r="AC17" s="94" t="s">
        <v>107</v>
      </c>
    </row>
    <row r="18" spans="1:29" ht="15" thickBot="1" x14ac:dyDescent="0.35">
      <c r="A18" s="110" t="s">
        <v>130</v>
      </c>
      <c r="B18" s="110" t="s">
        <v>32</v>
      </c>
      <c r="C18" s="116">
        <v>100</v>
      </c>
      <c r="D18" s="117" t="s">
        <v>18</v>
      </c>
      <c r="E18" s="117">
        <v>10</v>
      </c>
      <c r="F18" s="115">
        <v>0.46</v>
      </c>
      <c r="G18" s="110" t="s">
        <v>131</v>
      </c>
      <c r="H18" s="110">
        <v>5</v>
      </c>
      <c r="I18" s="113">
        <v>269.09427758787155</v>
      </c>
      <c r="J18" s="110" t="s">
        <v>26</v>
      </c>
      <c r="K18" s="113">
        <v>1.7837614545454543</v>
      </c>
      <c r="L18" s="114">
        <v>19.783761454545456</v>
      </c>
      <c r="M18" s="118">
        <v>0.88888888888888884</v>
      </c>
      <c r="N18" s="111" t="s">
        <v>57</v>
      </c>
      <c r="O18" s="111">
        <v>10</v>
      </c>
      <c r="P18" s="115">
        <v>0</v>
      </c>
      <c r="Q18" s="115" t="s">
        <v>113</v>
      </c>
      <c r="R18" s="119">
        <v>0</v>
      </c>
      <c r="S18" s="115">
        <v>0.12000419386678551</v>
      </c>
      <c r="T18" s="115" t="s">
        <v>84</v>
      </c>
      <c r="U18" s="119">
        <v>21</v>
      </c>
      <c r="V18" s="110">
        <v>10</v>
      </c>
      <c r="W18" s="120">
        <v>60.783761454545456</v>
      </c>
      <c r="X18" s="112" t="s">
        <v>117</v>
      </c>
      <c r="Y18" s="112" t="s">
        <v>118</v>
      </c>
      <c r="Z18" s="110">
        <v>18</v>
      </c>
      <c r="AA18" s="131" t="s">
        <v>107</v>
      </c>
      <c r="AB18" s="146" t="s">
        <v>167</v>
      </c>
      <c r="AC18" s="94" t="s">
        <v>107</v>
      </c>
    </row>
    <row r="19" spans="1:29" ht="15" thickBot="1" x14ac:dyDescent="0.35">
      <c r="A19" s="110" t="s">
        <v>132</v>
      </c>
      <c r="B19" s="110" t="s">
        <v>102</v>
      </c>
      <c r="C19" s="116">
        <v>85.839091202674496</v>
      </c>
      <c r="D19" s="117" t="s">
        <v>18</v>
      </c>
      <c r="E19" s="117">
        <v>10</v>
      </c>
      <c r="F19" s="115">
        <v>0.7</v>
      </c>
      <c r="G19" s="112" t="s">
        <v>20</v>
      </c>
      <c r="H19" s="110">
        <v>10</v>
      </c>
      <c r="I19" s="113">
        <v>7.2683438887049867</v>
      </c>
      <c r="J19" s="110" t="s">
        <v>26</v>
      </c>
      <c r="K19" s="113">
        <v>10</v>
      </c>
      <c r="L19" s="114">
        <v>30</v>
      </c>
      <c r="M19" s="118">
        <v>0.88888888888888884</v>
      </c>
      <c r="N19" s="111" t="s">
        <v>57</v>
      </c>
      <c r="O19" s="111">
        <v>10</v>
      </c>
      <c r="P19" s="115">
        <v>0</v>
      </c>
      <c r="Q19" s="115" t="s">
        <v>113</v>
      </c>
      <c r="R19" s="119">
        <v>0</v>
      </c>
      <c r="S19" s="115">
        <v>0.14425099839889063</v>
      </c>
      <c r="T19" s="115" t="s">
        <v>133</v>
      </c>
      <c r="U19" s="119">
        <v>10</v>
      </c>
      <c r="V19" s="110">
        <v>10</v>
      </c>
      <c r="W19" s="120">
        <v>60</v>
      </c>
      <c r="X19" s="112" t="s">
        <v>117</v>
      </c>
      <c r="Y19" s="112" t="s">
        <v>118</v>
      </c>
      <c r="Z19" s="110">
        <v>19</v>
      </c>
      <c r="AA19" s="131">
        <v>19</v>
      </c>
      <c r="AB19" s="146" t="s">
        <v>167</v>
      </c>
      <c r="AC19" s="94" t="s">
        <v>107</v>
      </c>
    </row>
    <row r="20" spans="1:29" ht="15" thickBot="1" x14ac:dyDescent="0.35">
      <c r="A20" s="110" t="s">
        <v>134</v>
      </c>
      <c r="B20" s="110" t="s">
        <v>32</v>
      </c>
      <c r="C20" s="116">
        <v>91.101246670844517</v>
      </c>
      <c r="D20" s="117" t="s">
        <v>18</v>
      </c>
      <c r="E20" s="117">
        <v>10</v>
      </c>
      <c r="F20" s="115">
        <v>0.59</v>
      </c>
      <c r="G20" s="112" t="s">
        <v>92</v>
      </c>
      <c r="H20" s="110">
        <v>7</v>
      </c>
      <c r="I20" s="113">
        <v>431.34962828445794</v>
      </c>
      <c r="J20" s="110" t="s">
        <v>26</v>
      </c>
      <c r="K20" s="113">
        <v>1.1127863999999996</v>
      </c>
      <c r="L20" s="114">
        <v>21.112786400000001</v>
      </c>
      <c r="M20" s="118">
        <v>0.88</v>
      </c>
      <c r="N20" s="111" t="s">
        <v>57</v>
      </c>
      <c r="O20" s="111">
        <v>10</v>
      </c>
      <c r="P20" s="115">
        <v>1</v>
      </c>
      <c r="Q20" s="115" t="s">
        <v>62</v>
      </c>
      <c r="R20" s="119">
        <v>15</v>
      </c>
      <c r="S20" s="115">
        <v>0.16074272706191078</v>
      </c>
      <c r="T20" s="115" t="s">
        <v>135</v>
      </c>
      <c r="U20" s="119">
        <v>7</v>
      </c>
      <c r="V20" s="110">
        <v>6</v>
      </c>
      <c r="W20" s="120">
        <v>59.112786400000005</v>
      </c>
      <c r="X20" s="112" t="s">
        <v>136</v>
      </c>
      <c r="Y20" s="112" t="s">
        <v>137</v>
      </c>
      <c r="Z20" s="110">
        <v>20</v>
      </c>
      <c r="AA20" s="131" t="s">
        <v>107</v>
      </c>
      <c r="AB20" s="146" t="s">
        <v>167</v>
      </c>
      <c r="AC20" s="94" t="s">
        <v>107</v>
      </c>
    </row>
    <row r="21" spans="1:29" ht="15" thickBot="1" x14ac:dyDescent="0.35">
      <c r="A21" s="110" t="s">
        <v>138</v>
      </c>
      <c r="B21" s="110" t="s">
        <v>102</v>
      </c>
      <c r="C21" s="116">
        <v>100</v>
      </c>
      <c r="D21" s="117" t="s">
        <v>18</v>
      </c>
      <c r="E21" s="117">
        <v>10</v>
      </c>
      <c r="F21" s="115">
        <v>0.54</v>
      </c>
      <c r="G21" s="112" t="s">
        <v>92</v>
      </c>
      <c r="H21" s="110">
        <v>7</v>
      </c>
      <c r="I21" s="113">
        <v>171.14261656523618</v>
      </c>
      <c r="J21" s="110" t="s">
        <v>26</v>
      </c>
      <c r="K21" s="113">
        <v>2.8046783999999993</v>
      </c>
      <c r="L21" s="114">
        <v>19.8046784</v>
      </c>
      <c r="M21" s="118">
        <v>0.86</v>
      </c>
      <c r="N21" s="111" t="s">
        <v>57</v>
      </c>
      <c r="O21" s="111">
        <v>10</v>
      </c>
      <c r="P21" s="115">
        <v>0</v>
      </c>
      <c r="Q21" s="115" t="s">
        <v>113</v>
      </c>
      <c r="R21" s="119">
        <v>0</v>
      </c>
      <c r="S21" s="115">
        <v>0.13331256413760689</v>
      </c>
      <c r="T21" s="115" t="s">
        <v>139</v>
      </c>
      <c r="U21" s="119">
        <v>14</v>
      </c>
      <c r="V21" s="110">
        <v>10</v>
      </c>
      <c r="W21" s="120">
        <v>53.8046784</v>
      </c>
      <c r="X21" s="112" t="s">
        <v>136</v>
      </c>
      <c r="Y21" s="112" t="s">
        <v>137</v>
      </c>
      <c r="Z21" s="110">
        <v>21</v>
      </c>
      <c r="AA21" s="131">
        <v>10</v>
      </c>
      <c r="AB21" s="146" t="s">
        <v>167</v>
      </c>
      <c r="AC21" s="94" t="s">
        <v>107</v>
      </c>
    </row>
    <row r="22" spans="1:29" ht="15" thickBot="1" x14ac:dyDescent="0.35">
      <c r="A22" s="110" t="s">
        <v>140</v>
      </c>
      <c r="B22" s="110" t="s">
        <v>32</v>
      </c>
      <c r="C22" s="116">
        <v>95.88190752544682</v>
      </c>
      <c r="D22" s="117" t="s">
        <v>18</v>
      </c>
      <c r="E22" s="117">
        <v>10</v>
      </c>
      <c r="F22" s="115">
        <v>0.65</v>
      </c>
      <c r="G22" s="112" t="s">
        <v>20</v>
      </c>
      <c r="H22" s="110">
        <v>10</v>
      </c>
      <c r="I22" s="113">
        <v>94.72259810554803</v>
      </c>
      <c r="J22" s="110" t="s">
        <v>26</v>
      </c>
      <c r="K22" s="113">
        <v>5.0674285714285716</v>
      </c>
      <c r="L22" s="114">
        <v>20.067428571428572</v>
      </c>
      <c r="M22" s="118">
        <v>0.89</v>
      </c>
      <c r="N22" s="111" t="s">
        <v>57</v>
      </c>
      <c r="O22" s="111">
        <v>10</v>
      </c>
      <c r="P22" s="115">
        <v>0.93103448275862066</v>
      </c>
      <c r="Q22" s="115" t="s">
        <v>27</v>
      </c>
      <c r="R22" s="121">
        <v>10.5</v>
      </c>
      <c r="S22" s="115">
        <v>0</v>
      </c>
      <c r="T22" s="115" t="s">
        <v>141</v>
      </c>
      <c r="U22" s="119">
        <v>1</v>
      </c>
      <c r="V22" s="110">
        <v>10</v>
      </c>
      <c r="W22" s="120">
        <v>51.567428571428572</v>
      </c>
      <c r="X22" s="112" t="s">
        <v>136</v>
      </c>
      <c r="Y22" s="112" t="s">
        <v>137</v>
      </c>
      <c r="Z22" s="110">
        <v>22</v>
      </c>
      <c r="AA22" s="131">
        <v>20</v>
      </c>
      <c r="AB22" s="146" t="s">
        <v>167</v>
      </c>
      <c r="AC22" s="94" t="s">
        <v>107</v>
      </c>
    </row>
    <row r="23" spans="1:29" ht="15" thickBot="1" x14ac:dyDescent="0.35">
      <c r="A23" s="110" t="s">
        <v>142</v>
      </c>
      <c r="B23" s="110" t="s">
        <v>102</v>
      </c>
      <c r="C23" s="116">
        <v>99.150697223952534</v>
      </c>
      <c r="D23" s="117" t="s">
        <v>18</v>
      </c>
      <c r="E23" s="117">
        <v>10</v>
      </c>
      <c r="F23" s="115">
        <v>0.56000000000000005</v>
      </c>
      <c r="G23" s="112" t="s">
        <v>92</v>
      </c>
      <c r="H23" s="110">
        <v>7</v>
      </c>
      <c r="I23" s="113">
        <v>204.91558331782232</v>
      </c>
      <c r="J23" s="110" t="s">
        <v>26</v>
      </c>
      <c r="K23" s="113">
        <v>2.3424280000000004</v>
      </c>
      <c r="L23" s="114">
        <v>22.342428000000002</v>
      </c>
      <c r="M23" s="118">
        <v>0.8928571428571429</v>
      </c>
      <c r="N23" s="111" t="s">
        <v>57</v>
      </c>
      <c r="O23" s="111">
        <v>10</v>
      </c>
      <c r="P23" s="115">
        <v>0</v>
      </c>
      <c r="Q23" s="115" t="s">
        <v>113</v>
      </c>
      <c r="R23" s="119">
        <v>0</v>
      </c>
      <c r="S23" s="115">
        <v>0.18245322586424353</v>
      </c>
      <c r="T23" s="115" t="s">
        <v>143</v>
      </c>
      <c r="U23" s="119">
        <v>6</v>
      </c>
      <c r="V23" s="110">
        <v>10</v>
      </c>
      <c r="W23" s="120">
        <v>48.342427999999998</v>
      </c>
      <c r="X23" s="112" t="s">
        <v>136</v>
      </c>
      <c r="Y23" s="112" t="s">
        <v>137</v>
      </c>
      <c r="Z23" s="110">
        <v>23</v>
      </c>
      <c r="AA23" s="131" t="s">
        <v>107</v>
      </c>
      <c r="AB23" s="146" t="s">
        <v>167</v>
      </c>
      <c r="AC23" s="94" t="s">
        <v>107</v>
      </c>
    </row>
    <row r="24" spans="1:29" ht="15" thickBot="1" x14ac:dyDescent="0.35">
      <c r="A24" s="110" t="s">
        <v>80</v>
      </c>
      <c r="B24" s="110" t="s">
        <v>32</v>
      </c>
      <c r="C24" s="116">
        <v>98.819919612743007</v>
      </c>
      <c r="D24" s="117" t="s">
        <v>18</v>
      </c>
      <c r="E24" s="117">
        <v>10</v>
      </c>
      <c r="F24" s="115">
        <v>0.59</v>
      </c>
      <c r="G24" s="112" t="s">
        <v>92</v>
      </c>
      <c r="H24" s="110">
        <v>7</v>
      </c>
      <c r="I24" s="113">
        <v>414.33888777631239</v>
      </c>
      <c r="J24" s="110" t="s">
        <v>26</v>
      </c>
      <c r="K24" s="113">
        <v>1.1584719999999995</v>
      </c>
      <c r="L24" s="114">
        <v>21.158472</v>
      </c>
      <c r="M24" s="118">
        <v>0.80263157894736847</v>
      </c>
      <c r="N24" s="111" t="s">
        <v>115</v>
      </c>
      <c r="O24" s="111">
        <v>6</v>
      </c>
      <c r="P24" s="115">
        <v>0.85964912280701755</v>
      </c>
      <c r="Q24" s="115" t="s">
        <v>57</v>
      </c>
      <c r="R24" s="119">
        <v>7.5</v>
      </c>
      <c r="S24" s="115">
        <v>0.28346074738862248</v>
      </c>
      <c r="T24" s="115" t="s">
        <v>144</v>
      </c>
      <c r="U24" s="119">
        <v>3</v>
      </c>
      <c r="V24" s="110">
        <v>5</v>
      </c>
      <c r="W24" s="120">
        <v>42.658472000000003</v>
      </c>
      <c r="X24" s="112" t="s">
        <v>136</v>
      </c>
      <c r="Y24" s="112" t="s">
        <v>137</v>
      </c>
      <c r="Z24" s="110">
        <v>24</v>
      </c>
      <c r="AA24" s="131">
        <v>25</v>
      </c>
      <c r="AB24" s="146" t="s">
        <v>167</v>
      </c>
      <c r="AC24" s="94" t="s">
        <v>107</v>
      </c>
    </row>
    <row r="25" spans="1:29" ht="15" thickBot="1" x14ac:dyDescent="0.35">
      <c r="A25" s="110" t="s">
        <v>42</v>
      </c>
      <c r="B25" s="110" t="s">
        <v>32</v>
      </c>
      <c r="C25" s="116">
        <v>94.186848613330966</v>
      </c>
      <c r="D25" s="117" t="s">
        <v>18</v>
      </c>
      <c r="E25" s="117">
        <v>10</v>
      </c>
      <c r="F25" s="115">
        <v>0.44</v>
      </c>
      <c r="G25" s="110" t="s">
        <v>131</v>
      </c>
      <c r="H25" s="110">
        <v>5</v>
      </c>
      <c r="I25" s="113">
        <v>217.20457709281547</v>
      </c>
      <c r="J25" s="110" t="s">
        <v>26</v>
      </c>
      <c r="K25" s="113">
        <v>2.2098981818181818</v>
      </c>
      <c r="L25" s="114">
        <v>19.209898181818183</v>
      </c>
      <c r="M25" s="118">
        <v>0.9</v>
      </c>
      <c r="N25" s="111" t="s">
        <v>27</v>
      </c>
      <c r="O25" s="111">
        <v>14</v>
      </c>
      <c r="P25" s="115">
        <v>0</v>
      </c>
      <c r="Q25" s="115" t="s">
        <v>113</v>
      </c>
      <c r="R25" s="119">
        <v>0</v>
      </c>
      <c r="S25" s="115">
        <v>0</v>
      </c>
      <c r="T25" s="115" t="s">
        <v>145</v>
      </c>
      <c r="U25" s="119">
        <v>0</v>
      </c>
      <c r="V25" s="110">
        <v>5</v>
      </c>
      <c r="W25" s="120">
        <v>38.209898181818183</v>
      </c>
      <c r="X25" s="112" t="s">
        <v>136</v>
      </c>
      <c r="Y25" s="112" t="s">
        <v>137</v>
      </c>
      <c r="Z25" s="110">
        <v>25</v>
      </c>
      <c r="AA25" s="131" t="s">
        <v>107</v>
      </c>
      <c r="AB25" s="146" t="s">
        <v>167</v>
      </c>
      <c r="AC25" s="9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</vt:lpstr>
      <vt:lpstr>AS</vt:lpstr>
      <vt:lpstr>LP</vt:lpstr>
      <vt:lpstr>VH</vt:lpstr>
    </vt:vector>
  </TitlesOfParts>
  <Company>ABFRL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Gurudatt G S</dc:creator>
  <cp:lastModifiedBy>Pankaj</cp:lastModifiedBy>
  <dcterms:created xsi:type="dcterms:W3CDTF">2022-06-27T05:06:34Z</dcterms:created>
  <dcterms:modified xsi:type="dcterms:W3CDTF">2026-07-01T10:23:55Z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fc6767-3ab2-4b3b-a63f-7b2c7d47621d_Enabled">
    <vt:lpwstr>true</vt:lpwstr>
  </property>
  <property fmtid="{D5CDD505-2E9C-101B-9397-08002B2CF9AE}" pid="3" name="MSIP_Label_07fc6767-3ab2-4b3b-a63f-7b2c7d47621d_SetDate">
    <vt:lpwstr>2022-06-27T05:06:34Z</vt:lpwstr>
  </property>
  <property fmtid="{D5CDD505-2E9C-101B-9397-08002B2CF9AE}" pid="4" name="MSIP_Label_07fc6767-3ab2-4b3b-a63f-7b2c7d47621d_Method">
    <vt:lpwstr>Standard</vt:lpwstr>
  </property>
  <property fmtid="{D5CDD505-2E9C-101B-9397-08002B2CF9AE}" pid="5" name="MSIP_Label_07fc6767-3ab2-4b3b-a63f-7b2c7d47621d_Name">
    <vt:lpwstr>07fc6767-3ab2-4b3b-a63f-7b2c7d47621d</vt:lpwstr>
  </property>
  <property fmtid="{D5CDD505-2E9C-101B-9397-08002B2CF9AE}" pid="6" name="MSIP_Label_07fc6767-3ab2-4b3b-a63f-7b2c7d47621d_SiteId">
    <vt:lpwstr>d356af53-f35f-4eff-86e5-5c676313e4e4</vt:lpwstr>
  </property>
  <property fmtid="{D5CDD505-2E9C-101B-9397-08002B2CF9AE}" pid="7" name="MSIP_Label_07fc6767-3ab2-4b3b-a63f-7b2c7d47621d_ActionId">
    <vt:lpwstr>a24a9c2c-98d9-43cf-8a60-bdb4de553f3e</vt:lpwstr>
  </property>
  <property fmtid="{D5CDD505-2E9C-101B-9397-08002B2CF9AE}" pid="8" name="MSIP_Label_07fc6767-3ab2-4b3b-a63f-7b2c7d47621d_ContentBits">
    <vt:lpwstr>0</vt:lpwstr>
  </property>
</Properties>
</file>