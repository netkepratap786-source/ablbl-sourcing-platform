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TYA BIRLA INTERNSHIP 2026\DOCS\ABLBL_Sourcing_Intelligence_Platform - Copy\data\raw\"/>
    </mc:Choice>
  </mc:AlternateContent>
  <xr:revisionPtr revIDLastSave="0" documentId="13_ncr:1_{E545B224-5237-43A4-9E0C-9504900B3C09}" xr6:coauthVersionLast="47" xr6:coauthVersionMax="47" xr10:uidLastSave="{00000000-0000-0000-0000-000000000000}"/>
  <bookViews>
    <workbookView xWindow="-108" yWindow="-108" windowWidth="23256" windowHeight="12456" xr2:uid="{E577A760-7BDF-4A17-B825-DB9B600EE8CF}"/>
  </bookViews>
  <sheets>
    <sheet name="Fibre Master" sheetId="1" r:id="rId1"/>
    <sheet name="Supima" sheetId="3" r:id="rId2"/>
    <sheet name="Currency Master" sheetId="2" r:id="rId3"/>
    <sheet name="China Cotton" sheetId="4" r:id="rId4"/>
  </sheets>
  <definedNames>
    <definedName name="_xlnm._FilterDatabase" localSheetId="0" hidden="1">'Fibre Master'!$A$1:$Q$1988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88" i="1" l="1"/>
  <c r="J1988" i="1" s="1"/>
  <c r="I1987" i="1"/>
  <c r="J1987" i="1" s="1"/>
  <c r="I1986" i="1"/>
  <c r="J1986" i="1" s="1"/>
  <c r="I1985" i="1"/>
  <c r="J1985" i="1" s="1"/>
  <c r="I1984" i="1"/>
  <c r="J1984" i="1" s="1"/>
  <c r="I1983" i="1"/>
  <c r="J1983" i="1" s="1"/>
  <c r="I1982" i="1"/>
  <c r="J1982" i="1" s="1"/>
  <c r="I1981" i="1"/>
  <c r="J1981" i="1" s="1"/>
  <c r="I1980" i="1"/>
  <c r="J1980" i="1" s="1"/>
  <c r="I1979" i="1"/>
  <c r="J1979" i="1" s="1"/>
  <c r="I1978" i="1"/>
  <c r="J1978" i="1" s="1"/>
  <c r="I1977" i="1"/>
  <c r="J1977" i="1" s="1"/>
  <c r="I1976" i="1"/>
  <c r="J1976" i="1" s="1"/>
  <c r="I1975" i="1"/>
  <c r="J1975" i="1" s="1"/>
  <c r="I1974" i="1"/>
  <c r="J1974" i="1" s="1"/>
  <c r="I1973" i="1"/>
  <c r="J1973" i="1" s="1"/>
  <c r="I1972" i="1"/>
  <c r="J1972" i="1" s="1"/>
  <c r="I1971" i="1"/>
  <c r="J1971" i="1" s="1"/>
  <c r="I1970" i="1"/>
  <c r="J1970" i="1" s="1"/>
  <c r="I1969" i="1"/>
  <c r="J1969" i="1" s="1"/>
  <c r="I1968" i="1"/>
  <c r="J1968" i="1" s="1"/>
  <c r="I1967" i="1"/>
  <c r="J1967" i="1" s="1"/>
  <c r="I1966" i="1"/>
  <c r="J1966" i="1" s="1"/>
  <c r="I1965" i="1"/>
  <c r="J1965" i="1" s="1"/>
  <c r="I1964" i="1"/>
  <c r="J1964" i="1" s="1"/>
  <c r="I1963" i="1"/>
  <c r="J1963" i="1" s="1"/>
  <c r="I1962" i="1"/>
  <c r="J1962" i="1" s="1"/>
  <c r="I1961" i="1"/>
  <c r="J1961" i="1" s="1"/>
  <c r="I1960" i="1"/>
  <c r="J1960" i="1" s="1"/>
  <c r="I1959" i="1"/>
  <c r="J1959" i="1" s="1"/>
  <c r="I1958" i="1"/>
  <c r="J1958" i="1" s="1"/>
  <c r="I1957" i="1"/>
  <c r="J1957" i="1" s="1"/>
  <c r="I1956" i="1"/>
  <c r="J1956" i="1" s="1"/>
  <c r="I1955" i="1"/>
  <c r="J1955" i="1" s="1"/>
  <c r="I1954" i="1"/>
  <c r="J1954" i="1" s="1"/>
  <c r="I1953" i="1"/>
  <c r="J1953" i="1" s="1"/>
  <c r="I1952" i="1"/>
  <c r="J1952" i="1" s="1"/>
  <c r="I1951" i="1"/>
  <c r="J1951" i="1" s="1"/>
  <c r="I1950" i="1"/>
  <c r="J1950" i="1" s="1"/>
  <c r="I1949" i="1"/>
  <c r="J1949" i="1" s="1"/>
  <c r="I1948" i="1"/>
  <c r="J1948" i="1" s="1"/>
  <c r="I1947" i="1"/>
  <c r="J1947" i="1" s="1"/>
  <c r="I1946" i="1"/>
  <c r="J1946" i="1" s="1"/>
  <c r="I1945" i="1"/>
  <c r="J1945" i="1" s="1"/>
  <c r="I1944" i="1"/>
  <c r="J1944" i="1" s="1"/>
  <c r="I1943" i="1"/>
  <c r="J1943" i="1" s="1"/>
  <c r="I1942" i="1"/>
  <c r="J1942" i="1" s="1"/>
  <c r="I1941" i="1"/>
  <c r="J1941" i="1" s="1"/>
  <c r="I1940" i="1"/>
  <c r="J1940" i="1" s="1"/>
  <c r="I1939" i="1"/>
  <c r="J1939" i="1" s="1"/>
  <c r="I1938" i="1"/>
  <c r="J1938" i="1" s="1"/>
  <c r="I1937" i="1"/>
  <c r="J1937" i="1" s="1"/>
  <c r="I1936" i="1"/>
  <c r="J1936" i="1" s="1"/>
  <c r="I1935" i="1"/>
  <c r="J1935" i="1" s="1"/>
  <c r="I1934" i="1"/>
  <c r="J1934" i="1" s="1"/>
  <c r="I1933" i="1"/>
  <c r="J1933" i="1" s="1"/>
  <c r="I1932" i="1"/>
  <c r="J1932" i="1" s="1"/>
  <c r="I1931" i="1"/>
  <c r="J1931" i="1" s="1"/>
  <c r="I1930" i="1"/>
  <c r="J1930" i="1" s="1"/>
  <c r="I1929" i="1"/>
  <c r="J1929" i="1" s="1"/>
  <c r="I1928" i="1"/>
  <c r="J1928" i="1" s="1"/>
  <c r="I1927" i="1"/>
  <c r="J1927" i="1" s="1"/>
  <c r="I1926" i="1"/>
  <c r="J1926" i="1" s="1"/>
  <c r="I1925" i="1"/>
  <c r="J1925" i="1" s="1"/>
  <c r="I1924" i="1"/>
  <c r="J1924" i="1" s="1"/>
  <c r="I1923" i="1"/>
  <c r="J1923" i="1" s="1"/>
  <c r="I1922" i="1"/>
  <c r="J1922" i="1" s="1"/>
  <c r="I1921" i="1"/>
  <c r="J1921" i="1" s="1"/>
  <c r="I1920" i="1"/>
  <c r="J1920" i="1" s="1"/>
  <c r="I1919" i="1"/>
  <c r="J1919" i="1" s="1"/>
  <c r="I1918" i="1"/>
  <c r="J1918" i="1" s="1"/>
  <c r="I1917" i="1"/>
  <c r="J1917" i="1" s="1"/>
  <c r="I1916" i="1"/>
  <c r="J1916" i="1" s="1"/>
  <c r="I1915" i="1"/>
  <c r="J1915" i="1" s="1"/>
  <c r="I1914" i="1"/>
  <c r="J1914" i="1" s="1"/>
  <c r="I1913" i="1"/>
  <c r="J1913" i="1" s="1"/>
  <c r="I1912" i="1"/>
  <c r="J1912" i="1" s="1"/>
  <c r="I1911" i="1"/>
  <c r="J1911" i="1" s="1"/>
  <c r="I1910" i="1"/>
  <c r="J1910" i="1" s="1"/>
  <c r="I1909" i="1"/>
  <c r="J1909" i="1" s="1"/>
  <c r="I1908" i="1"/>
  <c r="J1908" i="1" s="1"/>
  <c r="I1907" i="1"/>
  <c r="J1907" i="1" s="1"/>
  <c r="I1906" i="1"/>
  <c r="J1906" i="1" s="1"/>
  <c r="I1905" i="1"/>
  <c r="J1905" i="1" s="1"/>
  <c r="I1904" i="1"/>
  <c r="J1904" i="1" s="1"/>
  <c r="I1903" i="1"/>
  <c r="J1903" i="1" s="1"/>
  <c r="I1902" i="1"/>
  <c r="J1902" i="1" s="1"/>
  <c r="I1901" i="1"/>
  <c r="J1901" i="1" s="1"/>
  <c r="I1900" i="1"/>
  <c r="J1900" i="1" s="1"/>
  <c r="I1899" i="1"/>
  <c r="J1899" i="1" s="1"/>
  <c r="I1898" i="1"/>
  <c r="J1898" i="1" s="1"/>
  <c r="I1897" i="1"/>
  <c r="J1897" i="1" s="1"/>
  <c r="I1896" i="1"/>
  <c r="J1896" i="1" s="1"/>
  <c r="I1895" i="1"/>
  <c r="J1895" i="1" s="1"/>
  <c r="I1894" i="1"/>
  <c r="J1894" i="1" s="1"/>
  <c r="I1893" i="1"/>
  <c r="J1893" i="1" s="1"/>
  <c r="I1892" i="1"/>
  <c r="J1892" i="1" s="1"/>
  <c r="I1891" i="1"/>
  <c r="J1891" i="1" s="1"/>
  <c r="I1890" i="1"/>
  <c r="J1890" i="1" s="1"/>
  <c r="I1889" i="1"/>
  <c r="J1889" i="1" s="1"/>
  <c r="I1888" i="1"/>
  <c r="J1888" i="1" s="1"/>
  <c r="I1887" i="1"/>
  <c r="J1887" i="1" s="1"/>
  <c r="I1886" i="1"/>
  <c r="J1886" i="1" s="1"/>
  <c r="I1885" i="1"/>
  <c r="J1885" i="1" s="1"/>
  <c r="I1884" i="1"/>
  <c r="J1884" i="1" s="1"/>
  <c r="I1883" i="1"/>
  <c r="J1883" i="1" s="1"/>
  <c r="I1882" i="1"/>
  <c r="J1882" i="1" s="1"/>
  <c r="I1881" i="1"/>
  <c r="J1881" i="1" s="1"/>
  <c r="I1880" i="1"/>
  <c r="J1880" i="1" s="1"/>
  <c r="I1879" i="1"/>
  <c r="J1879" i="1" s="1"/>
  <c r="I1878" i="1"/>
  <c r="J1878" i="1" s="1"/>
  <c r="I1877" i="1"/>
  <c r="J1877" i="1" s="1"/>
  <c r="I1876" i="1"/>
  <c r="J1876" i="1" s="1"/>
  <c r="I1875" i="1"/>
  <c r="J1875" i="1" s="1"/>
  <c r="I1874" i="1"/>
  <c r="J1874" i="1" s="1"/>
  <c r="I1873" i="1"/>
  <c r="J1873" i="1" s="1"/>
  <c r="I1872" i="1"/>
  <c r="J1872" i="1" s="1"/>
  <c r="I1871" i="1"/>
  <c r="J1871" i="1" s="1"/>
  <c r="I1870" i="1"/>
  <c r="J1870" i="1" s="1"/>
  <c r="I1869" i="1"/>
  <c r="J1869" i="1" s="1"/>
  <c r="I1868" i="1"/>
  <c r="J1868" i="1" s="1"/>
  <c r="I1867" i="1"/>
  <c r="J1867" i="1" s="1"/>
  <c r="I1866" i="1"/>
  <c r="J1866" i="1" s="1"/>
  <c r="I1865" i="1"/>
  <c r="J1865" i="1" s="1"/>
  <c r="I1864" i="1"/>
  <c r="J1864" i="1" s="1"/>
  <c r="I1863" i="1"/>
  <c r="J1863" i="1" s="1"/>
  <c r="I1862" i="1"/>
  <c r="J1862" i="1" s="1"/>
  <c r="I1861" i="1"/>
  <c r="J1861" i="1" s="1"/>
  <c r="I1860" i="1"/>
  <c r="J1860" i="1" s="1"/>
  <c r="I1859" i="1"/>
  <c r="J1859" i="1" s="1"/>
  <c r="I1858" i="1"/>
  <c r="J1858" i="1" s="1"/>
  <c r="I1857" i="1"/>
  <c r="J1857" i="1" s="1"/>
  <c r="I1856" i="1"/>
  <c r="J1856" i="1" s="1"/>
  <c r="I1855" i="1"/>
  <c r="J1855" i="1" s="1"/>
  <c r="I1854" i="1"/>
  <c r="J1854" i="1" s="1"/>
  <c r="I1853" i="1"/>
  <c r="J1853" i="1" s="1"/>
  <c r="I1852" i="1"/>
  <c r="J1852" i="1" s="1"/>
  <c r="I1851" i="1"/>
  <c r="J1851" i="1" s="1"/>
  <c r="I1850" i="1"/>
  <c r="J1850" i="1" s="1"/>
  <c r="I1849" i="1"/>
  <c r="J1849" i="1" s="1"/>
  <c r="I1848" i="1"/>
  <c r="J1848" i="1" s="1"/>
  <c r="I1847" i="1"/>
  <c r="J1847" i="1" s="1"/>
  <c r="I1846" i="1"/>
  <c r="J1846" i="1" s="1"/>
  <c r="I1845" i="1"/>
  <c r="J1845" i="1" s="1"/>
  <c r="I1844" i="1"/>
  <c r="J1844" i="1" s="1"/>
  <c r="I1843" i="1"/>
  <c r="J1843" i="1" s="1"/>
  <c r="I1842" i="1"/>
  <c r="J1842" i="1" s="1"/>
  <c r="I1841" i="1"/>
  <c r="J1841" i="1" s="1"/>
  <c r="I1840" i="1"/>
  <c r="J1840" i="1" s="1"/>
  <c r="I1839" i="1"/>
  <c r="J1839" i="1" s="1"/>
  <c r="I1838" i="1"/>
  <c r="J1838" i="1" s="1"/>
  <c r="I1837" i="1"/>
  <c r="J1837" i="1" s="1"/>
  <c r="I1836" i="1"/>
  <c r="J1836" i="1" s="1"/>
  <c r="I1835" i="1"/>
  <c r="J1835" i="1" s="1"/>
  <c r="I1834" i="1"/>
  <c r="J1834" i="1" s="1"/>
  <c r="I1833" i="1"/>
  <c r="J1833" i="1" s="1"/>
  <c r="I1832" i="1"/>
  <c r="J1832" i="1" s="1"/>
  <c r="I1831" i="1"/>
  <c r="J1831" i="1" s="1"/>
  <c r="I1830" i="1"/>
  <c r="J1830" i="1" s="1"/>
  <c r="I1829" i="1"/>
  <c r="J1829" i="1" s="1"/>
  <c r="I1828" i="1"/>
  <c r="J1828" i="1" s="1"/>
  <c r="I1827" i="1"/>
  <c r="J1827" i="1" s="1"/>
  <c r="I1826" i="1"/>
  <c r="J1826" i="1" s="1"/>
  <c r="I1825" i="1"/>
  <c r="J1825" i="1" s="1"/>
  <c r="I1824" i="1"/>
  <c r="J1824" i="1" s="1"/>
  <c r="I1823" i="1"/>
  <c r="J1823" i="1" s="1"/>
  <c r="I1822" i="1"/>
  <c r="J1822" i="1" s="1"/>
  <c r="I1821" i="1"/>
  <c r="J1821" i="1" s="1"/>
  <c r="I1820" i="1"/>
  <c r="J1820" i="1" s="1"/>
  <c r="I1819" i="1"/>
  <c r="J1819" i="1" s="1"/>
  <c r="I1818" i="1"/>
  <c r="J1818" i="1" s="1"/>
  <c r="I1817" i="1"/>
  <c r="J1817" i="1" s="1"/>
  <c r="I1816" i="1"/>
  <c r="J1816" i="1" s="1"/>
  <c r="I1815" i="1"/>
  <c r="J1815" i="1" s="1"/>
  <c r="I1814" i="1"/>
  <c r="J1814" i="1" s="1"/>
  <c r="I1813" i="1"/>
  <c r="J1813" i="1" s="1"/>
  <c r="I1812" i="1"/>
  <c r="J1812" i="1" s="1"/>
  <c r="I1811" i="1"/>
  <c r="J1811" i="1" s="1"/>
  <c r="I1810" i="1"/>
  <c r="J1810" i="1" s="1"/>
  <c r="I1809" i="1"/>
  <c r="J1809" i="1" s="1"/>
  <c r="I1808" i="1"/>
  <c r="J1808" i="1" s="1"/>
  <c r="I1807" i="1"/>
  <c r="J1807" i="1" s="1"/>
  <c r="I1806" i="1"/>
  <c r="J1806" i="1" s="1"/>
  <c r="I1805" i="1"/>
  <c r="J1805" i="1" s="1"/>
  <c r="I1804" i="1"/>
  <c r="J1804" i="1" s="1"/>
  <c r="I1803" i="1"/>
  <c r="J1803" i="1" s="1"/>
  <c r="I1802" i="1"/>
  <c r="J1802" i="1" s="1"/>
  <c r="I1801" i="1"/>
  <c r="J1801" i="1" s="1"/>
  <c r="I1800" i="1"/>
  <c r="J1800" i="1" s="1"/>
  <c r="I1799" i="1"/>
  <c r="J1799" i="1" s="1"/>
  <c r="I1798" i="1"/>
  <c r="J1798" i="1" s="1"/>
  <c r="I1797" i="1"/>
  <c r="J1797" i="1" s="1"/>
  <c r="I1796" i="1"/>
  <c r="J1796" i="1" s="1"/>
  <c r="I1795" i="1"/>
  <c r="J1795" i="1" s="1"/>
  <c r="I1794" i="1"/>
  <c r="J1794" i="1" s="1"/>
  <c r="I1793" i="1"/>
  <c r="J1793" i="1" s="1"/>
  <c r="I1792" i="1"/>
  <c r="J1792" i="1" s="1"/>
  <c r="I1791" i="1"/>
  <c r="J1791" i="1" s="1"/>
  <c r="I1790" i="1"/>
  <c r="J1790" i="1" s="1"/>
  <c r="I1789" i="1"/>
  <c r="J1789" i="1" s="1"/>
  <c r="I1788" i="1"/>
  <c r="J1788" i="1" s="1"/>
  <c r="I1787" i="1"/>
  <c r="J1787" i="1" s="1"/>
  <c r="I1786" i="1"/>
  <c r="J1786" i="1" s="1"/>
  <c r="I1785" i="1"/>
  <c r="J1785" i="1" s="1"/>
  <c r="I1784" i="1"/>
  <c r="J1784" i="1" s="1"/>
  <c r="I1783" i="1"/>
  <c r="J1783" i="1" s="1"/>
  <c r="I1782" i="1"/>
  <c r="J1782" i="1" s="1"/>
  <c r="I1781" i="1"/>
  <c r="J1781" i="1" s="1"/>
  <c r="I1780" i="1"/>
  <c r="J1780" i="1" s="1"/>
  <c r="I1779" i="1"/>
  <c r="J1779" i="1" s="1"/>
  <c r="I1778" i="1"/>
  <c r="J1778" i="1" s="1"/>
  <c r="I1777" i="1"/>
  <c r="J1777" i="1" s="1"/>
  <c r="I1776" i="1"/>
  <c r="J1776" i="1" s="1"/>
  <c r="I1775" i="1"/>
  <c r="J1775" i="1" s="1"/>
  <c r="I1774" i="1"/>
  <c r="J1774" i="1" s="1"/>
  <c r="I1773" i="1"/>
  <c r="J1773" i="1" s="1"/>
  <c r="I1772" i="1"/>
  <c r="J1772" i="1" s="1"/>
  <c r="I1771" i="1"/>
  <c r="J1771" i="1" s="1"/>
  <c r="I1770" i="1"/>
  <c r="J1770" i="1" s="1"/>
  <c r="I1769" i="1"/>
  <c r="J1769" i="1" s="1"/>
  <c r="I1768" i="1"/>
  <c r="J1768" i="1" s="1"/>
  <c r="I1767" i="1"/>
  <c r="J1767" i="1" s="1"/>
  <c r="I1766" i="1"/>
  <c r="J1766" i="1" s="1"/>
  <c r="I1765" i="1"/>
  <c r="J1765" i="1" s="1"/>
  <c r="I1764" i="1"/>
  <c r="J1764" i="1" s="1"/>
  <c r="I1763" i="1"/>
  <c r="J1763" i="1" s="1"/>
  <c r="I1762" i="1"/>
  <c r="J1762" i="1" s="1"/>
  <c r="I1761" i="1"/>
  <c r="J1761" i="1" s="1"/>
  <c r="I1760" i="1"/>
  <c r="J1760" i="1" s="1"/>
  <c r="I1759" i="1"/>
  <c r="J1759" i="1" s="1"/>
  <c r="I1758" i="1"/>
  <c r="J1758" i="1" s="1"/>
  <c r="I1757" i="1"/>
  <c r="J1757" i="1" s="1"/>
  <c r="I1756" i="1"/>
  <c r="J1756" i="1" s="1"/>
  <c r="I1755" i="1"/>
  <c r="J1755" i="1" s="1"/>
  <c r="I1754" i="1"/>
  <c r="J1754" i="1" s="1"/>
  <c r="I1753" i="1"/>
  <c r="J1753" i="1" s="1"/>
  <c r="I1752" i="1"/>
  <c r="J1752" i="1" s="1"/>
  <c r="I1751" i="1"/>
  <c r="J1751" i="1" s="1"/>
  <c r="I1750" i="1"/>
  <c r="J1750" i="1" s="1"/>
  <c r="I1749" i="1"/>
  <c r="J1749" i="1" s="1"/>
  <c r="I1748" i="1"/>
  <c r="J1748" i="1" s="1"/>
  <c r="I1747" i="1"/>
  <c r="J1747" i="1" s="1"/>
  <c r="I1746" i="1"/>
  <c r="J1746" i="1" s="1"/>
  <c r="I1745" i="1"/>
  <c r="J1745" i="1" s="1"/>
  <c r="I1744" i="1"/>
  <c r="J1744" i="1" s="1"/>
  <c r="I1743" i="1"/>
  <c r="J1743" i="1" s="1"/>
  <c r="I1742" i="1"/>
  <c r="J1742" i="1" s="1"/>
  <c r="I1741" i="1"/>
  <c r="J1741" i="1" s="1"/>
  <c r="I1740" i="1"/>
  <c r="J1740" i="1" s="1"/>
  <c r="I1739" i="1"/>
  <c r="J1739" i="1" s="1"/>
  <c r="I1738" i="1"/>
  <c r="J1738" i="1" s="1"/>
  <c r="I1737" i="1"/>
  <c r="J1737" i="1" s="1"/>
  <c r="I1736" i="1"/>
  <c r="J1736" i="1" s="1"/>
  <c r="I1735" i="1"/>
  <c r="J1735" i="1" s="1"/>
  <c r="I1734" i="1"/>
  <c r="J1734" i="1" s="1"/>
  <c r="I1733" i="1"/>
  <c r="J1733" i="1" s="1"/>
  <c r="I1732" i="1"/>
  <c r="J1732" i="1" s="1"/>
  <c r="I1731" i="1"/>
  <c r="J1731" i="1" s="1"/>
  <c r="I1730" i="1"/>
  <c r="J1730" i="1" s="1"/>
  <c r="I1729" i="1"/>
  <c r="J1729" i="1" s="1"/>
  <c r="I1728" i="1"/>
  <c r="J1728" i="1" s="1"/>
  <c r="I1727" i="1"/>
  <c r="J1727" i="1" s="1"/>
  <c r="I1726" i="1"/>
  <c r="J1726" i="1" s="1"/>
  <c r="I1725" i="1"/>
  <c r="J1725" i="1" s="1"/>
  <c r="I1724" i="1"/>
  <c r="J1724" i="1" s="1"/>
  <c r="I1723" i="1"/>
  <c r="J1723" i="1" s="1"/>
  <c r="I1722" i="1"/>
  <c r="J1722" i="1" s="1"/>
  <c r="I1721" i="1"/>
  <c r="J1721" i="1" s="1"/>
  <c r="I1720" i="1"/>
  <c r="J1720" i="1" s="1"/>
  <c r="I1719" i="1"/>
  <c r="J1719" i="1" s="1"/>
  <c r="I1718" i="1"/>
  <c r="J1718" i="1" s="1"/>
  <c r="I1717" i="1"/>
  <c r="J1717" i="1" s="1"/>
  <c r="I1716" i="1"/>
  <c r="J1716" i="1" s="1"/>
  <c r="I1715" i="1"/>
  <c r="J1715" i="1" s="1"/>
  <c r="I1714" i="1"/>
  <c r="J1714" i="1" s="1"/>
  <c r="I1713" i="1"/>
  <c r="J1713" i="1" s="1"/>
  <c r="I1712" i="1"/>
  <c r="J1712" i="1" s="1"/>
  <c r="I1711" i="1"/>
  <c r="J1711" i="1" s="1"/>
  <c r="I1710" i="1"/>
  <c r="J1710" i="1" s="1"/>
  <c r="I1709" i="1"/>
  <c r="J1709" i="1" s="1"/>
  <c r="I1708" i="1"/>
  <c r="J1708" i="1" s="1"/>
  <c r="I1707" i="1"/>
  <c r="J1707" i="1" s="1"/>
  <c r="I1706" i="1"/>
  <c r="J1706" i="1" s="1"/>
  <c r="I1705" i="1"/>
  <c r="J1705" i="1" s="1"/>
  <c r="I1704" i="1"/>
  <c r="J1704" i="1" s="1"/>
  <c r="I1703" i="1"/>
  <c r="J1703" i="1" s="1"/>
  <c r="I1702" i="1"/>
  <c r="J1702" i="1" s="1"/>
  <c r="I1701" i="1"/>
  <c r="J1701" i="1" s="1"/>
  <c r="I1700" i="1"/>
  <c r="J1700" i="1" s="1"/>
  <c r="I1699" i="1"/>
  <c r="J1699" i="1" s="1"/>
  <c r="I1698" i="1"/>
  <c r="J1698" i="1" s="1"/>
  <c r="I1697" i="1"/>
  <c r="J1697" i="1" s="1"/>
  <c r="I1696" i="1"/>
  <c r="J1696" i="1" s="1"/>
  <c r="I1695" i="1"/>
  <c r="J1695" i="1" s="1"/>
  <c r="I1694" i="1"/>
  <c r="J1694" i="1" s="1"/>
  <c r="I1693" i="1"/>
  <c r="J1693" i="1" s="1"/>
  <c r="I1692" i="1"/>
  <c r="J1692" i="1" s="1"/>
  <c r="I1691" i="1"/>
  <c r="J1691" i="1" s="1"/>
  <c r="I1690" i="1"/>
  <c r="J1690" i="1" s="1"/>
  <c r="I1689" i="1"/>
  <c r="J1689" i="1" s="1"/>
  <c r="I1688" i="1"/>
  <c r="J1688" i="1" s="1"/>
  <c r="I1687" i="1"/>
  <c r="J1687" i="1" s="1"/>
  <c r="I1686" i="1"/>
  <c r="J1686" i="1" s="1"/>
  <c r="I1685" i="1"/>
  <c r="J1685" i="1" s="1"/>
  <c r="I1684" i="1"/>
  <c r="J1684" i="1" s="1"/>
  <c r="I1683" i="1"/>
  <c r="J1683" i="1" s="1"/>
  <c r="I1682" i="1"/>
  <c r="J1682" i="1" s="1"/>
  <c r="I1681" i="1"/>
  <c r="J1681" i="1" s="1"/>
  <c r="I1680" i="1"/>
  <c r="J1680" i="1" s="1"/>
  <c r="I1679" i="1"/>
  <c r="J1679" i="1" s="1"/>
  <c r="I1678" i="1"/>
  <c r="J1678" i="1" s="1"/>
  <c r="I1677" i="1"/>
  <c r="J1677" i="1" s="1"/>
  <c r="I1676" i="1"/>
  <c r="J1676" i="1" s="1"/>
  <c r="I1675" i="1"/>
  <c r="J1675" i="1" s="1"/>
  <c r="I1674" i="1"/>
  <c r="J1674" i="1" s="1"/>
  <c r="I1673" i="1"/>
  <c r="J1673" i="1" s="1"/>
  <c r="I1672" i="1"/>
  <c r="J1672" i="1" s="1"/>
  <c r="I1671" i="1"/>
  <c r="J1671" i="1" s="1"/>
  <c r="I1670" i="1"/>
  <c r="J1670" i="1" s="1"/>
  <c r="I1669" i="1"/>
  <c r="J1669" i="1" s="1"/>
  <c r="I1668" i="1"/>
  <c r="J1668" i="1" s="1"/>
  <c r="I1667" i="1"/>
  <c r="J1667" i="1" s="1"/>
  <c r="I1666" i="1"/>
  <c r="J1666" i="1" s="1"/>
  <c r="I1665" i="1"/>
  <c r="J1665" i="1" s="1"/>
  <c r="I1664" i="1"/>
  <c r="J1664" i="1" s="1"/>
  <c r="I1663" i="1"/>
  <c r="J1663" i="1" s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O1662" i="1"/>
  <c r="N1662" i="1"/>
  <c r="O1661" i="1"/>
  <c r="N1661" i="1"/>
  <c r="O1660" i="1"/>
  <c r="N1660" i="1"/>
  <c r="O1659" i="1"/>
  <c r="N1659" i="1"/>
  <c r="O1658" i="1"/>
  <c r="N1658" i="1"/>
  <c r="O1657" i="1"/>
  <c r="N1657" i="1"/>
  <c r="O1656" i="1"/>
  <c r="N1656" i="1"/>
  <c r="O1655" i="1"/>
  <c r="N1655" i="1"/>
  <c r="O1654" i="1"/>
  <c r="N1654" i="1"/>
  <c r="O1653" i="1"/>
  <c r="N1653" i="1"/>
  <c r="O1652" i="1"/>
  <c r="N1652" i="1"/>
  <c r="O1651" i="1"/>
  <c r="N1651" i="1"/>
  <c r="O1650" i="1"/>
  <c r="N1650" i="1"/>
  <c r="O1649" i="1"/>
  <c r="N1649" i="1"/>
  <c r="O1648" i="1"/>
  <c r="N1648" i="1"/>
  <c r="O1647" i="1"/>
  <c r="N1647" i="1"/>
  <c r="O1646" i="1"/>
  <c r="N1646" i="1"/>
  <c r="O1645" i="1"/>
  <c r="N1645" i="1"/>
  <c r="O1644" i="1"/>
  <c r="N1644" i="1"/>
  <c r="O1643" i="1"/>
  <c r="N1643" i="1"/>
  <c r="O1642" i="1"/>
  <c r="N1642" i="1"/>
  <c r="O1641" i="1"/>
  <c r="N1641" i="1"/>
  <c r="O1640" i="1"/>
  <c r="N1640" i="1"/>
  <c r="O1639" i="1"/>
  <c r="N1639" i="1"/>
  <c r="O1638" i="1"/>
  <c r="N1638" i="1"/>
  <c r="O1637" i="1"/>
  <c r="N1637" i="1"/>
  <c r="O1636" i="1"/>
  <c r="N1636" i="1"/>
  <c r="O1635" i="1"/>
  <c r="N1635" i="1"/>
  <c r="O1634" i="1"/>
  <c r="N1634" i="1"/>
  <c r="O1633" i="1"/>
  <c r="N1633" i="1"/>
  <c r="O1632" i="1"/>
  <c r="N1632" i="1"/>
  <c r="O1631" i="1"/>
  <c r="N1631" i="1"/>
  <c r="O1630" i="1"/>
  <c r="N1630" i="1"/>
  <c r="O1629" i="1"/>
  <c r="N1629" i="1"/>
  <c r="O1628" i="1"/>
  <c r="N1628" i="1"/>
  <c r="O1627" i="1"/>
  <c r="N1627" i="1"/>
  <c r="O1626" i="1"/>
  <c r="N1626" i="1"/>
  <c r="O1625" i="1"/>
  <c r="N1625" i="1"/>
  <c r="O1624" i="1"/>
  <c r="N1624" i="1"/>
  <c r="O1623" i="1"/>
  <c r="N1623" i="1"/>
  <c r="O1622" i="1"/>
  <c r="N1622" i="1"/>
  <c r="O1621" i="1"/>
  <c r="N1621" i="1"/>
  <c r="O1620" i="1"/>
  <c r="N1620" i="1"/>
  <c r="O1619" i="1"/>
  <c r="N1619" i="1"/>
  <c r="O1618" i="1"/>
  <c r="N1618" i="1"/>
  <c r="O1617" i="1"/>
  <c r="N1617" i="1"/>
  <c r="O1616" i="1"/>
  <c r="N1616" i="1"/>
  <c r="O1615" i="1"/>
  <c r="N1615" i="1"/>
  <c r="O1614" i="1"/>
  <c r="N1614" i="1"/>
  <c r="O1613" i="1"/>
  <c r="N1613" i="1"/>
  <c r="O1612" i="1"/>
  <c r="N1612" i="1"/>
  <c r="O1611" i="1"/>
  <c r="N1611" i="1"/>
  <c r="O1610" i="1"/>
  <c r="N1610" i="1"/>
  <c r="O1609" i="1"/>
  <c r="N1609" i="1"/>
  <c r="O1608" i="1"/>
  <c r="N1608" i="1"/>
  <c r="O1607" i="1"/>
  <c r="N1607" i="1"/>
  <c r="O1606" i="1"/>
  <c r="N1606" i="1"/>
  <c r="O1605" i="1"/>
  <c r="N1605" i="1"/>
  <c r="O1604" i="1"/>
  <c r="N1604" i="1"/>
  <c r="O1603" i="1"/>
  <c r="N1603" i="1"/>
  <c r="O1602" i="1"/>
  <c r="N1602" i="1"/>
  <c r="O1601" i="1"/>
  <c r="N1601" i="1"/>
  <c r="O1600" i="1"/>
  <c r="N1600" i="1"/>
  <c r="O1599" i="1"/>
  <c r="N1599" i="1"/>
  <c r="O1598" i="1"/>
  <c r="N1598" i="1"/>
  <c r="O1597" i="1"/>
  <c r="N1597" i="1"/>
  <c r="O1596" i="1"/>
  <c r="N1596" i="1"/>
  <c r="O1595" i="1"/>
  <c r="N1595" i="1"/>
  <c r="O1594" i="1"/>
  <c r="N1594" i="1"/>
  <c r="O1593" i="1"/>
  <c r="N1593" i="1"/>
  <c r="O1592" i="1"/>
  <c r="N1592" i="1"/>
  <c r="O1591" i="1"/>
  <c r="N1591" i="1"/>
  <c r="O1590" i="1"/>
  <c r="N1590" i="1"/>
  <c r="O1589" i="1"/>
  <c r="N1589" i="1"/>
  <c r="O1588" i="1"/>
  <c r="N1588" i="1"/>
  <c r="O1587" i="1"/>
  <c r="N1587" i="1"/>
  <c r="O1586" i="1"/>
  <c r="N1586" i="1"/>
  <c r="O1585" i="1"/>
  <c r="N1585" i="1"/>
  <c r="O1584" i="1"/>
  <c r="N1584" i="1"/>
  <c r="O1583" i="1"/>
  <c r="N1583" i="1"/>
  <c r="O1582" i="1"/>
  <c r="N1582" i="1"/>
  <c r="O1581" i="1"/>
  <c r="N1581" i="1"/>
  <c r="O1580" i="1"/>
  <c r="N1580" i="1"/>
  <c r="O1579" i="1"/>
  <c r="N1579" i="1"/>
  <c r="O1578" i="1"/>
  <c r="N1578" i="1"/>
  <c r="O1577" i="1"/>
  <c r="N1577" i="1"/>
  <c r="O1576" i="1"/>
  <c r="N1576" i="1"/>
  <c r="O1575" i="1"/>
  <c r="N1575" i="1"/>
  <c r="O1574" i="1"/>
  <c r="N1574" i="1"/>
  <c r="O1573" i="1"/>
  <c r="N1573" i="1"/>
  <c r="O1572" i="1"/>
  <c r="N1572" i="1"/>
  <c r="O1571" i="1"/>
  <c r="N1571" i="1"/>
  <c r="O1570" i="1"/>
  <c r="N1570" i="1"/>
  <c r="O1569" i="1"/>
  <c r="N1569" i="1"/>
  <c r="O1568" i="1"/>
  <c r="N1568" i="1"/>
  <c r="O1567" i="1"/>
  <c r="N1567" i="1"/>
  <c r="O1566" i="1"/>
  <c r="N1566" i="1"/>
  <c r="O1565" i="1"/>
  <c r="N1565" i="1"/>
  <c r="O1564" i="1"/>
  <c r="N1564" i="1"/>
  <c r="O1563" i="1"/>
  <c r="N1563" i="1"/>
  <c r="O1562" i="1"/>
  <c r="N1562" i="1"/>
  <c r="O1561" i="1"/>
  <c r="N1561" i="1"/>
  <c r="O1560" i="1"/>
  <c r="N1560" i="1"/>
  <c r="O1559" i="1"/>
  <c r="N1559" i="1"/>
  <c r="O1558" i="1"/>
  <c r="N1558" i="1"/>
  <c r="O1557" i="1"/>
  <c r="N1557" i="1"/>
  <c r="O1556" i="1"/>
  <c r="N1556" i="1"/>
  <c r="O1555" i="1"/>
  <c r="N1555" i="1"/>
  <c r="O1554" i="1"/>
  <c r="N1554" i="1"/>
  <c r="O1553" i="1"/>
  <c r="N1553" i="1"/>
  <c r="O1552" i="1"/>
  <c r="N1552" i="1"/>
  <c r="O1551" i="1"/>
  <c r="N1551" i="1"/>
  <c r="O1550" i="1"/>
  <c r="N1550" i="1"/>
  <c r="O1549" i="1"/>
  <c r="N1549" i="1"/>
  <c r="O1548" i="1"/>
  <c r="N1548" i="1"/>
  <c r="O1547" i="1"/>
  <c r="N1547" i="1"/>
  <c r="O1546" i="1"/>
  <c r="N1546" i="1"/>
  <c r="O1545" i="1"/>
  <c r="N1545" i="1"/>
  <c r="O1544" i="1"/>
  <c r="N1544" i="1"/>
  <c r="O1543" i="1"/>
  <c r="N1543" i="1"/>
  <c r="O1542" i="1"/>
  <c r="N1542" i="1"/>
  <c r="O1541" i="1"/>
  <c r="N1541" i="1"/>
  <c r="O1540" i="1"/>
  <c r="N1540" i="1"/>
  <c r="O1539" i="1"/>
  <c r="N1539" i="1"/>
  <c r="O1538" i="1"/>
  <c r="N1538" i="1"/>
  <c r="O1537" i="1"/>
  <c r="N1537" i="1"/>
  <c r="O1536" i="1"/>
  <c r="N1536" i="1"/>
  <c r="O1535" i="1"/>
  <c r="N1535" i="1"/>
  <c r="O1534" i="1"/>
  <c r="N1534" i="1"/>
  <c r="O1533" i="1"/>
  <c r="N1533" i="1"/>
  <c r="O1532" i="1"/>
  <c r="N1532" i="1"/>
  <c r="O1531" i="1"/>
  <c r="N1531" i="1"/>
  <c r="O1530" i="1"/>
  <c r="N1530" i="1"/>
  <c r="O1529" i="1"/>
  <c r="N1529" i="1"/>
  <c r="O1528" i="1"/>
  <c r="N1528" i="1"/>
  <c r="O1527" i="1"/>
  <c r="N1527" i="1"/>
  <c r="O1526" i="1"/>
  <c r="N1526" i="1"/>
  <c r="O1525" i="1"/>
  <c r="N1525" i="1"/>
  <c r="O1524" i="1"/>
  <c r="N1524" i="1"/>
  <c r="O1523" i="1"/>
  <c r="N1523" i="1"/>
  <c r="O1522" i="1"/>
  <c r="N1522" i="1"/>
  <c r="O1521" i="1"/>
  <c r="N1521" i="1"/>
  <c r="O1520" i="1"/>
  <c r="N1520" i="1"/>
  <c r="O1519" i="1"/>
  <c r="N1519" i="1"/>
  <c r="O1518" i="1"/>
  <c r="N1518" i="1"/>
  <c r="O1517" i="1"/>
  <c r="N1517" i="1"/>
  <c r="O1516" i="1"/>
  <c r="N1516" i="1"/>
  <c r="O1515" i="1"/>
  <c r="N1515" i="1"/>
  <c r="O1514" i="1"/>
  <c r="N1514" i="1"/>
  <c r="O1513" i="1"/>
  <c r="N1513" i="1"/>
  <c r="O1512" i="1"/>
  <c r="N1512" i="1"/>
  <c r="O1511" i="1"/>
  <c r="N1511" i="1"/>
  <c r="O1510" i="1"/>
  <c r="N1510" i="1"/>
  <c r="O1509" i="1"/>
  <c r="N1509" i="1"/>
  <c r="O1508" i="1"/>
  <c r="N1508" i="1"/>
  <c r="O1507" i="1"/>
  <c r="N1507" i="1"/>
  <c r="O1506" i="1"/>
  <c r="N1506" i="1"/>
  <c r="O1505" i="1"/>
  <c r="N1505" i="1"/>
  <c r="O1504" i="1"/>
  <c r="N1504" i="1"/>
  <c r="O1503" i="1"/>
  <c r="N1503" i="1"/>
  <c r="O1502" i="1"/>
  <c r="N1502" i="1"/>
  <c r="O1501" i="1"/>
  <c r="N1501" i="1"/>
  <c r="O1500" i="1"/>
  <c r="N1500" i="1"/>
  <c r="O1499" i="1"/>
  <c r="N1499" i="1"/>
  <c r="O1498" i="1"/>
  <c r="N1498" i="1"/>
  <c r="O1497" i="1"/>
  <c r="N1497" i="1"/>
  <c r="O1496" i="1"/>
  <c r="N1496" i="1"/>
  <c r="O1495" i="1"/>
  <c r="N1495" i="1"/>
  <c r="O1494" i="1"/>
  <c r="N1494" i="1"/>
  <c r="O1493" i="1"/>
  <c r="N1493" i="1"/>
  <c r="O1492" i="1"/>
  <c r="N1492" i="1"/>
  <c r="O1491" i="1"/>
  <c r="N1491" i="1"/>
  <c r="O1490" i="1"/>
  <c r="N1490" i="1"/>
  <c r="O1489" i="1"/>
  <c r="N1489" i="1"/>
  <c r="O1488" i="1"/>
  <c r="N1488" i="1"/>
  <c r="O1487" i="1"/>
  <c r="N1487" i="1"/>
  <c r="O1486" i="1"/>
  <c r="N1486" i="1"/>
  <c r="O1485" i="1"/>
  <c r="N1485" i="1"/>
  <c r="O1484" i="1"/>
  <c r="N1484" i="1"/>
  <c r="O1483" i="1"/>
  <c r="N1483" i="1"/>
  <c r="O1482" i="1"/>
  <c r="N1482" i="1"/>
  <c r="O1481" i="1"/>
  <c r="N1481" i="1"/>
  <c r="O1480" i="1"/>
  <c r="N1480" i="1"/>
  <c r="O1479" i="1"/>
  <c r="N1479" i="1"/>
  <c r="O1478" i="1"/>
  <c r="N1478" i="1"/>
  <c r="O1477" i="1"/>
  <c r="N1477" i="1"/>
  <c r="O1476" i="1"/>
  <c r="N1476" i="1"/>
  <c r="O1475" i="1"/>
  <c r="N1475" i="1"/>
  <c r="O1474" i="1"/>
  <c r="N1474" i="1"/>
  <c r="O1473" i="1"/>
  <c r="N1473" i="1"/>
  <c r="O1472" i="1"/>
  <c r="N1472" i="1"/>
  <c r="O1471" i="1"/>
  <c r="N1471" i="1"/>
  <c r="O1470" i="1"/>
  <c r="N1470" i="1"/>
  <c r="O1469" i="1"/>
  <c r="N1469" i="1"/>
  <c r="O1468" i="1"/>
  <c r="N1468" i="1"/>
  <c r="O1467" i="1"/>
  <c r="N1467" i="1"/>
  <c r="O1466" i="1"/>
  <c r="N1466" i="1"/>
  <c r="O1465" i="1"/>
  <c r="N1465" i="1"/>
  <c r="O1464" i="1"/>
  <c r="N1464" i="1"/>
  <c r="O1463" i="1"/>
  <c r="N1463" i="1"/>
  <c r="O1462" i="1"/>
  <c r="N1462" i="1"/>
  <c r="O1461" i="1"/>
  <c r="N1461" i="1"/>
  <c r="O1460" i="1"/>
  <c r="N1460" i="1"/>
  <c r="O1459" i="1"/>
  <c r="N1459" i="1"/>
  <c r="O1458" i="1"/>
  <c r="N1458" i="1"/>
  <c r="O1457" i="1"/>
  <c r="N1457" i="1"/>
  <c r="O1456" i="1"/>
  <c r="N1456" i="1"/>
  <c r="O1455" i="1"/>
  <c r="N1455" i="1"/>
  <c r="O1454" i="1"/>
  <c r="N1454" i="1"/>
  <c r="O1453" i="1"/>
  <c r="N1453" i="1"/>
  <c r="O1452" i="1"/>
  <c r="N1452" i="1"/>
  <c r="O1451" i="1"/>
  <c r="N1451" i="1"/>
  <c r="O1450" i="1"/>
  <c r="N1450" i="1"/>
  <c r="O1449" i="1"/>
  <c r="N1449" i="1"/>
  <c r="O1448" i="1"/>
  <c r="N1448" i="1"/>
  <c r="O1447" i="1"/>
  <c r="N1447" i="1"/>
  <c r="O1446" i="1"/>
  <c r="N1446" i="1"/>
  <c r="O1445" i="1"/>
  <c r="N1445" i="1"/>
  <c r="O1444" i="1"/>
  <c r="N1444" i="1"/>
  <c r="O1443" i="1"/>
  <c r="N1443" i="1"/>
  <c r="O1442" i="1"/>
  <c r="N1442" i="1"/>
  <c r="O1441" i="1"/>
  <c r="N1441" i="1"/>
  <c r="O1440" i="1"/>
  <c r="N1440" i="1"/>
  <c r="O1439" i="1"/>
  <c r="N1439" i="1"/>
  <c r="O1438" i="1"/>
  <c r="N1438" i="1"/>
  <c r="O1437" i="1"/>
  <c r="N1437" i="1"/>
  <c r="O1436" i="1"/>
  <c r="N1436" i="1"/>
  <c r="O1435" i="1"/>
  <c r="N1435" i="1"/>
  <c r="O1434" i="1"/>
  <c r="N1434" i="1"/>
  <c r="O1433" i="1"/>
  <c r="N1433" i="1"/>
  <c r="O1432" i="1"/>
  <c r="N1432" i="1"/>
  <c r="O1431" i="1"/>
  <c r="N1431" i="1"/>
  <c r="O1430" i="1"/>
  <c r="N1430" i="1"/>
  <c r="O1429" i="1"/>
  <c r="N1429" i="1"/>
  <c r="O1428" i="1"/>
  <c r="N1428" i="1"/>
  <c r="O1427" i="1"/>
  <c r="N1427" i="1"/>
  <c r="O1426" i="1"/>
  <c r="N1426" i="1"/>
  <c r="O1425" i="1"/>
  <c r="N1425" i="1"/>
  <c r="O1424" i="1"/>
  <c r="N1424" i="1"/>
  <c r="O1423" i="1"/>
  <c r="N1423" i="1"/>
  <c r="O1422" i="1"/>
  <c r="N1422" i="1"/>
  <c r="O1421" i="1"/>
  <c r="N1421" i="1"/>
  <c r="O1420" i="1"/>
  <c r="N1420" i="1"/>
  <c r="O1419" i="1"/>
  <c r="N1419" i="1"/>
  <c r="O1418" i="1"/>
  <c r="N1418" i="1"/>
  <c r="O1417" i="1"/>
  <c r="N1417" i="1"/>
  <c r="O1416" i="1"/>
  <c r="N1416" i="1"/>
  <c r="O1415" i="1"/>
  <c r="N1415" i="1"/>
  <c r="O1414" i="1"/>
  <c r="N1414" i="1"/>
  <c r="O1413" i="1"/>
  <c r="N1413" i="1"/>
  <c r="O1412" i="1"/>
  <c r="N1412" i="1"/>
  <c r="O1411" i="1"/>
  <c r="N1411" i="1"/>
  <c r="O1410" i="1"/>
  <c r="N1410" i="1"/>
  <c r="O1409" i="1"/>
  <c r="N1409" i="1"/>
  <c r="O1408" i="1"/>
  <c r="N1408" i="1"/>
  <c r="O1407" i="1"/>
  <c r="N1407" i="1"/>
  <c r="O1406" i="1"/>
  <c r="N1406" i="1"/>
  <c r="O1405" i="1"/>
  <c r="N1405" i="1"/>
  <c r="O1404" i="1"/>
  <c r="N1404" i="1"/>
  <c r="O1403" i="1"/>
  <c r="N1403" i="1"/>
  <c r="O1402" i="1"/>
  <c r="N1402" i="1"/>
  <c r="O1401" i="1"/>
  <c r="N1401" i="1"/>
  <c r="O1400" i="1"/>
  <c r="N1400" i="1"/>
  <c r="O1399" i="1"/>
  <c r="N1399" i="1"/>
  <c r="O1398" i="1"/>
  <c r="N1398" i="1"/>
  <c r="O1397" i="1"/>
  <c r="N1397" i="1"/>
  <c r="O1396" i="1"/>
  <c r="N1396" i="1"/>
  <c r="O1395" i="1"/>
  <c r="N1395" i="1"/>
  <c r="O1394" i="1"/>
  <c r="N1394" i="1"/>
  <c r="O1393" i="1"/>
  <c r="N1393" i="1"/>
  <c r="O1392" i="1"/>
  <c r="N1392" i="1"/>
  <c r="O1391" i="1"/>
  <c r="N1391" i="1"/>
  <c r="O1390" i="1"/>
  <c r="N1390" i="1"/>
  <c r="O1389" i="1"/>
  <c r="N1389" i="1"/>
  <c r="O1388" i="1"/>
  <c r="N1388" i="1"/>
  <c r="O1387" i="1"/>
  <c r="N1387" i="1"/>
  <c r="O1386" i="1"/>
  <c r="N1386" i="1"/>
  <c r="O1385" i="1"/>
  <c r="N1385" i="1"/>
  <c r="O1384" i="1"/>
  <c r="N1384" i="1"/>
  <c r="O1383" i="1"/>
  <c r="N1383" i="1"/>
  <c r="O1382" i="1"/>
  <c r="N1382" i="1"/>
  <c r="O1381" i="1"/>
  <c r="N1381" i="1"/>
  <c r="O1380" i="1"/>
  <c r="N1380" i="1"/>
  <c r="O1379" i="1"/>
  <c r="N1379" i="1"/>
  <c r="O1378" i="1"/>
  <c r="N1378" i="1"/>
  <c r="O1377" i="1"/>
  <c r="N1377" i="1"/>
  <c r="O1376" i="1"/>
  <c r="N1376" i="1"/>
  <c r="O1375" i="1"/>
  <c r="N1375" i="1"/>
  <c r="O1374" i="1"/>
  <c r="N1374" i="1"/>
  <c r="O1373" i="1"/>
  <c r="N1373" i="1"/>
  <c r="O1372" i="1"/>
  <c r="N1372" i="1"/>
  <c r="O1371" i="1"/>
  <c r="N1371" i="1"/>
  <c r="O1370" i="1"/>
  <c r="N1370" i="1"/>
  <c r="O1369" i="1"/>
  <c r="N1369" i="1"/>
  <c r="O1368" i="1"/>
  <c r="N1368" i="1"/>
  <c r="O1367" i="1"/>
  <c r="N1367" i="1"/>
  <c r="O1366" i="1"/>
  <c r="N1366" i="1"/>
  <c r="O1365" i="1"/>
  <c r="N1365" i="1"/>
  <c r="O1364" i="1"/>
  <c r="N1364" i="1"/>
  <c r="O1363" i="1"/>
  <c r="N1363" i="1"/>
  <c r="O1362" i="1"/>
  <c r="N1362" i="1"/>
  <c r="O1361" i="1"/>
  <c r="N1361" i="1"/>
  <c r="O1360" i="1"/>
  <c r="N1360" i="1"/>
  <c r="O1359" i="1"/>
  <c r="N1359" i="1"/>
  <c r="O1358" i="1"/>
  <c r="N1358" i="1"/>
  <c r="O1357" i="1"/>
  <c r="N1357" i="1"/>
  <c r="O1356" i="1"/>
  <c r="N1356" i="1"/>
  <c r="O1355" i="1"/>
  <c r="N1355" i="1"/>
  <c r="O1354" i="1"/>
  <c r="N1354" i="1"/>
  <c r="O1353" i="1"/>
  <c r="N1353" i="1"/>
  <c r="O1352" i="1"/>
  <c r="N1352" i="1"/>
  <c r="O1351" i="1"/>
  <c r="N1351" i="1"/>
  <c r="O1350" i="1"/>
  <c r="N1350" i="1"/>
  <c r="O1349" i="1"/>
  <c r="N1349" i="1"/>
  <c r="O1348" i="1"/>
  <c r="N1348" i="1"/>
  <c r="O1347" i="1"/>
  <c r="N1347" i="1"/>
  <c r="O1346" i="1"/>
  <c r="N1346" i="1"/>
  <c r="O1345" i="1"/>
  <c r="N1345" i="1"/>
  <c r="O1344" i="1"/>
  <c r="N1344" i="1"/>
  <c r="O1343" i="1"/>
  <c r="N1343" i="1"/>
  <c r="O1342" i="1"/>
  <c r="N1342" i="1"/>
  <c r="O1341" i="1"/>
  <c r="N1341" i="1"/>
  <c r="O1340" i="1"/>
  <c r="N1340" i="1"/>
  <c r="O1339" i="1"/>
  <c r="N1339" i="1"/>
  <c r="O1338" i="1"/>
  <c r="N1338" i="1"/>
  <c r="O1337" i="1"/>
  <c r="N1337" i="1"/>
  <c r="O1336" i="1"/>
  <c r="N1336" i="1"/>
  <c r="O1335" i="1"/>
  <c r="N1335" i="1"/>
  <c r="O1334" i="1"/>
  <c r="N1334" i="1"/>
  <c r="O1333" i="1"/>
  <c r="N1333" i="1"/>
  <c r="O1332" i="1"/>
  <c r="N1332" i="1"/>
  <c r="O1331" i="1"/>
  <c r="N1331" i="1"/>
  <c r="O1330" i="1"/>
  <c r="N1330" i="1"/>
  <c r="O1329" i="1"/>
  <c r="N1329" i="1"/>
  <c r="O1328" i="1"/>
  <c r="N1328" i="1"/>
  <c r="O1327" i="1"/>
  <c r="N1327" i="1"/>
  <c r="O1326" i="1"/>
  <c r="N1326" i="1"/>
  <c r="O1325" i="1"/>
  <c r="N1325" i="1"/>
  <c r="O1324" i="1"/>
  <c r="N1324" i="1"/>
  <c r="O1323" i="1"/>
  <c r="N1323" i="1"/>
  <c r="O1322" i="1"/>
  <c r="N1322" i="1"/>
  <c r="O1321" i="1"/>
  <c r="N1321" i="1"/>
  <c r="O1320" i="1"/>
  <c r="N1320" i="1"/>
  <c r="O1319" i="1"/>
  <c r="N1319" i="1"/>
  <c r="O1318" i="1"/>
  <c r="N1318" i="1"/>
  <c r="O1317" i="1"/>
  <c r="N1317" i="1"/>
  <c r="O1316" i="1"/>
  <c r="N1316" i="1"/>
  <c r="O1315" i="1"/>
  <c r="N1315" i="1"/>
  <c r="O1314" i="1"/>
  <c r="N1314" i="1"/>
  <c r="O1313" i="1"/>
  <c r="N1313" i="1"/>
  <c r="O1312" i="1"/>
  <c r="N1312" i="1"/>
  <c r="O1311" i="1"/>
  <c r="N1311" i="1"/>
  <c r="O1310" i="1"/>
  <c r="N1310" i="1"/>
  <c r="O1309" i="1"/>
  <c r="N1309" i="1"/>
  <c r="O1308" i="1"/>
  <c r="N1308" i="1"/>
  <c r="O1307" i="1"/>
  <c r="N1307" i="1"/>
  <c r="O1306" i="1"/>
  <c r="N1306" i="1"/>
  <c r="O1305" i="1"/>
  <c r="N1305" i="1"/>
  <c r="O1304" i="1"/>
  <c r="N1304" i="1"/>
  <c r="O1303" i="1"/>
  <c r="N1303" i="1"/>
  <c r="O1302" i="1"/>
  <c r="N1302" i="1"/>
  <c r="O1301" i="1"/>
  <c r="N1301" i="1"/>
  <c r="O1300" i="1"/>
  <c r="N1300" i="1"/>
  <c r="O1299" i="1"/>
  <c r="N1299" i="1"/>
  <c r="O1298" i="1"/>
  <c r="N1298" i="1"/>
  <c r="O1297" i="1"/>
  <c r="N1297" i="1"/>
  <c r="O1296" i="1"/>
  <c r="N1296" i="1"/>
  <c r="O1295" i="1"/>
  <c r="N1295" i="1"/>
  <c r="O1294" i="1"/>
  <c r="N1294" i="1"/>
  <c r="O1293" i="1"/>
  <c r="N1293" i="1"/>
  <c r="O1292" i="1"/>
  <c r="N1292" i="1"/>
  <c r="O1291" i="1"/>
  <c r="N1291" i="1"/>
  <c r="O1290" i="1"/>
  <c r="N1290" i="1"/>
  <c r="O1289" i="1"/>
  <c r="N1289" i="1"/>
  <c r="O1288" i="1"/>
  <c r="N1288" i="1"/>
  <c r="O1287" i="1"/>
  <c r="N1287" i="1"/>
  <c r="O1286" i="1"/>
  <c r="N1286" i="1"/>
  <c r="O1285" i="1"/>
  <c r="N1285" i="1"/>
  <c r="O1284" i="1"/>
  <c r="N1284" i="1"/>
  <c r="O1283" i="1"/>
  <c r="N1283" i="1"/>
  <c r="O1282" i="1"/>
  <c r="N1282" i="1"/>
  <c r="O1281" i="1"/>
  <c r="N1281" i="1"/>
  <c r="O1280" i="1"/>
  <c r="N1280" i="1"/>
  <c r="O1279" i="1"/>
  <c r="N1279" i="1"/>
  <c r="O1278" i="1"/>
  <c r="N1278" i="1"/>
  <c r="O1277" i="1"/>
  <c r="N1277" i="1"/>
  <c r="O1276" i="1"/>
  <c r="N1276" i="1"/>
  <c r="O1275" i="1"/>
  <c r="N1275" i="1"/>
  <c r="O1274" i="1"/>
  <c r="N1274" i="1"/>
  <c r="O1273" i="1"/>
  <c r="N1273" i="1"/>
  <c r="O1272" i="1"/>
  <c r="N1272" i="1"/>
  <c r="O1271" i="1"/>
  <c r="N1271" i="1"/>
  <c r="O1270" i="1"/>
  <c r="N1270" i="1"/>
  <c r="O1269" i="1"/>
  <c r="N1269" i="1"/>
  <c r="O1268" i="1"/>
  <c r="N1268" i="1"/>
  <c r="O1267" i="1"/>
  <c r="N1267" i="1"/>
  <c r="O1266" i="1"/>
  <c r="N1266" i="1"/>
  <c r="O1265" i="1"/>
  <c r="N1265" i="1"/>
  <c r="O1264" i="1"/>
  <c r="N1264" i="1"/>
  <c r="O1263" i="1"/>
  <c r="N1263" i="1"/>
  <c r="O1262" i="1"/>
  <c r="N1262" i="1"/>
  <c r="O1261" i="1"/>
  <c r="N1261" i="1"/>
  <c r="O1260" i="1"/>
  <c r="N1260" i="1"/>
  <c r="O1259" i="1"/>
  <c r="N1259" i="1"/>
  <c r="O1258" i="1"/>
  <c r="N1258" i="1"/>
  <c r="O1257" i="1"/>
  <c r="N1257" i="1"/>
  <c r="O1256" i="1"/>
  <c r="N1256" i="1"/>
  <c r="O1255" i="1"/>
  <c r="N1255" i="1"/>
  <c r="O1254" i="1"/>
  <c r="N1254" i="1"/>
  <c r="O1253" i="1"/>
  <c r="N1253" i="1"/>
  <c r="O1252" i="1"/>
  <c r="N1252" i="1"/>
  <c r="O1251" i="1"/>
  <c r="N1251" i="1"/>
  <c r="O1250" i="1"/>
  <c r="N1250" i="1"/>
  <c r="O1249" i="1"/>
  <c r="N1249" i="1"/>
  <c r="O1248" i="1"/>
  <c r="N1248" i="1"/>
  <c r="O1247" i="1"/>
  <c r="N1247" i="1"/>
  <c r="O1246" i="1"/>
  <c r="N1246" i="1"/>
  <c r="O1245" i="1"/>
  <c r="N1245" i="1"/>
  <c r="O1244" i="1"/>
  <c r="N1244" i="1"/>
  <c r="O1243" i="1"/>
  <c r="N1243" i="1"/>
  <c r="O1242" i="1"/>
  <c r="N1242" i="1"/>
  <c r="O1241" i="1"/>
  <c r="N1241" i="1"/>
  <c r="O1240" i="1"/>
  <c r="N1240" i="1"/>
  <c r="O1239" i="1"/>
  <c r="N1239" i="1"/>
  <c r="O1238" i="1"/>
  <c r="N1238" i="1"/>
  <c r="O1237" i="1"/>
  <c r="N1237" i="1"/>
  <c r="O1236" i="1"/>
  <c r="N1236" i="1"/>
  <c r="O1235" i="1"/>
  <c r="N1235" i="1"/>
  <c r="O1234" i="1"/>
  <c r="N1234" i="1"/>
  <c r="O1233" i="1"/>
  <c r="N1233" i="1"/>
  <c r="O1232" i="1"/>
  <c r="N1232" i="1"/>
  <c r="O1231" i="1"/>
  <c r="N1231" i="1"/>
  <c r="O1230" i="1"/>
  <c r="N1230" i="1"/>
  <c r="O1229" i="1"/>
  <c r="N1229" i="1"/>
  <c r="O1228" i="1"/>
  <c r="N1228" i="1"/>
  <c r="O1227" i="1"/>
  <c r="N1227" i="1"/>
  <c r="O1226" i="1"/>
  <c r="N1226" i="1"/>
  <c r="O1225" i="1"/>
  <c r="N1225" i="1"/>
  <c r="O1224" i="1"/>
  <c r="N1224" i="1"/>
  <c r="O1223" i="1"/>
  <c r="N1223" i="1"/>
  <c r="O1222" i="1"/>
  <c r="N1222" i="1"/>
  <c r="O1221" i="1"/>
  <c r="N1221" i="1"/>
  <c r="O1220" i="1"/>
  <c r="N1220" i="1"/>
  <c r="O1219" i="1"/>
  <c r="N1219" i="1"/>
  <c r="O1218" i="1"/>
  <c r="N1218" i="1"/>
  <c r="O1217" i="1"/>
  <c r="N1217" i="1"/>
  <c r="O1216" i="1"/>
  <c r="N1216" i="1"/>
  <c r="O1215" i="1"/>
  <c r="N1215" i="1"/>
  <c r="O1214" i="1"/>
  <c r="N1214" i="1"/>
  <c r="O1213" i="1"/>
  <c r="N1213" i="1"/>
  <c r="O1212" i="1"/>
  <c r="N1212" i="1"/>
  <c r="O1211" i="1"/>
  <c r="N1211" i="1"/>
  <c r="O1210" i="1"/>
  <c r="N1210" i="1"/>
  <c r="O1209" i="1"/>
  <c r="N1209" i="1"/>
  <c r="O1208" i="1"/>
  <c r="N1208" i="1"/>
  <c r="O1207" i="1"/>
  <c r="N1207" i="1"/>
  <c r="O1206" i="1"/>
  <c r="N1206" i="1"/>
  <c r="O1205" i="1"/>
  <c r="N1205" i="1"/>
  <c r="O1204" i="1"/>
  <c r="N1204" i="1"/>
  <c r="O1203" i="1"/>
  <c r="N1203" i="1"/>
  <c r="O1202" i="1"/>
  <c r="N1202" i="1"/>
  <c r="O1201" i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I1661" i="1" l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1662" i="1"/>
  <c r="J1261" i="1" l="1"/>
  <c r="J1315" i="1"/>
  <c r="J1312" i="1"/>
  <c r="J1309" i="1"/>
  <c r="J1308" i="1"/>
  <c r="J1306" i="1"/>
  <c r="J1304" i="1"/>
  <c r="J1302" i="1"/>
  <c r="J1300" i="1"/>
  <c r="J1297" i="1"/>
  <c r="J1296" i="1"/>
  <c r="J1294" i="1"/>
  <c r="J1292" i="1"/>
  <c r="J1290" i="1"/>
  <c r="J1288" i="1"/>
  <c r="J1285" i="1"/>
  <c r="J1284" i="1"/>
  <c r="J1282" i="1"/>
  <c r="J1280" i="1"/>
  <c r="J1278" i="1"/>
  <c r="J1276" i="1"/>
  <c r="J1274" i="1"/>
  <c r="J1272" i="1"/>
  <c r="J1270" i="1"/>
  <c r="J1268" i="1"/>
  <c r="J1266" i="1"/>
  <c r="J1264" i="1"/>
  <c r="J1212" i="1"/>
  <c r="J1209" i="1"/>
  <c r="J1207" i="1"/>
  <c r="J1205" i="1"/>
  <c r="J1203" i="1"/>
  <c r="J1201" i="1"/>
  <c r="J1199" i="1"/>
  <c r="J1197" i="1"/>
  <c r="J1195" i="1"/>
  <c r="J1193" i="1"/>
  <c r="J1191" i="1"/>
  <c r="J1189" i="1"/>
  <c r="J1184" i="1"/>
  <c r="J1182" i="1"/>
  <c r="J1151" i="1"/>
  <c r="J1149" i="1"/>
  <c r="J1147" i="1"/>
  <c r="J1145" i="1"/>
  <c r="J1143" i="1"/>
  <c r="J1141" i="1"/>
  <c r="J1139" i="1"/>
  <c r="J1136" i="1"/>
  <c r="J1134" i="1"/>
  <c r="J1132" i="1"/>
  <c r="J1130" i="1"/>
  <c r="J1128" i="1"/>
  <c r="J1125" i="1"/>
  <c r="J1123" i="1"/>
  <c r="J1121" i="1"/>
  <c r="J1119" i="1"/>
  <c r="J1117" i="1"/>
  <c r="J1115" i="1"/>
  <c r="J1113" i="1"/>
  <c r="J1111" i="1"/>
  <c r="J1108" i="1"/>
  <c r="J1105" i="1"/>
  <c r="J1103" i="1"/>
  <c r="J1101" i="1"/>
  <c r="J1099" i="1"/>
  <c r="J1097" i="1"/>
  <c r="J1095" i="1"/>
  <c r="J1093" i="1"/>
  <c r="J1091" i="1"/>
  <c r="J1089" i="1"/>
  <c r="J1087" i="1"/>
  <c r="J1085" i="1"/>
  <c r="J1083" i="1"/>
  <c r="J1080" i="1"/>
  <c r="J1078" i="1"/>
  <c r="J1076" i="1"/>
  <c r="J1074" i="1"/>
  <c r="J1072" i="1"/>
  <c r="J1070" i="1"/>
  <c r="J1067" i="1"/>
  <c r="J1065" i="1"/>
  <c r="J1063" i="1"/>
  <c r="J1061" i="1"/>
  <c r="J1058" i="1"/>
  <c r="J1056" i="1"/>
  <c r="J1054" i="1"/>
  <c r="J1052" i="1"/>
  <c r="J1050" i="1"/>
  <c r="J1048" i="1"/>
  <c r="J1046" i="1"/>
  <c r="J1044" i="1"/>
  <c r="J1042" i="1"/>
  <c r="J1039" i="1"/>
  <c r="J1036" i="1"/>
  <c r="J1033" i="1"/>
  <c r="J1031" i="1"/>
  <c r="J1029" i="1"/>
  <c r="J1027" i="1"/>
  <c r="J1025" i="1"/>
  <c r="J1022" i="1"/>
  <c r="J1020" i="1"/>
  <c r="J1018" i="1"/>
  <c r="J1016" i="1"/>
  <c r="J1014" i="1"/>
  <c r="J1012" i="1"/>
  <c r="J1010" i="1"/>
  <c r="J1008" i="1"/>
  <c r="J1005" i="1"/>
  <c r="J1003" i="1"/>
  <c r="J1001" i="1"/>
  <c r="J999" i="1"/>
  <c r="J998" i="1"/>
  <c r="J995" i="1"/>
  <c r="J993" i="1"/>
  <c r="J991" i="1"/>
  <c r="J989" i="1"/>
  <c r="J987" i="1"/>
  <c r="J985" i="1"/>
  <c r="J984" i="1"/>
  <c r="J983" i="1"/>
  <c r="J980" i="1"/>
  <c r="J976" i="1"/>
  <c r="J974" i="1"/>
  <c r="J972" i="1"/>
  <c r="J970" i="1"/>
  <c r="J968" i="1"/>
  <c r="J966" i="1"/>
  <c r="J964" i="1"/>
  <c r="J962" i="1"/>
  <c r="J961" i="1"/>
  <c r="J958" i="1"/>
  <c r="J956" i="1"/>
  <c r="J954" i="1"/>
  <c r="J952" i="1"/>
  <c r="J950" i="1"/>
  <c r="J947" i="1"/>
  <c r="J945" i="1"/>
  <c r="J943" i="1"/>
  <c r="J941" i="1"/>
  <c r="J939" i="1"/>
  <c r="J938" i="1"/>
  <c r="J937" i="1"/>
  <c r="J934" i="1"/>
  <c r="J932" i="1"/>
  <c r="J930" i="1"/>
  <c r="J928" i="1"/>
  <c r="J926" i="1"/>
  <c r="J924" i="1"/>
  <c r="J922" i="1"/>
  <c r="J920" i="1"/>
  <c r="J918" i="1"/>
  <c r="J916" i="1"/>
  <c r="J914" i="1"/>
  <c r="J912" i="1"/>
  <c r="J910" i="1"/>
  <c r="J908" i="1"/>
  <c r="J906" i="1"/>
  <c r="J904" i="1"/>
  <c r="J902" i="1"/>
  <c r="J900" i="1"/>
  <c r="J897" i="1"/>
  <c r="J895" i="1"/>
  <c r="J893" i="1"/>
  <c r="J890" i="1"/>
  <c r="J888" i="1"/>
  <c r="J886" i="1"/>
  <c r="J884" i="1"/>
  <c r="J882" i="1"/>
  <c r="J880" i="1"/>
  <c r="J878" i="1"/>
  <c r="J876" i="1"/>
  <c r="J874" i="1"/>
  <c r="J872" i="1"/>
  <c r="J868" i="1"/>
  <c r="J867" i="1"/>
  <c r="J866" i="1"/>
  <c r="J860" i="1"/>
  <c r="J859" i="1"/>
  <c r="J858" i="1"/>
  <c r="J856" i="1"/>
  <c r="J855" i="1"/>
  <c r="J850" i="1"/>
  <c r="J849" i="1"/>
  <c r="J846" i="1"/>
  <c r="J841" i="1"/>
  <c r="J835" i="1"/>
  <c r="J831" i="1"/>
  <c r="J828" i="1"/>
  <c r="J823" i="1"/>
  <c r="J815" i="1"/>
  <c r="J1314" i="1"/>
  <c r="J1313" i="1"/>
  <c r="J1311" i="1"/>
  <c r="J1310" i="1"/>
  <c r="J1307" i="1"/>
  <c r="J1305" i="1"/>
  <c r="J1303" i="1"/>
  <c r="J1301" i="1"/>
  <c r="J1299" i="1"/>
  <c r="J1298" i="1"/>
  <c r="J1295" i="1"/>
  <c r="J1293" i="1"/>
  <c r="J1291" i="1"/>
  <c r="J1289" i="1"/>
  <c r="J1287" i="1"/>
  <c r="J1286" i="1"/>
  <c r="J1283" i="1"/>
  <c r="J1281" i="1"/>
  <c r="J1279" i="1"/>
  <c r="J1277" i="1"/>
  <c r="J1275" i="1"/>
  <c r="J1273" i="1"/>
  <c r="J1271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185" i="1"/>
  <c r="J1180" i="1"/>
  <c r="J1177" i="1"/>
  <c r="J1175" i="1"/>
  <c r="J1173" i="1"/>
  <c r="J1171" i="1"/>
  <c r="J1169" i="1"/>
  <c r="J1167" i="1"/>
  <c r="J1165" i="1"/>
  <c r="J1163" i="1"/>
  <c r="J1160" i="1"/>
  <c r="J1158" i="1"/>
  <c r="J1156" i="1"/>
  <c r="J1154" i="1"/>
  <c r="J1269" i="1"/>
  <c r="J1267" i="1"/>
  <c r="J1265" i="1"/>
  <c r="J1263" i="1"/>
  <c r="J1262" i="1"/>
  <c r="J1260" i="1"/>
  <c r="J1213" i="1"/>
  <c r="J1211" i="1"/>
  <c r="J1210" i="1"/>
  <c r="J1208" i="1"/>
  <c r="J1206" i="1"/>
  <c r="J1204" i="1"/>
  <c r="J1202" i="1"/>
  <c r="J1200" i="1"/>
  <c r="J1198" i="1"/>
  <c r="J1196" i="1"/>
  <c r="J1194" i="1"/>
  <c r="J1192" i="1"/>
  <c r="J1190" i="1"/>
  <c r="J1188" i="1"/>
  <c r="J1187" i="1"/>
  <c r="J1186" i="1"/>
  <c r="J1183" i="1"/>
  <c r="J1181" i="1"/>
  <c r="J1179" i="1"/>
  <c r="J1178" i="1"/>
  <c r="J1176" i="1"/>
  <c r="J1174" i="1"/>
  <c r="J1172" i="1"/>
  <c r="J1170" i="1"/>
  <c r="J1168" i="1"/>
  <c r="J1166" i="1"/>
  <c r="J1164" i="1"/>
  <c r="J1162" i="1"/>
  <c r="J1161" i="1"/>
  <c r="J1159" i="1"/>
  <c r="J1157" i="1"/>
  <c r="J1155" i="1"/>
  <c r="J1153" i="1"/>
  <c r="J1152" i="1"/>
  <c r="J1150" i="1"/>
  <c r="J1148" i="1"/>
  <c r="J1146" i="1"/>
  <c r="J1144" i="1"/>
  <c r="J1142" i="1"/>
  <c r="J1140" i="1"/>
  <c r="J1138" i="1"/>
  <c r="J1137" i="1"/>
  <c r="J1135" i="1"/>
  <c r="J1133" i="1"/>
  <c r="J1131" i="1"/>
  <c r="J1129" i="1"/>
  <c r="J1127" i="1"/>
  <c r="J1126" i="1"/>
  <c r="J1124" i="1"/>
  <c r="J1122" i="1"/>
  <c r="J1120" i="1"/>
  <c r="J1118" i="1"/>
  <c r="J1116" i="1"/>
  <c r="J1114" i="1"/>
  <c r="J1112" i="1"/>
  <c r="J1110" i="1"/>
  <c r="J1109" i="1"/>
  <c r="J1107" i="1"/>
  <c r="J1106" i="1"/>
  <c r="J1104" i="1"/>
  <c r="J1102" i="1"/>
  <c r="J1100" i="1"/>
  <c r="J1098" i="1"/>
  <c r="J1096" i="1"/>
  <c r="J1094" i="1"/>
  <c r="J1092" i="1"/>
  <c r="J1090" i="1"/>
  <c r="J1088" i="1"/>
  <c r="J1086" i="1"/>
  <c r="J1084" i="1"/>
  <c r="J1082" i="1"/>
  <c r="J1081" i="1"/>
  <c r="J1079" i="1"/>
  <c r="J1077" i="1"/>
  <c r="J1075" i="1"/>
  <c r="J1073" i="1"/>
  <c r="J1071" i="1"/>
  <c r="J1069" i="1"/>
  <c r="J1068" i="1"/>
  <c r="J1066" i="1"/>
  <c r="J1064" i="1"/>
  <c r="J1062" i="1"/>
  <c r="J1060" i="1"/>
  <c r="J1059" i="1"/>
  <c r="J1057" i="1"/>
  <c r="J1055" i="1"/>
  <c r="J1053" i="1"/>
  <c r="J1051" i="1"/>
  <c r="J1049" i="1"/>
  <c r="J1047" i="1"/>
  <c r="J1045" i="1"/>
  <c r="J1043" i="1"/>
  <c r="J1041" i="1"/>
  <c r="J1040" i="1"/>
  <c r="J1038" i="1"/>
  <c r="J1037" i="1"/>
  <c r="J1035" i="1"/>
  <c r="J1034" i="1"/>
  <c r="J1032" i="1"/>
  <c r="J1030" i="1"/>
  <c r="J1028" i="1"/>
  <c r="J1026" i="1"/>
  <c r="J1024" i="1"/>
  <c r="J1023" i="1"/>
  <c r="J1021" i="1"/>
  <c r="J1019" i="1"/>
  <c r="J1017" i="1"/>
  <c r="J1015" i="1"/>
  <c r="J1013" i="1"/>
  <c r="J1011" i="1"/>
  <c r="J1009" i="1"/>
  <c r="J1007" i="1"/>
  <c r="J1006" i="1"/>
  <c r="J1004" i="1"/>
  <c r="J1002" i="1"/>
  <c r="J1000" i="1"/>
  <c r="J997" i="1"/>
  <c r="J996" i="1"/>
  <c r="J994" i="1"/>
  <c r="J992" i="1"/>
  <c r="J990" i="1"/>
  <c r="J988" i="1"/>
  <c r="J986" i="1"/>
  <c r="J982" i="1"/>
  <c r="J981" i="1"/>
  <c r="J979" i="1"/>
  <c r="J978" i="1"/>
  <c r="J977" i="1"/>
  <c r="J975" i="1"/>
  <c r="J973" i="1"/>
  <c r="J971" i="1"/>
  <c r="J969" i="1"/>
  <c r="J967" i="1"/>
  <c r="J965" i="1"/>
  <c r="J963" i="1"/>
  <c r="J960" i="1"/>
  <c r="J959" i="1"/>
  <c r="J957" i="1"/>
  <c r="J955" i="1"/>
  <c r="J953" i="1"/>
  <c r="J951" i="1"/>
  <c r="J949" i="1"/>
  <c r="J948" i="1"/>
  <c r="J946" i="1"/>
  <c r="J944" i="1"/>
  <c r="J942" i="1"/>
  <c r="J940" i="1"/>
  <c r="J936" i="1"/>
  <c r="J935" i="1"/>
  <c r="J933" i="1"/>
  <c r="J931" i="1"/>
  <c r="J929" i="1"/>
  <c r="J927" i="1"/>
  <c r="J925" i="1"/>
  <c r="J923" i="1"/>
  <c r="J921" i="1"/>
  <c r="J919" i="1"/>
  <c r="J917" i="1"/>
  <c r="J915" i="1"/>
  <c r="J913" i="1"/>
  <c r="J911" i="1"/>
  <c r="J909" i="1"/>
  <c r="J907" i="1"/>
  <c r="J905" i="1"/>
  <c r="J903" i="1"/>
  <c r="J901" i="1"/>
  <c r="J899" i="1"/>
  <c r="J898" i="1"/>
  <c r="J896" i="1"/>
  <c r="J894" i="1"/>
  <c r="J892" i="1"/>
  <c r="J891" i="1"/>
  <c r="J889" i="1"/>
  <c r="J887" i="1"/>
  <c r="J885" i="1"/>
  <c r="J883" i="1"/>
  <c r="J881" i="1"/>
  <c r="J879" i="1"/>
  <c r="J877" i="1"/>
  <c r="J875" i="1"/>
  <c r="J873" i="1"/>
  <c r="J871" i="1"/>
  <c r="J869" i="1"/>
  <c r="J862" i="1"/>
  <c r="J861" i="1"/>
  <c r="J857" i="1"/>
  <c r="J853" i="1"/>
  <c r="J852" i="1"/>
  <c r="J851" i="1"/>
  <c r="J845" i="1"/>
  <c r="J844" i="1"/>
  <c r="J843" i="1"/>
  <c r="J838" i="1"/>
  <c r="J834" i="1"/>
  <c r="J833" i="1"/>
  <c r="J830" i="1"/>
  <c r="J829" i="1"/>
  <c r="J826" i="1"/>
  <c r="J822" i="1"/>
  <c r="J821" i="1"/>
  <c r="J818" i="1"/>
  <c r="J870" i="1"/>
  <c r="J865" i="1"/>
  <c r="J864" i="1"/>
  <c r="J863" i="1"/>
  <c r="J854" i="1"/>
  <c r="J848" i="1"/>
  <c r="J847" i="1"/>
  <c r="J842" i="1"/>
  <c r="J840" i="1"/>
  <c r="J839" i="1"/>
  <c r="J837" i="1"/>
  <c r="J836" i="1"/>
  <c r="J832" i="1"/>
  <c r="J827" i="1"/>
  <c r="J825" i="1"/>
  <c r="J824" i="1"/>
  <c r="J820" i="1"/>
  <c r="J819" i="1"/>
  <c r="J817" i="1"/>
  <c r="J816" i="1"/>
</calcChain>
</file>

<file path=xl/sharedStrings.xml><?xml version="1.0" encoding="utf-8"?>
<sst xmlns="http://schemas.openxmlformats.org/spreadsheetml/2006/main" count="15213" uniqueCount="106">
  <si>
    <t>Date</t>
  </si>
  <si>
    <t>Fibre</t>
  </si>
  <si>
    <t>Origin</t>
  </si>
  <si>
    <t>Variety</t>
  </si>
  <si>
    <t>Market Type</t>
  </si>
  <si>
    <t>Currency</t>
  </si>
  <si>
    <t>Daily Change %</t>
  </si>
  <si>
    <t>YoY Change %</t>
  </si>
  <si>
    <t>Year</t>
  </si>
  <si>
    <t>Month</t>
  </si>
  <si>
    <t>Source</t>
  </si>
  <si>
    <t>Remarks</t>
  </si>
  <si>
    <t>Cotton</t>
  </si>
  <si>
    <t>India</t>
  </si>
  <si>
    <t>Indian Cotton</t>
  </si>
  <si>
    <t>Spot</t>
  </si>
  <si>
    <t>₹/Candy</t>
  </si>
  <si>
    <t>INR</t>
  </si>
  <si>
    <t>Indian Cotton Market</t>
  </si>
  <si>
    <t>USA</t>
  </si>
  <si>
    <t>US Cotton</t>
  </si>
  <si>
    <t>Import/CIF</t>
  </si>
  <si>
    <t>US Cotton Market</t>
  </si>
  <si>
    <t>-</t>
  </si>
  <si>
    <t>DCH 32</t>
  </si>
  <si>
    <t>DCH 32 Market</t>
  </si>
  <si>
    <t>Upland Cotton</t>
  </si>
  <si>
    <t>Futures</t>
  </si>
  <si>
    <t>US Cents/Lb</t>
  </si>
  <si>
    <t>USD</t>
  </si>
  <si>
    <t>Upland Cotton Futures</t>
  </si>
  <si>
    <t>Wool</t>
  </si>
  <si>
    <t>Australia</t>
  </si>
  <si>
    <t>Fine Wool</t>
  </si>
  <si>
    <t>Auction</t>
  </si>
  <si>
    <t>AUc/kg</t>
  </si>
  <si>
    <t>AUD</t>
  </si>
  <si>
    <t>Australian Wool Market</t>
  </si>
  <si>
    <t>19 Micron</t>
  </si>
  <si>
    <t>Imported/CIF</t>
  </si>
  <si>
    <t>₹/Kg</t>
  </si>
  <si>
    <t>19 Micron Wool Market</t>
  </si>
  <si>
    <t xml:space="preserve">Standard Unit </t>
  </si>
  <si>
    <t>Month-Year</t>
  </si>
  <si>
    <t xml:space="preserve"> USD/INR</t>
  </si>
  <si>
    <t>USD/CNY</t>
  </si>
  <si>
    <t>USD/VND</t>
  </si>
  <si>
    <t>USD/BDT</t>
  </si>
  <si>
    <t>USD/HKD</t>
  </si>
  <si>
    <t>USD/TRY</t>
  </si>
  <si>
    <t>USD/LKR</t>
  </si>
  <si>
    <t>USD/SGD</t>
  </si>
  <si>
    <t>USD/MYR</t>
  </si>
  <si>
    <t>USD/AE</t>
  </si>
  <si>
    <t xml:space="preserve"> USD/IDR</t>
  </si>
  <si>
    <t>USD/JP</t>
  </si>
  <si>
    <t>USD/THB</t>
  </si>
  <si>
    <t>USD/MU</t>
  </si>
  <si>
    <t>USD/TW</t>
  </si>
  <si>
    <t>USD/IR</t>
  </si>
  <si>
    <t>USD/GBP</t>
  </si>
  <si>
    <t>USD/EUR</t>
  </si>
  <si>
    <t>AUD/INR</t>
  </si>
  <si>
    <t>EUR/INR</t>
  </si>
  <si>
    <t>GBP/INR</t>
  </si>
  <si>
    <t xml:space="preserve">Standard Price </t>
  </si>
  <si>
    <t xml:space="preserve">Original Price </t>
  </si>
  <si>
    <t xml:space="preserve">Original Unit </t>
  </si>
  <si>
    <t xml:space="preserve">Exchange Rate </t>
  </si>
  <si>
    <t>Report Time</t>
  </si>
  <si>
    <t>Value</t>
  </si>
  <si>
    <t>Unit</t>
  </si>
  <si>
    <t>% Change</t>
  </si>
  <si>
    <t>Index</t>
  </si>
  <si>
    <t>Subproduct/Geography</t>
  </si>
  <si>
    <t>Color/Leaf</t>
  </si>
  <si>
    <t>Staple</t>
  </si>
  <si>
    <t>USD/Pound</t>
  </si>
  <si>
    <t>Supima</t>
  </si>
  <si>
    <t>American Pima</t>
  </si>
  <si>
    <t xml:space="preserve"> 2/2</t>
  </si>
  <si>
    <t xml:space="preserve"> 3/3</t>
  </si>
  <si>
    <t>Price</t>
  </si>
  <si>
    <t>Change %</t>
  </si>
  <si>
    <t>Supima 2/2</t>
  </si>
  <si>
    <t>January</t>
  </si>
  <si>
    <t>Color/Leaf: 2/2, Staple: 46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</si>
  <si>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</si>
  <si>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</si>
  <si>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</si>
  <si>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</si>
  <si>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</si>
  <si>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</si>
  <si>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</si>
  <si>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</si>
  <si>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</si>
  <si>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</si>
  <si>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</si>
  <si>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Supima 3/3</t>
  </si>
  <si>
    <t>Color/Leaf: 3/3, Staple: 46</t>
  </si>
  <si>
    <t>China</t>
  </si>
  <si>
    <t>China Cotton</t>
  </si>
  <si>
    <t>CNY/MT</t>
  </si>
  <si>
    <t>CNY</t>
  </si>
  <si>
    <t>China Cotton Market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</si>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</sst>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Helvetica"/>
    </font>
    <font>
      <sz val="10"/>
      <color rgb="FF0000FF"/>
      <name val="Helvetica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0" fontId="3" fillId="3" borderId="2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7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165" fontId="4" fillId="4" borderId="1" xfId="1" applyNumberFormat="1" applyFont="1" applyFill="1" applyBorder="1" applyAlignment="1">
      <alignment horizontal="center" vertical="center" wrapText="1"/>
    </xf>
    <xf numFmtId="2" fontId="4" fillId="4" borderId="1" xfId="1" applyNumberFormat="1" applyFont="1" applyFill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 wrapText="1"/>
    </xf>
    <xf numFmtId="166" fontId="4" fillId="4" borderId="1" xfId="1" applyNumberFormat="1" applyFont="1" applyFill="1" applyBorder="1" applyAlignment="1">
      <alignment horizontal="center"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43" fontId="4" fillId="5" borderId="2" xfId="1" applyFont="1" applyFill="1" applyBorder="1" applyAlignment="1">
      <alignment horizontal="center" vertical="center" wrapText="1"/>
    </xf>
    <xf numFmtId="165" fontId="4" fillId="5" borderId="1" xfId="1" applyNumberFormat="1" applyFont="1" applyFill="1" applyBorder="1" applyAlignment="1">
      <alignment horizontal="center" vertical="center" wrapText="1"/>
    </xf>
    <xf numFmtId="17" fontId="4" fillId="5" borderId="1" xfId="0" applyNumberFormat="1" applyFont="1" applyFill="1" applyBorder="1" applyAlignment="1">
      <alignment horizontal="center" vertical="center" wrapText="1"/>
    </xf>
    <xf numFmtId="165" fontId="4" fillId="5" borderId="3" xfId="1" applyNumberFormat="1" applyFont="1" applyFill="1" applyBorder="1" applyAlignment="1">
      <alignment horizontal="center" vertical="center" wrapText="1"/>
    </xf>
    <xf numFmtId="17" fontId="4" fillId="5" borderId="3" xfId="0" applyNumberFormat="1" applyFont="1" applyFill="1" applyBorder="1" applyAlignment="1">
      <alignment horizontal="center" vertical="center" wrapText="1"/>
    </xf>
    <xf numFmtId="165" fontId="4" fillId="5" borderId="2" xfId="1" applyNumberFormat="1" applyFont="1" applyFill="1" applyBorder="1" applyAlignment="1">
      <alignment horizontal="center" vertical="center" wrapText="1"/>
    </xf>
    <xf numFmtId="17" fontId="4" fillId="5" borderId="2" xfId="0" applyNumberFormat="1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7" fillId="3" borderId="0" xfId="2" applyNumberFormat="1" applyFont="1" applyFill="1"/>
    <xf numFmtId="2" fontId="7" fillId="3" borderId="0" xfId="2" applyNumberFormat="1" applyFont="1" applyFill="1"/>
    <xf numFmtId="0" fontId="7" fillId="3" borderId="0" xfId="2" applyFont="1" applyFill="1"/>
    <xf numFmtId="14" fontId="6" fillId="0" borderId="0" xfId="2" applyNumberFormat="1"/>
    <xf numFmtId="2" fontId="6" fillId="0" borderId="0" xfId="2" applyNumberFormat="1"/>
    <xf numFmtId="0" fontId="6" fillId="0" borderId="0" xfId="2"/>
    <xf numFmtId="0" fontId="5" fillId="3" borderId="0" xfId="0" applyFont="1" applyFill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4" fontId="0" fillId="0" borderId="1" xfId="0" applyNumberFormat="1" applyBorder="1"/>
    <xf numFmtId="10" fontId="0" fillId="0" borderId="1" xfId="0" applyNumberFormat="1" applyBorder="1"/>
  </cellXfs>
  <cellStyles count="3">
    <cellStyle name="Comma" xfId="1" builtinId="3"/>
    <cellStyle name="Normal" xfId="0" builtinId="0"/>
    <cellStyle name="Normal 2" xfId="2" xr:uid="{88391D70-49A7-49D4-B7A2-C8296F297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2809-B60C-4F0B-906F-F822896599F3}">
  <sheetPr filterMode="1"/>
  <dimension ref="A1:Q1990"/>
  <sheetViews>
    <sheetView tabSelected="1" zoomScale="94" zoomScaleNormal="94" workbookViewId="0">
      <selection activeCell="M1990" sqref="M1990"/>
    </sheetView>
  </sheetViews>
  <sheetFormatPr defaultRowHeight="14.4" x14ac:dyDescent="0.3"/>
  <cols>
    <col min="1" max="1" width="14.5546875" customWidth="1"/>
    <col min="4" max="4" width="12.44140625" customWidth="1"/>
    <col min="5" max="5" width="12.21875" customWidth="1"/>
    <col min="6" max="6" width="14" customWidth="1"/>
    <col min="7" max="7" width="10.77734375" bestFit="1" customWidth="1"/>
    <col min="9" max="9" width="10" customWidth="1"/>
    <col min="10" max="10" width="12.33203125" customWidth="1"/>
    <col min="11" max="11" width="11.44140625" customWidth="1"/>
    <col min="12" max="12" width="16.6640625" customWidth="1"/>
    <col min="13" max="13" width="13.88671875" customWidth="1"/>
    <col min="16" max="16" width="18.44140625" customWidth="1"/>
    <col min="17" max="17" width="10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66</v>
      </c>
      <c r="G1" s="1" t="s">
        <v>67</v>
      </c>
      <c r="H1" s="1" t="s">
        <v>5</v>
      </c>
      <c r="I1" s="1" t="s">
        <v>68</v>
      </c>
      <c r="J1" s="1" t="s">
        <v>65</v>
      </c>
      <c r="K1" s="1" t="s">
        <v>42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s="2">
        <v>46174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63500</v>
      </c>
      <c r="G2" s="3" t="s">
        <v>16</v>
      </c>
      <c r="H2" s="3" t="s">
        <v>17</v>
      </c>
      <c r="I2" s="3">
        <f>IF(C2="India",1,IF(C2="USA",INDEX('Currency Master'!B:B,MATCH(DATE(N2,MONTH(DATEVALUE(O2&amp;" 1")),1),'Currency Master'!A:A,0)),IF(C2="Australia",INDEX('Currency Master'!T:T,MATCH(DATE(N2,MONTH(DATEVALUE(O2&amp;" 1")),1),'Currency Master'!A:A,0)),"")))</f>
        <v>1</v>
      </c>
      <c r="J2" s="3">
        <f>IF(C2="India",F2,IF(C2="USA",IF(G2="US Cents/Lb",ROUND(((F2/100)/0.453592)*I2*356,0),F2),IF(C2="Australia",IF(G2="AUc/kg",ROUND((F2/100)*I2,2),F2),"")))</f>
        <v>63500</v>
      </c>
      <c r="K2" s="3" t="str">
        <f>IF(C2="India",G2,IF(C2="USA","₹/Candy",IF(C2="Australia","₹/Kg","")))</f>
        <v>₹/Candy</v>
      </c>
      <c r="L2" s="3">
        <v>-6.6176470588235295E-2</v>
      </c>
      <c r="M2" s="3">
        <v>0.15454545454545501</v>
      </c>
      <c r="N2" s="3">
        <f>YEAR(A2)</f>
        <v>2026</v>
      </c>
      <c r="O2" s="3" t="str">
        <f>TEXT(A2,"mmmm")</f>
        <v>June</v>
      </c>
      <c r="P2" s="3" t="s">
        <v>18</v>
      </c>
      <c r="Q2" s="3"/>
    </row>
    <row r="3" spans="1:17" x14ac:dyDescent="0.3">
      <c r="A3" s="2">
        <v>46143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68000</v>
      </c>
      <c r="G3" s="3" t="s">
        <v>16</v>
      </c>
      <c r="H3" s="3" t="s">
        <v>17</v>
      </c>
      <c r="I3" s="3">
        <f>IF(C3="India",1,IF(C3="USA",INDEX('Currency Master'!B:B,MATCH(DATE(N3,MONTH(DATEVALUE(O3&amp;" 1")),1),'Currency Master'!A:A,0)),IF(C3="Australia",INDEX('Currency Master'!T:T,MATCH(DATE(N3,MONTH(DATEVALUE(O3&amp;" 1")),1),'Currency Master'!A:A,0)),"")))</f>
        <v>1</v>
      </c>
      <c r="J3" s="3">
        <f t="shared" ref="J3:J66" si="0">IF(C3="India",F3,IF(C3="USA",IF(G3="US Cents/Lb",ROUND(((F3/100)/0.453592)*I3*356,0),F3),IF(C3="Australia",IF(G3="AUc/kg",ROUND((F3/100)*I3,2),F3),"")))</f>
        <v>68000</v>
      </c>
      <c r="K3" s="3" t="str">
        <f t="shared" ref="K3:K66" si="1">IF(C3="India",G3,IF(C3="USA","₹/Candy",IF(C3="Australia","₹/Kg","")))</f>
        <v>₹/Candy</v>
      </c>
      <c r="L3" s="3">
        <v>0.120263591433278</v>
      </c>
      <c r="M3" s="3">
        <v>0.214285714285714</v>
      </c>
      <c r="N3" s="3">
        <f t="shared" ref="N3:N66" si="2">YEAR(A3)</f>
        <v>2026</v>
      </c>
      <c r="O3" s="3" t="str">
        <f t="shared" ref="O3:O66" si="3">TEXT(A3,"mmmm")</f>
        <v>May</v>
      </c>
      <c r="P3" s="3" t="s">
        <v>18</v>
      </c>
      <c r="Q3" s="3"/>
    </row>
    <row r="4" spans="1:17" x14ac:dyDescent="0.3">
      <c r="A4" s="2">
        <v>46113</v>
      </c>
      <c r="B4" s="3" t="s">
        <v>12</v>
      </c>
      <c r="C4" s="3" t="s">
        <v>13</v>
      </c>
      <c r="D4" s="3" t="s">
        <v>14</v>
      </c>
      <c r="E4" s="3" t="s">
        <v>15</v>
      </c>
      <c r="F4" s="3">
        <v>60700</v>
      </c>
      <c r="G4" s="3" t="s">
        <v>16</v>
      </c>
      <c r="H4" s="3" t="s">
        <v>17</v>
      </c>
      <c r="I4" s="3">
        <f>IF(C4="India",1,IF(C4="USA",INDEX('Currency Master'!B:B,MATCH(DATE(N4,MONTH(DATEVALUE(O4&amp;" 1")),1),'Currency Master'!A:A,0)),IF(C4="Australia",INDEX('Currency Master'!T:T,MATCH(DATE(N4,MONTH(DATEVALUE(O4&amp;" 1")),1),'Currency Master'!A:A,0)),"")))</f>
        <v>1</v>
      </c>
      <c r="J4" s="3">
        <f t="shared" si="0"/>
        <v>60700</v>
      </c>
      <c r="K4" s="3" t="str">
        <f t="shared" si="1"/>
        <v>₹/Candy</v>
      </c>
      <c r="L4" s="3">
        <v>0.111721611721612</v>
      </c>
      <c r="M4" s="3">
        <v>0.10163339382940099</v>
      </c>
      <c r="N4" s="3">
        <f t="shared" si="2"/>
        <v>2026</v>
      </c>
      <c r="O4" s="3" t="str">
        <f t="shared" si="3"/>
        <v>April</v>
      </c>
      <c r="P4" s="3" t="s">
        <v>18</v>
      </c>
      <c r="Q4" s="3"/>
    </row>
    <row r="5" spans="1:17" x14ac:dyDescent="0.3">
      <c r="A5" s="2">
        <v>46082</v>
      </c>
      <c r="B5" s="3" t="s">
        <v>12</v>
      </c>
      <c r="C5" s="3" t="s">
        <v>13</v>
      </c>
      <c r="D5" s="3" t="s">
        <v>14</v>
      </c>
      <c r="E5" s="3" t="s">
        <v>15</v>
      </c>
      <c r="F5" s="3">
        <v>54600</v>
      </c>
      <c r="G5" s="3" t="s">
        <v>16</v>
      </c>
      <c r="H5" s="3" t="s">
        <v>17</v>
      </c>
      <c r="I5" s="3">
        <f>IF(C5="India",1,IF(C5="USA",INDEX('Currency Master'!B:B,MATCH(DATE(N5,MONTH(DATEVALUE(O5&amp;" 1")),1),'Currency Master'!A:A,0)),IF(C5="Australia",INDEX('Currency Master'!T:T,MATCH(DATE(N5,MONTH(DATEVALUE(O5&amp;" 1")),1),'Currency Master'!A:A,0)),"")))</f>
        <v>1</v>
      </c>
      <c r="J5" s="3">
        <f t="shared" si="0"/>
        <v>54600</v>
      </c>
      <c r="K5" s="3" t="str">
        <f t="shared" si="1"/>
        <v>₹/Candy</v>
      </c>
      <c r="L5" s="3">
        <v>3.6764705882352802E-3</v>
      </c>
      <c r="M5" s="3">
        <v>1.1111111111111099E-2</v>
      </c>
      <c r="N5" s="3">
        <f t="shared" si="2"/>
        <v>2026</v>
      </c>
      <c r="O5" s="3" t="str">
        <f t="shared" si="3"/>
        <v>March</v>
      </c>
      <c r="P5" s="3" t="s">
        <v>18</v>
      </c>
      <c r="Q5" s="3"/>
    </row>
    <row r="6" spans="1:17" x14ac:dyDescent="0.3">
      <c r="A6" s="2">
        <v>46054</v>
      </c>
      <c r="B6" s="3" t="s">
        <v>12</v>
      </c>
      <c r="C6" s="3" t="s">
        <v>13</v>
      </c>
      <c r="D6" s="3" t="s">
        <v>14</v>
      </c>
      <c r="E6" s="3" t="s">
        <v>15</v>
      </c>
      <c r="F6" s="3">
        <v>54400</v>
      </c>
      <c r="G6" s="3" t="s">
        <v>16</v>
      </c>
      <c r="H6" s="3" t="s">
        <v>17</v>
      </c>
      <c r="I6" s="3">
        <f>IF(C6="India",1,IF(C6="USA",INDEX('Currency Master'!B:B,MATCH(DATE(N6,MONTH(DATEVALUE(O6&amp;" 1")),1),'Currency Master'!A:A,0)),IF(C6="Australia",INDEX('Currency Master'!T:T,MATCH(DATE(N6,MONTH(DATEVALUE(O6&amp;" 1")),1),'Currency Master'!A:A,0)),"")))</f>
        <v>1</v>
      </c>
      <c r="J6" s="3">
        <f t="shared" si="0"/>
        <v>54400</v>
      </c>
      <c r="K6" s="3" t="str">
        <f t="shared" si="1"/>
        <v>₹/Candy</v>
      </c>
      <c r="L6" s="3">
        <v>7.4074074074073097E-3</v>
      </c>
      <c r="M6" s="3">
        <v>1.30353817504656E-2</v>
      </c>
      <c r="N6" s="3">
        <f t="shared" si="2"/>
        <v>2026</v>
      </c>
      <c r="O6" s="3" t="str">
        <f t="shared" si="3"/>
        <v>February</v>
      </c>
      <c r="P6" s="3" t="s">
        <v>18</v>
      </c>
      <c r="Q6" s="3"/>
    </row>
    <row r="7" spans="1:17" x14ac:dyDescent="0.3">
      <c r="A7" s="2">
        <v>46023</v>
      </c>
      <c r="B7" s="3" t="s">
        <v>12</v>
      </c>
      <c r="C7" s="3" t="s">
        <v>13</v>
      </c>
      <c r="D7" s="3" t="s">
        <v>14</v>
      </c>
      <c r="E7" s="3" t="s">
        <v>15</v>
      </c>
      <c r="F7" s="3">
        <v>54000</v>
      </c>
      <c r="G7" s="3" t="s">
        <v>16</v>
      </c>
      <c r="H7" s="3" t="s">
        <v>17</v>
      </c>
      <c r="I7" s="3">
        <f>IF(C7="India",1,IF(C7="USA",INDEX('Currency Master'!B:B,MATCH(DATE(N7,MONTH(DATEVALUE(O7&amp;" 1")),1),'Currency Master'!A:A,0)),IF(C7="Australia",INDEX('Currency Master'!T:T,MATCH(DATE(N7,MONTH(DATEVALUE(O7&amp;" 1")),1),'Currency Master'!A:A,0)),"")))</f>
        <v>1</v>
      </c>
      <c r="J7" s="3">
        <f t="shared" si="0"/>
        <v>54000</v>
      </c>
      <c r="K7" s="3" t="str">
        <f t="shared" si="1"/>
        <v>₹/Candy</v>
      </c>
      <c r="L7" s="3">
        <v>3.2504780114722701E-2</v>
      </c>
      <c r="M7" s="3">
        <v>5.5865921787710002E-3</v>
      </c>
      <c r="N7" s="3">
        <f t="shared" si="2"/>
        <v>2026</v>
      </c>
      <c r="O7" s="3" t="str">
        <f t="shared" si="3"/>
        <v>January</v>
      </c>
      <c r="P7" s="3" t="s">
        <v>18</v>
      </c>
      <c r="Q7" s="3"/>
    </row>
    <row r="8" spans="1:17" hidden="1" x14ac:dyDescent="0.3">
      <c r="A8" s="2">
        <v>45992</v>
      </c>
      <c r="B8" s="3" t="s">
        <v>12</v>
      </c>
      <c r="C8" s="3" t="s">
        <v>13</v>
      </c>
      <c r="D8" s="3" t="s">
        <v>14</v>
      </c>
      <c r="E8" s="3" t="s">
        <v>15</v>
      </c>
      <c r="F8" s="3">
        <v>52300</v>
      </c>
      <c r="G8" s="3" t="s">
        <v>16</v>
      </c>
      <c r="H8" s="3" t="s">
        <v>17</v>
      </c>
      <c r="I8" s="3">
        <f>IF(C8="India",1,IF(C8="USA",INDEX('Currency Master'!B:B,MATCH(DATE(N8,MONTH(DATEVALUE(O8&amp;" 1")),1),'Currency Master'!A:A,0)),IF(C8="Australia",INDEX('Currency Master'!T:T,MATCH(DATE(N8,MONTH(DATEVALUE(O8&amp;" 1")),1),'Currency Master'!A:A,0)),"")))</f>
        <v>1</v>
      </c>
      <c r="J8" s="3">
        <f t="shared" si="0"/>
        <v>52300</v>
      </c>
      <c r="K8" s="3" t="str">
        <f t="shared" si="1"/>
        <v>₹/Candy</v>
      </c>
      <c r="L8" s="3">
        <v>5.7692307692307496E-3</v>
      </c>
      <c r="M8" s="3">
        <v>-3.6832412523020303E-2</v>
      </c>
      <c r="N8" s="3">
        <f t="shared" si="2"/>
        <v>2025</v>
      </c>
      <c r="O8" s="3" t="str">
        <f t="shared" si="3"/>
        <v>December</v>
      </c>
      <c r="P8" s="3" t="s">
        <v>18</v>
      </c>
      <c r="Q8" s="3"/>
    </row>
    <row r="9" spans="1:17" hidden="1" x14ac:dyDescent="0.3">
      <c r="A9" s="2">
        <v>45962</v>
      </c>
      <c r="B9" s="3" t="s">
        <v>12</v>
      </c>
      <c r="C9" s="3" t="s">
        <v>13</v>
      </c>
      <c r="D9" s="3" t="s">
        <v>14</v>
      </c>
      <c r="E9" s="3" t="s">
        <v>15</v>
      </c>
      <c r="F9" s="3">
        <v>52000</v>
      </c>
      <c r="G9" s="3" t="s">
        <v>16</v>
      </c>
      <c r="H9" s="3" t="s">
        <v>17</v>
      </c>
      <c r="I9" s="3">
        <f>IF(C9="India",1,IF(C9="USA",INDEX('Currency Master'!B:B,MATCH(DATE(N9,MONTH(DATEVALUE(O9&amp;" 1")),1),'Currency Master'!A:A,0)),IF(C9="Australia",INDEX('Currency Master'!T:T,MATCH(DATE(N9,MONTH(DATEVALUE(O9&amp;" 1")),1),'Currency Master'!A:A,0)),"")))</f>
        <v>1</v>
      </c>
      <c r="J9" s="3">
        <f t="shared" si="0"/>
        <v>52000</v>
      </c>
      <c r="K9" s="3" t="str">
        <f t="shared" si="1"/>
        <v>₹/Candy</v>
      </c>
      <c r="L9" s="3">
        <v>-2.6217228464419401E-2</v>
      </c>
      <c r="M9" s="3">
        <v>-5.4545454545454598E-2</v>
      </c>
      <c r="N9" s="3">
        <f t="shared" si="2"/>
        <v>2025</v>
      </c>
      <c r="O9" s="3" t="str">
        <f t="shared" si="3"/>
        <v>November</v>
      </c>
      <c r="P9" s="3" t="s">
        <v>18</v>
      </c>
      <c r="Q9" s="3"/>
    </row>
    <row r="10" spans="1:17" hidden="1" x14ac:dyDescent="0.3">
      <c r="A10" s="2">
        <v>45931</v>
      </c>
      <c r="B10" s="3" t="s">
        <v>12</v>
      </c>
      <c r="C10" s="3" t="s">
        <v>13</v>
      </c>
      <c r="D10" s="3" t="s">
        <v>14</v>
      </c>
      <c r="E10" s="3" t="s">
        <v>15</v>
      </c>
      <c r="F10" s="3">
        <v>53400</v>
      </c>
      <c r="G10" s="3" t="s">
        <v>16</v>
      </c>
      <c r="H10" s="3" t="s">
        <v>17</v>
      </c>
      <c r="I10" s="3">
        <f>IF(C10="India",1,IF(C10="USA",INDEX('Currency Master'!B:B,MATCH(DATE(N10,MONTH(DATEVALUE(O10&amp;" 1")),1),'Currency Master'!A:A,0)),IF(C10="Australia",INDEX('Currency Master'!T:T,MATCH(DATE(N10,MONTH(DATEVALUE(O10&amp;" 1")),1),'Currency Master'!A:A,0)),"")))</f>
        <v>1</v>
      </c>
      <c r="J10" s="3">
        <f t="shared" si="0"/>
        <v>53400</v>
      </c>
      <c r="K10" s="3" t="str">
        <f t="shared" si="1"/>
        <v>₹/Candy</v>
      </c>
      <c r="L10" s="3">
        <v>-2.0183486238532101E-2</v>
      </c>
      <c r="M10" s="3">
        <v>-9.18367346938775E-2</v>
      </c>
      <c r="N10" s="3">
        <f t="shared" si="2"/>
        <v>2025</v>
      </c>
      <c r="O10" s="3" t="str">
        <f t="shared" si="3"/>
        <v>October</v>
      </c>
      <c r="P10" s="3" t="s">
        <v>18</v>
      </c>
      <c r="Q10" s="3"/>
    </row>
    <row r="11" spans="1:17" hidden="1" x14ac:dyDescent="0.3">
      <c r="A11" s="2">
        <v>45901</v>
      </c>
      <c r="B11" s="3" t="s">
        <v>12</v>
      </c>
      <c r="C11" s="3" t="s">
        <v>13</v>
      </c>
      <c r="D11" s="3" t="s">
        <v>14</v>
      </c>
      <c r="E11" s="3" t="s">
        <v>15</v>
      </c>
      <c r="F11" s="3">
        <v>54500</v>
      </c>
      <c r="G11" s="3" t="s">
        <v>16</v>
      </c>
      <c r="H11" s="3" t="s">
        <v>17</v>
      </c>
      <c r="I11" s="3">
        <f>IF(C11="India",1,IF(C11="USA",INDEX('Currency Master'!B:B,MATCH(DATE(N11,MONTH(DATEVALUE(O11&amp;" 1")),1),'Currency Master'!A:A,0)),IF(C11="Australia",INDEX('Currency Master'!T:T,MATCH(DATE(N11,MONTH(DATEVALUE(O11&amp;" 1")),1),'Currency Master'!A:A,0)),"")))</f>
        <v>1</v>
      </c>
      <c r="J11" s="3">
        <f t="shared" si="0"/>
        <v>54500</v>
      </c>
      <c r="K11" s="3" t="str">
        <f t="shared" si="1"/>
        <v>₹/Candy</v>
      </c>
      <c r="L11" s="3">
        <v>-3.0249110320284701E-2</v>
      </c>
      <c r="M11" s="3">
        <v>-7.93918918918919E-2</v>
      </c>
      <c r="N11" s="3">
        <f t="shared" si="2"/>
        <v>2025</v>
      </c>
      <c r="O11" s="3" t="str">
        <f t="shared" si="3"/>
        <v>September</v>
      </c>
      <c r="P11" s="3" t="s">
        <v>18</v>
      </c>
      <c r="Q11" s="3"/>
    </row>
    <row r="12" spans="1:17" hidden="1" x14ac:dyDescent="0.3">
      <c r="A12" s="2">
        <v>45870</v>
      </c>
      <c r="B12" s="3" t="s">
        <v>12</v>
      </c>
      <c r="C12" s="3" t="s">
        <v>13</v>
      </c>
      <c r="D12" s="3" t="s">
        <v>14</v>
      </c>
      <c r="E12" s="3" t="s">
        <v>15</v>
      </c>
      <c r="F12" s="3">
        <v>56200</v>
      </c>
      <c r="G12" s="3" t="s">
        <v>16</v>
      </c>
      <c r="H12" s="3" t="s">
        <v>17</v>
      </c>
      <c r="I12" s="3">
        <f>IF(C12="India",1,IF(C12="USA",INDEX('Currency Master'!B:B,MATCH(DATE(N12,MONTH(DATEVALUE(O12&amp;" 1")),1),'Currency Master'!A:A,0)),IF(C12="Australia",INDEX('Currency Master'!T:T,MATCH(DATE(N12,MONTH(DATEVALUE(O12&amp;" 1")),1),'Currency Master'!A:A,0)),"")))</f>
        <v>1</v>
      </c>
      <c r="J12" s="3">
        <f t="shared" si="0"/>
        <v>56200</v>
      </c>
      <c r="K12" s="3" t="str">
        <f t="shared" si="1"/>
        <v>₹/Candy</v>
      </c>
      <c r="L12" s="3">
        <v>1.6274864376130099E-2</v>
      </c>
      <c r="M12" s="3">
        <v>-1.5761821366024598E-2</v>
      </c>
      <c r="N12" s="3">
        <f t="shared" si="2"/>
        <v>2025</v>
      </c>
      <c r="O12" s="3" t="str">
        <f t="shared" si="3"/>
        <v>August</v>
      </c>
      <c r="P12" s="3" t="s">
        <v>18</v>
      </c>
      <c r="Q12" s="3"/>
    </row>
    <row r="13" spans="1:17" hidden="1" x14ac:dyDescent="0.3">
      <c r="A13" s="2">
        <v>45839</v>
      </c>
      <c r="B13" s="3" t="s">
        <v>12</v>
      </c>
      <c r="C13" s="3" t="s">
        <v>13</v>
      </c>
      <c r="D13" s="3" t="s">
        <v>14</v>
      </c>
      <c r="E13" s="3" t="s">
        <v>15</v>
      </c>
      <c r="F13" s="3">
        <v>55300</v>
      </c>
      <c r="G13" s="3" t="s">
        <v>16</v>
      </c>
      <c r="H13" s="3" t="s">
        <v>17</v>
      </c>
      <c r="I13" s="3">
        <f>IF(C13="India",1,IF(C13="USA",INDEX('Currency Master'!B:B,MATCH(DATE(N13,MONTH(DATEVALUE(O13&amp;" 1")),1),'Currency Master'!A:A,0)),IF(C13="Australia",INDEX('Currency Master'!T:T,MATCH(DATE(N13,MONTH(DATEVALUE(O13&amp;" 1")),1),'Currency Master'!A:A,0)),"")))</f>
        <v>1</v>
      </c>
      <c r="J13" s="3">
        <f t="shared" si="0"/>
        <v>55300</v>
      </c>
      <c r="K13" s="3" t="str">
        <f t="shared" si="1"/>
        <v>₹/Candy</v>
      </c>
      <c r="L13" s="3">
        <v>5.4545454545453804E-3</v>
      </c>
      <c r="M13" s="3">
        <v>-4.3252595155709297E-2</v>
      </c>
      <c r="N13" s="3">
        <f t="shared" si="2"/>
        <v>2025</v>
      </c>
      <c r="O13" s="3" t="str">
        <f t="shared" si="3"/>
        <v>July</v>
      </c>
      <c r="P13" s="3" t="s">
        <v>18</v>
      </c>
      <c r="Q13" s="3"/>
    </row>
    <row r="14" spans="1:17" hidden="1" x14ac:dyDescent="0.3">
      <c r="A14" s="2">
        <v>45809</v>
      </c>
      <c r="B14" s="3" t="s">
        <v>12</v>
      </c>
      <c r="C14" s="3" t="s">
        <v>13</v>
      </c>
      <c r="D14" s="3" t="s">
        <v>14</v>
      </c>
      <c r="E14" s="3" t="s">
        <v>15</v>
      </c>
      <c r="F14" s="3">
        <v>55000</v>
      </c>
      <c r="G14" s="3" t="s">
        <v>16</v>
      </c>
      <c r="H14" s="3" t="s">
        <v>17</v>
      </c>
      <c r="I14" s="3">
        <f>IF(C14="India",1,IF(C14="USA",INDEX('Currency Master'!B:B,MATCH(DATE(N14,MONTH(DATEVALUE(O14&amp;" 1")),1),'Currency Master'!A:A,0)),IF(C14="Australia",INDEX('Currency Master'!T:T,MATCH(DATE(N14,MONTH(DATEVALUE(O14&amp;" 1")),1),'Currency Master'!A:A,0)),"")))</f>
        <v>1</v>
      </c>
      <c r="J14" s="3">
        <f t="shared" si="0"/>
        <v>55000</v>
      </c>
      <c r="K14" s="3" t="str">
        <f t="shared" si="1"/>
        <v>₹/Candy</v>
      </c>
      <c r="L14" s="3">
        <v>-1.7857142857142901E-2</v>
      </c>
      <c r="M14" s="3">
        <v>-2.3090586145648299E-2</v>
      </c>
      <c r="N14" s="3">
        <f t="shared" si="2"/>
        <v>2025</v>
      </c>
      <c r="O14" s="3" t="str">
        <f t="shared" si="3"/>
        <v>June</v>
      </c>
      <c r="P14" s="3" t="s">
        <v>18</v>
      </c>
      <c r="Q14" s="3"/>
    </row>
    <row r="15" spans="1:17" hidden="1" x14ac:dyDescent="0.3">
      <c r="A15" s="2">
        <v>45778</v>
      </c>
      <c r="B15" s="3" t="s">
        <v>12</v>
      </c>
      <c r="C15" s="3" t="s">
        <v>13</v>
      </c>
      <c r="D15" s="3" t="s">
        <v>14</v>
      </c>
      <c r="E15" s="3" t="s">
        <v>15</v>
      </c>
      <c r="F15" s="3">
        <v>56000</v>
      </c>
      <c r="G15" s="3" t="s">
        <v>16</v>
      </c>
      <c r="H15" s="3" t="s">
        <v>17</v>
      </c>
      <c r="I15" s="3">
        <f>IF(C15="India",1,IF(C15="USA",INDEX('Currency Master'!B:B,MATCH(DATE(N15,MONTH(DATEVALUE(O15&amp;" 1")),1),'Currency Master'!A:A,0)),IF(C15="Australia",INDEX('Currency Master'!T:T,MATCH(DATE(N15,MONTH(DATEVALUE(O15&amp;" 1")),1),'Currency Master'!A:A,0)),"")))</f>
        <v>1</v>
      </c>
      <c r="J15" s="3">
        <f t="shared" si="0"/>
        <v>56000</v>
      </c>
      <c r="K15" s="3" t="str">
        <f t="shared" si="1"/>
        <v>₹/Candy</v>
      </c>
      <c r="L15" s="3">
        <v>1.6333938294010902E-2</v>
      </c>
      <c r="M15" s="3">
        <v>-2.4390243902439001E-2</v>
      </c>
      <c r="N15" s="3">
        <f t="shared" si="2"/>
        <v>2025</v>
      </c>
      <c r="O15" s="3" t="str">
        <f t="shared" si="3"/>
        <v>May</v>
      </c>
      <c r="P15" s="3" t="s">
        <v>18</v>
      </c>
      <c r="Q15" s="3"/>
    </row>
    <row r="16" spans="1:17" hidden="1" x14ac:dyDescent="0.3">
      <c r="A16" s="2">
        <v>45748</v>
      </c>
      <c r="B16" s="3" t="s">
        <v>12</v>
      </c>
      <c r="C16" s="3" t="s">
        <v>13</v>
      </c>
      <c r="D16" s="3" t="s">
        <v>14</v>
      </c>
      <c r="E16" s="3" t="s">
        <v>15</v>
      </c>
      <c r="F16" s="3">
        <v>55100</v>
      </c>
      <c r="G16" s="3" t="s">
        <v>16</v>
      </c>
      <c r="H16" s="3" t="s">
        <v>17</v>
      </c>
      <c r="I16" s="3">
        <f>IF(C16="India",1,IF(C16="USA",INDEX('Currency Master'!B:B,MATCH(DATE(N16,MONTH(DATEVALUE(O16&amp;" 1")),1),'Currency Master'!A:A,0)),IF(C16="Australia",INDEX('Currency Master'!T:T,MATCH(DATE(N16,MONTH(DATEVALUE(O16&amp;" 1")),1),'Currency Master'!A:A,0)),"")))</f>
        <v>1</v>
      </c>
      <c r="J16" s="3">
        <f t="shared" si="0"/>
        <v>55100</v>
      </c>
      <c r="K16" s="3" t="str">
        <f t="shared" si="1"/>
        <v>₹/Candy</v>
      </c>
      <c r="L16" s="3">
        <v>2.03703703703704E-2</v>
      </c>
      <c r="M16" s="3">
        <v>-9.2257001647446393E-2</v>
      </c>
      <c r="N16" s="3">
        <f t="shared" si="2"/>
        <v>2025</v>
      </c>
      <c r="O16" s="3" t="str">
        <f t="shared" si="3"/>
        <v>April</v>
      </c>
      <c r="P16" s="3" t="s">
        <v>18</v>
      </c>
      <c r="Q16" s="3"/>
    </row>
    <row r="17" spans="1:17" hidden="1" x14ac:dyDescent="0.3">
      <c r="A17" s="2">
        <v>45717</v>
      </c>
      <c r="B17" s="3" t="s">
        <v>12</v>
      </c>
      <c r="C17" s="3" t="s">
        <v>13</v>
      </c>
      <c r="D17" s="3" t="s">
        <v>14</v>
      </c>
      <c r="E17" s="3" t="s">
        <v>15</v>
      </c>
      <c r="F17" s="3">
        <v>54000</v>
      </c>
      <c r="G17" s="3" t="s">
        <v>16</v>
      </c>
      <c r="H17" s="3" t="s">
        <v>17</v>
      </c>
      <c r="I17" s="3">
        <f>IF(C17="India",1,IF(C17="USA",INDEX('Currency Master'!B:B,MATCH(DATE(N17,MONTH(DATEVALUE(O17&amp;" 1")),1),'Currency Master'!A:A,0)),IF(C17="Australia",INDEX('Currency Master'!T:T,MATCH(DATE(N17,MONTH(DATEVALUE(O17&amp;" 1")),1),'Currency Master'!A:A,0)),"")))</f>
        <v>1</v>
      </c>
      <c r="J17" s="3">
        <f t="shared" si="0"/>
        <v>54000</v>
      </c>
      <c r="K17" s="3" t="str">
        <f t="shared" si="1"/>
        <v>₹/Candy</v>
      </c>
      <c r="L17" s="3">
        <v>5.5865921787710002E-3</v>
      </c>
      <c r="M17" s="3">
        <v>-0.108175061932287</v>
      </c>
      <c r="N17" s="3">
        <f t="shared" si="2"/>
        <v>2025</v>
      </c>
      <c r="O17" s="3" t="str">
        <f t="shared" si="3"/>
        <v>March</v>
      </c>
      <c r="P17" s="3" t="s">
        <v>18</v>
      </c>
      <c r="Q17" s="3"/>
    </row>
    <row r="18" spans="1:17" hidden="1" x14ac:dyDescent="0.3">
      <c r="A18" s="2">
        <v>45689</v>
      </c>
      <c r="B18" s="3" t="s">
        <v>12</v>
      </c>
      <c r="C18" s="3" t="s">
        <v>13</v>
      </c>
      <c r="D18" s="3" t="s">
        <v>14</v>
      </c>
      <c r="E18" s="3" t="s">
        <v>15</v>
      </c>
      <c r="F18" s="3">
        <v>53700</v>
      </c>
      <c r="G18" s="3" t="s">
        <v>16</v>
      </c>
      <c r="H18" s="3" t="s">
        <v>17</v>
      </c>
      <c r="I18" s="3">
        <f>IF(C18="India",1,IF(C18="USA",INDEX('Currency Master'!B:B,MATCH(DATE(N18,MONTH(DATEVALUE(O18&amp;" 1")),1),'Currency Master'!A:A,0)),IF(C18="Australia",INDEX('Currency Master'!T:T,MATCH(DATE(N18,MONTH(DATEVALUE(O18&amp;" 1")),1),'Currency Master'!A:A,0)),"")))</f>
        <v>1</v>
      </c>
      <c r="J18" s="3">
        <f t="shared" si="0"/>
        <v>53700</v>
      </c>
      <c r="K18" s="3" t="str">
        <f t="shared" si="1"/>
        <v>₹/Candy</v>
      </c>
      <c r="L18" s="3">
        <v>0</v>
      </c>
      <c r="M18" s="3">
        <v>-0.10050251256281401</v>
      </c>
      <c r="N18" s="3">
        <f t="shared" si="2"/>
        <v>2025</v>
      </c>
      <c r="O18" s="3" t="str">
        <f t="shared" si="3"/>
        <v>February</v>
      </c>
      <c r="P18" s="3" t="s">
        <v>18</v>
      </c>
      <c r="Q18" s="3"/>
    </row>
    <row r="19" spans="1:17" hidden="1" x14ac:dyDescent="0.3">
      <c r="A19" s="2">
        <v>45658</v>
      </c>
      <c r="B19" s="3" t="s">
        <v>12</v>
      </c>
      <c r="C19" s="3" t="s">
        <v>13</v>
      </c>
      <c r="D19" s="3" t="s">
        <v>14</v>
      </c>
      <c r="E19" s="3" t="s">
        <v>15</v>
      </c>
      <c r="F19" s="3">
        <v>53700</v>
      </c>
      <c r="G19" s="3" t="s">
        <v>16</v>
      </c>
      <c r="H19" s="3" t="s">
        <v>17</v>
      </c>
      <c r="I19" s="3">
        <f>IF(C19="India",1,IF(C19="USA",INDEX('Currency Master'!B:B,MATCH(DATE(N19,MONTH(DATEVALUE(O19&amp;" 1")),1),'Currency Master'!A:A,0)),IF(C19="Australia",INDEX('Currency Master'!T:T,MATCH(DATE(N19,MONTH(DATEVALUE(O19&amp;" 1")),1),'Currency Master'!A:A,0)),"")))</f>
        <v>1</v>
      </c>
      <c r="J19" s="3">
        <f t="shared" si="0"/>
        <v>53700</v>
      </c>
      <c r="K19" s="3" t="str">
        <f t="shared" si="1"/>
        <v>₹/Candy</v>
      </c>
      <c r="L19" s="3">
        <v>-1.1049723756906001E-2</v>
      </c>
      <c r="M19" s="3">
        <v>-2.5408348457350301E-2</v>
      </c>
      <c r="N19" s="3">
        <f t="shared" si="2"/>
        <v>2025</v>
      </c>
      <c r="O19" s="3" t="str">
        <f t="shared" si="3"/>
        <v>January</v>
      </c>
      <c r="P19" s="3" t="s">
        <v>18</v>
      </c>
      <c r="Q19" s="3"/>
    </row>
    <row r="20" spans="1:17" hidden="1" x14ac:dyDescent="0.3">
      <c r="A20" s="2">
        <v>45627</v>
      </c>
      <c r="B20" s="3" t="s">
        <v>12</v>
      </c>
      <c r="C20" s="3" t="s">
        <v>13</v>
      </c>
      <c r="D20" s="3" t="s">
        <v>14</v>
      </c>
      <c r="E20" s="3" t="s">
        <v>15</v>
      </c>
      <c r="F20" s="3">
        <v>54300</v>
      </c>
      <c r="G20" s="3" t="s">
        <v>16</v>
      </c>
      <c r="H20" s="3" t="s">
        <v>17</v>
      </c>
      <c r="I20" s="3">
        <f>IF(C20="India",1,IF(C20="USA",INDEX('Currency Master'!B:B,MATCH(DATE(N20,MONTH(DATEVALUE(O20&amp;" 1")),1),'Currency Master'!A:A,0)),IF(C20="Australia",INDEX('Currency Master'!T:T,MATCH(DATE(N20,MONTH(DATEVALUE(O20&amp;" 1")),1),'Currency Master'!A:A,0)),"")))</f>
        <v>1</v>
      </c>
      <c r="J20" s="3">
        <f t="shared" si="0"/>
        <v>54300</v>
      </c>
      <c r="K20" s="3" t="str">
        <f t="shared" si="1"/>
        <v>₹/Candy</v>
      </c>
      <c r="L20" s="3">
        <v>-1.27272727272727E-2</v>
      </c>
      <c r="M20" s="3">
        <v>-1.4519056261343E-2</v>
      </c>
      <c r="N20" s="3">
        <f t="shared" si="2"/>
        <v>2024</v>
      </c>
      <c r="O20" s="3" t="str">
        <f t="shared" si="3"/>
        <v>December</v>
      </c>
      <c r="P20" s="3" t="s">
        <v>18</v>
      </c>
      <c r="Q20" s="3"/>
    </row>
    <row r="21" spans="1:17" hidden="1" x14ac:dyDescent="0.3">
      <c r="A21" s="2">
        <v>45597</v>
      </c>
      <c r="B21" s="3" t="s">
        <v>12</v>
      </c>
      <c r="C21" s="3" t="s">
        <v>13</v>
      </c>
      <c r="D21" s="3" t="s">
        <v>14</v>
      </c>
      <c r="E21" s="3" t="s">
        <v>15</v>
      </c>
      <c r="F21" s="3">
        <v>55000</v>
      </c>
      <c r="G21" s="3" t="s">
        <v>16</v>
      </c>
      <c r="H21" s="3" t="s">
        <v>17</v>
      </c>
      <c r="I21" s="3">
        <f>IF(C21="India",1,IF(C21="USA",INDEX('Currency Master'!B:B,MATCH(DATE(N21,MONTH(DATEVALUE(O21&amp;" 1")),1),'Currency Master'!A:A,0)),IF(C21="Australia",INDEX('Currency Master'!T:T,MATCH(DATE(N21,MONTH(DATEVALUE(O21&amp;" 1")),1),'Currency Master'!A:A,0)),"")))</f>
        <v>1</v>
      </c>
      <c r="J21" s="3">
        <f t="shared" si="0"/>
        <v>55000</v>
      </c>
      <c r="K21" s="3" t="str">
        <f t="shared" si="1"/>
        <v>₹/Candy</v>
      </c>
      <c r="L21" s="3">
        <v>-6.4625850340136001E-2</v>
      </c>
      <c r="M21" s="3">
        <v>-2.9982363315696699E-2</v>
      </c>
      <c r="N21" s="3">
        <f t="shared" si="2"/>
        <v>2024</v>
      </c>
      <c r="O21" s="3" t="str">
        <f t="shared" si="3"/>
        <v>November</v>
      </c>
      <c r="P21" s="3" t="s">
        <v>18</v>
      </c>
      <c r="Q21" s="3"/>
    </row>
    <row r="22" spans="1:17" hidden="1" x14ac:dyDescent="0.3">
      <c r="A22" s="2">
        <v>45566</v>
      </c>
      <c r="B22" s="3" t="s">
        <v>12</v>
      </c>
      <c r="C22" s="3" t="s">
        <v>13</v>
      </c>
      <c r="D22" s="3" t="s">
        <v>14</v>
      </c>
      <c r="E22" s="3" t="s">
        <v>15</v>
      </c>
      <c r="F22" s="3">
        <v>58800</v>
      </c>
      <c r="G22" s="3" t="s">
        <v>16</v>
      </c>
      <c r="H22" s="3" t="s">
        <v>17</v>
      </c>
      <c r="I22" s="3">
        <f>IF(C22="India",1,IF(C22="USA",INDEX('Currency Master'!B:B,MATCH(DATE(N22,MONTH(DATEVALUE(O22&amp;" 1")),1),'Currency Master'!A:A,0)),IF(C22="Australia",INDEX('Currency Master'!T:T,MATCH(DATE(N22,MONTH(DATEVALUE(O22&amp;" 1")),1),'Currency Master'!A:A,0)),"")))</f>
        <v>1</v>
      </c>
      <c r="J22" s="3">
        <f t="shared" si="0"/>
        <v>58800</v>
      </c>
      <c r="K22" s="3" t="str">
        <f t="shared" si="1"/>
        <v>₹/Candy</v>
      </c>
      <c r="L22" s="3">
        <v>-6.7567567567567996E-3</v>
      </c>
      <c r="M22" s="3">
        <v>1.6421780466724399E-2</v>
      </c>
      <c r="N22" s="3">
        <f t="shared" si="2"/>
        <v>2024</v>
      </c>
      <c r="O22" s="3" t="str">
        <f t="shared" si="3"/>
        <v>October</v>
      </c>
      <c r="P22" s="3" t="s">
        <v>18</v>
      </c>
      <c r="Q22" s="3"/>
    </row>
    <row r="23" spans="1:17" hidden="1" x14ac:dyDescent="0.3">
      <c r="A23" s="2">
        <v>45536</v>
      </c>
      <c r="B23" s="3" t="s">
        <v>12</v>
      </c>
      <c r="C23" s="3" t="s">
        <v>13</v>
      </c>
      <c r="D23" s="3" t="s">
        <v>14</v>
      </c>
      <c r="E23" s="3" t="s">
        <v>15</v>
      </c>
      <c r="F23" s="3">
        <v>59200</v>
      </c>
      <c r="G23" s="3" t="s">
        <v>16</v>
      </c>
      <c r="H23" s="3" t="s">
        <v>17</v>
      </c>
      <c r="I23" s="3">
        <f>IF(C23="India",1,IF(C23="USA",INDEX('Currency Master'!B:B,MATCH(DATE(N23,MONTH(DATEVALUE(O23&amp;" 1")),1),'Currency Master'!A:A,0)),IF(C23="Australia",INDEX('Currency Master'!T:T,MATCH(DATE(N23,MONTH(DATEVALUE(O23&amp;" 1")),1),'Currency Master'!A:A,0)),"")))</f>
        <v>1</v>
      </c>
      <c r="J23" s="3">
        <f t="shared" si="0"/>
        <v>59200</v>
      </c>
      <c r="K23" s="3" t="str">
        <f t="shared" si="1"/>
        <v>₹/Candy</v>
      </c>
      <c r="L23" s="3">
        <v>3.6777583187390397E-2</v>
      </c>
      <c r="M23" s="3">
        <v>-3.7398373983739797E-2</v>
      </c>
      <c r="N23" s="3">
        <f t="shared" si="2"/>
        <v>2024</v>
      </c>
      <c r="O23" s="3" t="str">
        <f t="shared" si="3"/>
        <v>September</v>
      </c>
      <c r="P23" s="3" t="s">
        <v>18</v>
      </c>
      <c r="Q23" s="3"/>
    </row>
    <row r="24" spans="1:17" hidden="1" x14ac:dyDescent="0.3">
      <c r="A24" s="2">
        <v>45505</v>
      </c>
      <c r="B24" s="3" t="s">
        <v>12</v>
      </c>
      <c r="C24" s="3" t="s">
        <v>13</v>
      </c>
      <c r="D24" s="3" t="s">
        <v>14</v>
      </c>
      <c r="E24" s="3" t="s">
        <v>15</v>
      </c>
      <c r="F24" s="3">
        <v>57100</v>
      </c>
      <c r="G24" s="3" t="s">
        <v>16</v>
      </c>
      <c r="H24" s="3" t="s">
        <v>17</v>
      </c>
      <c r="I24" s="3">
        <f>IF(C24="India",1,IF(C24="USA",INDEX('Currency Master'!B:B,MATCH(DATE(N24,MONTH(DATEVALUE(O24&amp;" 1")),1),'Currency Master'!A:A,0)),IF(C24="Australia",INDEX('Currency Master'!T:T,MATCH(DATE(N24,MONTH(DATEVALUE(O24&amp;" 1")),1),'Currency Master'!A:A,0)),"")))</f>
        <v>1</v>
      </c>
      <c r="J24" s="3">
        <f t="shared" si="0"/>
        <v>57100</v>
      </c>
      <c r="K24" s="3" t="str">
        <f t="shared" si="1"/>
        <v>₹/Candy</v>
      </c>
      <c r="L24" s="3">
        <v>-1.21107266435986E-2</v>
      </c>
      <c r="M24" s="3">
        <v>-6.9274653626731894E-2</v>
      </c>
      <c r="N24" s="3">
        <f t="shared" si="2"/>
        <v>2024</v>
      </c>
      <c r="O24" s="3" t="str">
        <f t="shared" si="3"/>
        <v>August</v>
      </c>
      <c r="P24" s="3" t="s">
        <v>18</v>
      </c>
      <c r="Q24" s="3"/>
    </row>
    <row r="25" spans="1:17" hidden="1" x14ac:dyDescent="0.3">
      <c r="A25" s="2">
        <v>45474</v>
      </c>
      <c r="B25" s="3" t="s">
        <v>12</v>
      </c>
      <c r="C25" s="3" t="s">
        <v>13</v>
      </c>
      <c r="D25" s="3" t="s">
        <v>14</v>
      </c>
      <c r="E25" s="3" t="s">
        <v>15</v>
      </c>
      <c r="F25" s="3">
        <v>57800</v>
      </c>
      <c r="G25" s="3" t="s">
        <v>16</v>
      </c>
      <c r="H25" s="3" t="s">
        <v>17</v>
      </c>
      <c r="I25" s="3">
        <f>IF(C25="India",1,IF(C25="USA",INDEX('Currency Master'!B:B,MATCH(DATE(N25,MONTH(DATEVALUE(O25&amp;" 1")),1),'Currency Master'!A:A,0)),IF(C25="Australia",INDEX('Currency Master'!T:T,MATCH(DATE(N25,MONTH(DATEVALUE(O25&amp;" 1")),1),'Currency Master'!A:A,0)),"")))</f>
        <v>1</v>
      </c>
      <c r="J25" s="3">
        <f t="shared" si="0"/>
        <v>57800</v>
      </c>
      <c r="K25" s="3" t="str">
        <f t="shared" si="1"/>
        <v>₹/Candy</v>
      </c>
      <c r="L25" s="3">
        <v>2.66429840142095E-2</v>
      </c>
      <c r="M25" s="3">
        <v>4.5207956600361601E-2</v>
      </c>
      <c r="N25" s="3">
        <f t="shared" si="2"/>
        <v>2024</v>
      </c>
      <c r="O25" s="3" t="str">
        <f t="shared" si="3"/>
        <v>July</v>
      </c>
      <c r="P25" s="3" t="s">
        <v>18</v>
      </c>
      <c r="Q25" s="3"/>
    </row>
    <row r="26" spans="1:17" hidden="1" x14ac:dyDescent="0.3">
      <c r="A26" s="2">
        <v>45444</v>
      </c>
      <c r="B26" s="3" t="s">
        <v>12</v>
      </c>
      <c r="C26" s="3" t="s">
        <v>13</v>
      </c>
      <c r="D26" s="3" t="s">
        <v>14</v>
      </c>
      <c r="E26" s="3" t="s">
        <v>15</v>
      </c>
      <c r="F26" s="3">
        <v>56300</v>
      </c>
      <c r="G26" s="3" t="s">
        <v>16</v>
      </c>
      <c r="H26" s="3" t="s">
        <v>17</v>
      </c>
      <c r="I26" s="3">
        <f>IF(C26="India",1,IF(C26="USA",INDEX('Currency Master'!B:B,MATCH(DATE(N26,MONTH(DATEVALUE(O26&amp;" 1")),1),'Currency Master'!A:A,0)),IF(C26="Australia",INDEX('Currency Master'!T:T,MATCH(DATE(N26,MONTH(DATEVALUE(O26&amp;" 1")),1),'Currency Master'!A:A,0)),"")))</f>
        <v>1</v>
      </c>
      <c r="J26" s="3">
        <f t="shared" si="0"/>
        <v>56300</v>
      </c>
      <c r="K26" s="3" t="str">
        <f t="shared" si="1"/>
        <v>₹/Candy</v>
      </c>
      <c r="L26" s="3">
        <v>-1.9163763066201999E-2</v>
      </c>
      <c r="M26" s="3">
        <v>2.17785843920144E-2</v>
      </c>
      <c r="N26" s="3">
        <f t="shared" si="2"/>
        <v>2024</v>
      </c>
      <c r="O26" s="3" t="str">
        <f t="shared" si="3"/>
        <v>June</v>
      </c>
      <c r="P26" s="3" t="s">
        <v>18</v>
      </c>
      <c r="Q26" s="3"/>
    </row>
    <row r="27" spans="1:17" hidden="1" x14ac:dyDescent="0.3">
      <c r="A27" s="2">
        <v>45413</v>
      </c>
      <c r="B27" s="3" t="s">
        <v>12</v>
      </c>
      <c r="C27" s="3" t="s">
        <v>13</v>
      </c>
      <c r="D27" s="3" t="s">
        <v>14</v>
      </c>
      <c r="E27" s="3" t="s">
        <v>15</v>
      </c>
      <c r="F27" s="3">
        <v>57400</v>
      </c>
      <c r="G27" s="3" t="s">
        <v>16</v>
      </c>
      <c r="H27" s="3" t="s">
        <v>17</v>
      </c>
      <c r="I27" s="3">
        <f>IF(C27="India",1,IF(C27="USA",INDEX('Currency Master'!B:B,MATCH(DATE(N27,MONTH(DATEVALUE(O27&amp;" 1")),1),'Currency Master'!A:A,0)),IF(C27="Australia",INDEX('Currency Master'!T:T,MATCH(DATE(N27,MONTH(DATEVALUE(O27&amp;" 1")),1),'Currency Master'!A:A,0)),"")))</f>
        <v>1</v>
      </c>
      <c r="J27" s="3">
        <f t="shared" si="0"/>
        <v>57400</v>
      </c>
      <c r="K27" s="3" t="str">
        <f t="shared" si="1"/>
        <v>₹/Candy</v>
      </c>
      <c r="L27" s="3">
        <v>-5.4365733113673799E-2</v>
      </c>
      <c r="M27" s="3">
        <v>-6.8937550689375501E-2</v>
      </c>
      <c r="N27" s="3">
        <f t="shared" si="2"/>
        <v>2024</v>
      </c>
      <c r="O27" s="3" t="str">
        <f t="shared" si="3"/>
        <v>May</v>
      </c>
      <c r="P27" s="3" t="s">
        <v>18</v>
      </c>
      <c r="Q27" s="3"/>
    </row>
    <row r="28" spans="1:17" hidden="1" x14ac:dyDescent="0.3">
      <c r="A28" s="2">
        <v>45383</v>
      </c>
      <c r="B28" s="3" t="s">
        <v>12</v>
      </c>
      <c r="C28" s="3" t="s">
        <v>13</v>
      </c>
      <c r="D28" s="3" t="s">
        <v>14</v>
      </c>
      <c r="E28" s="3" t="s">
        <v>15</v>
      </c>
      <c r="F28" s="3">
        <v>60700</v>
      </c>
      <c r="G28" s="3" t="s">
        <v>16</v>
      </c>
      <c r="H28" s="3" t="s">
        <v>17</v>
      </c>
      <c r="I28" s="3">
        <f>IF(C28="India",1,IF(C28="USA",INDEX('Currency Master'!B:B,MATCH(DATE(N28,MONTH(DATEVALUE(O28&amp;" 1")),1),'Currency Master'!A:A,0)),IF(C28="Australia",INDEX('Currency Master'!T:T,MATCH(DATE(N28,MONTH(DATEVALUE(O28&amp;" 1")),1),'Currency Master'!A:A,0)),"")))</f>
        <v>1</v>
      </c>
      <c r="J28" s="3">
        <f t="shared" si="0"/>
        <v>60700</v>
      </c>
      <c r="K28" s="3" t="str">
        <f t="shared" si="1"/>
        <v>₹/Candy</v>
      </c>
      <c r="L28" s="3">
        <v>2.4772914946324899E-3</v>
      </c>
      <c r="M28" s="3">
        <v>-1.7799352750808999E-2</v>
      </c>
      <c r="N28" s="3">
        <f t="shared" si="2"/>
        <v>2024</v>
      </c>
      <c r="O28" s="3" t="str">
        <f t="shared" si="3"/>
        <v>April</v>
      </c>
      <c r="P28" s="3" t="s">
        <v>18</v>
      </c>
      <c r="Q28" s="3"/>
    </row>
    <row r="29" spans="1:17" hidden="1" x14ac:dyDescent="0.3">
      <c r="A29" s="2">
        <v>45352</v>
      </c>
      <c r="B29" s="3" t="s">
        <v>12</v>
      </c>
      <c r="C29" s="3" t="s">
        <v>13</v>
      </c>
      <c r="D29" s="3" t="s">
        <v>14</v>
      </c>
      <c r="E29" s="3" t="s">
        <v>15</v>
      </c>
      <c r="F29" s="3">
        <v>60550</v>
      </c>
      <c r="G29" s="3" t="s">
        <v>16</v>
      </c>
      <c r="H29" s="3" t="s">
        <v>17</v>
      </c>
      <c r="I29" s="3">
        <f>IF(C29="India",1,IF(C29="USA",INDEX('Currency Master'!B:B,MATCH(DATE(N29,MONTH(DATEVALUE(O29&amp;" 1")),1),'Currency Master'!A:A,0)),IF(C29="Australia",INDEX('Currency Master'!T:T,MATCH(DATE(N29,MONTH(DATEVALUE(O29&amp;" 1")),1),'Currency Master'!A:A,0)),"")))</f>
        <v>1</v>
      </c>
      <c r="J29" s="3">
        <f t="shared" si="0"/>
        <v>60550</v>
      </c>
      <c r="K29" s="3" t="str">
        <f t="shared" si="1"/>
        <v>₹/Candy</v>
      </c>
      <c r="L29" s="3">
        <v>1.42378559463987E-2</v>
      </c>
      <c r="M29" s="3">
        <v>-1.0620915032679701E-2</v>
      </c>
      <c r="N29" s="3">
        <f t="shared" si="2"/>
        <v>2024</v>
      </c>
      <c r="O29" s="3" t="str">
        <f t="shared" si="3"/>
        <v>March</v>
      </c>
      <c r="P29" s="3" t="s">
        <v>18</v>
      </c>
      <c r="Q29" s="3"/>
    </row>
    <row r="30" spans="1:17" hidden="1" x14ac:dyDescent="0.3">
      <c r="A30" s="2">
        <v>45323</v>
      </c>
      <c r="B30" s="3" t="s">
        <v>12</v>
      </c>
      <c r="C30" s="3" t="s">
        <v>13</v>
      </c>
      <c r="D30" s="3" t="s">
        <v>14</v>
      </c>
      <c r="E30" s="3" t="s">
        <v>15</v>
      </c>
      <c r="F30" s="3">
        <v>59700</v>
      </c>
      <c r="G30" s="3" t="s">
        <v>16</v>
      </c>
      <c r="H30" s="3" t="s">
        <v>17</v>
      </c>
      <c r="I30" s="3">
        <f>IF(C30="India",1,IF(C30="USA",INDEX('Currency Master'!B:B,MATCH(DATE(N30,MONTH(DATEVALUE(O30&amp;" 1")),1),'Currency Master'!A:A,0)),IF(C30="Australia",INDEX('Currency Master'!T:T,MATCH(DATE(N30,MONTH(DATEVALUE(O30&amp;" 1")),1),'Currency Master'!A:A,0)),"")))</f>
        <v>1</v>
      </c>
      <c r="J30" s="3">
        <f t="shared" si="0"/>
        <v>59700</v>
      </c>
      <c r="K30" s="3" t="str">
        <f t="shared" si="1"/>
        <v>₹/Candy</v>
      </c>
      <c r="L30" s="3">
        <v>8.3484573502722301E-2</v>
      </c>
      <c r="M30" s="3">
        <v>-4.48E-2</v>
      </c>
      <c r="N30" s="3">
        <f t="shared" si="2"/>
        <v>2024</v>
      </c>
      <c r="O30" s="3" t="str">
        <f t="shared" si="3"/>
        <v>February</v>
      </c>
      <c r="P30" s="3" t="s">
        <v>18</v>
      </c>
      <c r="Q30" s="3"/>
    </row>
    <row r="31" spans="1:17" hidden="1" x14ac:dyDescent="0.3">
      <c r="A31" s="2">
        <v>45292</v>
      </c>
      <c r="B31" s="3" t="s">
        <v>12</v>
      </c>
      <c r="C31" s="3" t="s">
        <v>13</v>
      </c>
      <c r="D31" s="3" t="s">
        <v>14</v>
      </c>
      <c r="E31" s="3" t="s">
        <v>15</v>
      </c>
      <c r="F31" s="3">
        <v>55100</v>
      </c>
      <c r="G31" s="3" t="s">
        <v>16</v>
      </c>
      <c r="H31" s="3" t="s">
        <v>17</v>
      </c>
      <c r="I31" s="3">
        <f>IF(C31="India",1,IF(C31="USA",INDEX('Currency Master'!B:B,MATCH(DATE(N31,MONTH(DATEVALUE(O31&amp;" 1")),1),'Currency Master'!A:A,0)),IF(C31="Australia",INDEX('Currency Master'!T:T,MATCH(DATE(N31,MONTH(DATEVALUE(O31&amp;" 1")),1),'Currency Master'!A:A,0)),"")))</f>
        <v>1</v>
      </c>
      <c r="J31" s="3">
        <f t="shared" si="0"/>
        <v>55100</v>
      </c>
      <c r="K31" s="3" t="str">
        <f t="shared" si="1"/>
        <v>₹/Candy</v>
      </c>
      <c r="L31" s="3">
        <v>0</v>
      </c>
      <c r="M31" s="3">
        <v>-0.111290322580645</v>
      </c>
      <c r="N31" s="3">
        <f t="shared" si="2"/>
        <v>2024</v>
      </c>
      <c r="O31" s="3" t="str">
        <f t="shared" si="3"/>
        <v>January</v>
      </c>
      <c r="P31" s="3" t="s">
        <v>18</v>
      </c>
      <c r="Q31" s="3"/>
    </row>
    <row r="32" spans="1:17" hidden="1" x14ac:dyDescent="0.3">
      <c r="A32" s="2">
        <v>45261</v>
      </c>
      <c r="B32" s="3" t="s">
        <v>12</v>
      </c>
      <c r="C32" s="3" t="s">
        <v>13</v>
      </c>
      <c r="D32" s="3" t="s">
        <v>14</v>
      </c>
      <c r="E32" s="3" t="s">
        <v>15</v>
      </c>
      <c r="F32" s="3">
        <v>55100</v>
      </c>
      <c r="G32" s="3" t="s">
        <v>16</v>
      </c>
      <c r="H32" s="3" t="s">
        <v>17</v>
      </c>
      <c r="I32" s="3">
        <f>IF(C32="India",1,IF(C32="USA",INDEX('Currency Master'!B:B,MATCH(DATE(N32,MONTH(DATEVALUE(O32&amp;" 1")),1),'Currency Master'!A:A,0)),IF(C32="Australia",INDEX('Currency Master'!T:T,MATCH(DATE(N32,MONTH(DATEVALUE(O32&amp;" 1")),1),'Currency Master'!A:A,0)),"")))</f>
        <v>1</v>
      </c>
      <c r="J32" s="3">
        <f t="shared" si="0"/>
        <v>55100</v>
      </c>
      <c r="K32" s="3" t="str">
        <f t="shared" si="1"/>
        <v>₹/Candy</v>
      </c>
      <c r="L32" s="3">
        <v>-2.8218694885361599E-2</v>
      </c>
      <c r="M32" s="3">
        <v>-0.129541864139021</v>
      </c>
      <c r="N32" s="3">
        <f t="shared" si="2"/>
        <v>2023</v>
      </c>
      <c r="O32" s="3" t="str">
        <f t="shared" si="3"/>
        <v>December</v>
      </c>
      <c r="P32" s="3" t="s">
        <v>18</v>
      </c>
      <c r="Q32" s="3"/>
    </row>
    <row r="33" spans="1:17" hidden="1" x14ac:dyDescent="0.3">
      <c r="A33" s="2">
        <v>45231</v>
      </c>
      <c r="B33" s="3" t="s">
        <v>12</v>
      </c>
      <c r="C33" s="3" t="s">
        <v>13</v>
      </c>
      <c r="D33" s="3" t="s">
        <v>14</v>
      </c>
      <c r="E33" s="3" t="s">
        <v>15</v>
      </c>
      <c r="F33" s="3">
        <v>56700</v>
      </c>
      <c r="G33" s="3" t="s">
        <v>16</v>
      </c>
      <c r="H33" s="3" t="s">
        <v>17</v>
      </c>
      <c r="I33" s="3">
        <f>IF(C33="India",1,IF(C33="USA",INDEX('Currency Master'!B:B,MATCH(DATE(N33,MONTH(DATEVALUE(O33&amp;" 1")),1),'Currency Master'!A:A,0)),IF(C33="Australia",INDEX('Currency Master'!T:T,MATCH(DATE(N33,MONTH(DATEVALUE(O33&amp;" 1")),1),'Currency Master'!A:A,0)),"")))</f>
        <v>1</v>
      </c>
      <c r="J33" s="3">
        <f t="shared" si="0"/>
        <v>56700</v>
      </c>
      <c r="K33" s="3" t="str">
        <f t="shared" si="1"/>
        <v>₹/Candy</v>
      </c>
      <c r="L33" s="3">
        <v>-1.98789974070873E-2</v>
      </c>
      <c r="M33" s="3">
        <v>-0.17226277372262799</v>
      </c>
      <c r="N33" s="3">
        <f t="shared" si="2"/>
        <v>2023</v>
      </c>
      <c r="O33" s="3" t="str">
        <f t="shared" si="3"/>
        <v>November</v>
      </c>
      <c r="P33" s="3" t="s">
        <v>18</v>
      </c>
      <c r="Q33" s="3"/>
    </row>
    <row r="34" spans="1:17" hidden="1" x14ac:dyDescent="0.3">
      <c r="A34" s="2">
        <v>45200</v>
      </c>
      <c r="B34" s="3" t="s">
        <v>12</v>
      </c>
      <c r="C34" s="3" t="s">
        <v>13</v>
      </c>
      <c r="D34" s="3" t="s">
        <v>14</v>
      </c>
      <c r="E34" s="3" t="s">
        <v>15</v>
      </c>
      <c r="F34" s="3">
        <v>57850</v>
      </c>
      <c r="G34" s="3" t="s">
        <v>16</v>
      </c>
      <c r="H34" s="3" t="s">
        <v>17</v>
      </c>
      <c r="I34" s="3">
        <f>IF(C34="India",1,IF(C34="USA",INDEX('Currency Master'!B:B,MATCH(DATE(N34,MONTH(DATEVALUE(O34&amp;" 1")),1),'Currency Master'!A:A,0)),IF(C34="Australia",INDEX('Currency Master'!T:T,MATCH(DATE(N34,MONTH(DATEVALUE(O34&amp;" 1")),1),'Currency Master'!A:A,0)),"")))</f>
        <v>1</v>
      </c>
      <c r="J34" s="3">
        <f t="shared" si="0"/>
        <v>57850</v>
      </c>
      <c r="K34" s="3" t="str">
        <f t="shared" si="1"/>
        <v>₹/Candy</v>
      </c>
      <c r="L34" s="3">
        <v>-5.9349593495934903E-2</v>
      </c>
      <c r="M34" s="3">
        <v>-0.16052069995731999</v>
      </c>
      <c r="N34" s="3">
        <f t="shared" si="2"/>
        <v>2023</v>
      </c>
      <c r="O34" s="3" t="str">
        <f t="shared" si="3"/>
        <v>October</v>
      </c>
      <c r="P34" s="3" t="s">
        <v>18</v>
      </c>
      <c r="Q34" s="3"/>
    </row>
    <row r="35" spans="1:17" hidden="1" x14ac:dyDescent="0.3">
      <c r="A35" s="2">
        <v>45170</v>
      </c>
      <c r="B35" s="3" t="s">
        <v>12</v>
      </c>
      <c r="C35" s="3" t="s">
        <v>13</v>
      </c>
      <c r="D35" s="3" t="s">
        <v>14</v>
      </c>
      <c r="E35" s="3" t="s">
        <v>15</v>
      </c>
      <c r="F35" s="3">
        <v>61500</v>
      </c>
      <c r="G35" s="3" t="s">
        <v>16</v>
      </c>
      <c r="H35" s="3" t="s">
        <v>17</v>
      </c>
      <c r="I35" s="3">
        <f>IF(C35="India",1,IF(C35="USA",INDEX('Currency Master'!B:B,MATCH(DATE(N35,MONTH(DATEVALUE(O35&amp;" 1")),1),'Currency Master'!A:A,0)),IF(C35="Australia",INDEX('Currency Master'!T:T,MATCH(DATE(N35,MONTH(DATEVALUE(O35&amp;" 1")),1),'Currency Master'!A:A,0)),"")))</f>
        <v>1</v>
      </c>
      <c r="J35" s="3">
        <f t="shared" si="0"/>
        <v>61500</v>
      </c>
      <c r="K35" s="3" t="str">
        <f t="shared" si="1"/>
        <v>₹/Candy</v>
      </c>
      <c r="L35" s="3">
        <v>2.4449877750611902E-3</v>
      </c>
      <c r="M35" s="3">
        <v>-0.115195907305029</v>
      </c>
      <c r="N35" s="3">
        <f t="shared" si="2"/>
        <v>2023</v>
      </c>
      <c r="O35" s="3" t="str">
        <f t="shared" si="3"/>
        <v>September</v>
      </c>
      <c r="P35" s="3" t="s">
        <v>18</v>
      </c>
      <c r="Q35" s="3"/>
    </row>
    <row r="36" spans="1:17" hidden="1" x14ac:dyDescent="0.3">
      <c r="A36" s="2">
        <v>45139</v>
      </c>
      <c r="B36" s="3" t="s">
        <v>12</v>
      </c>
      <c r="C36" s="3" t="s">
        <v>13</v>
      </c>
      <c r="D36" s="3" t="s">
        <v>14</v>
      </c>
      <c r="E36" s="3" t="s">
        <v>15</v>
      </c>
      <c r="F36" s="3">
        <v>61350</v>
      </c>
      <c r="G36" s="3" t="s">
        <v>16</v>
      </c>
      <c r="H36" s="3" t="s">
        <v>17</v>
      </c>
      <c r="I36" s="3">
        <f>IF(C36="India",1,IF(C36="USA",INDEX('Currency Master'!B:B,MATCH(DATE(N36,MONTH(DATEVALUE(O36&amp;" 1")),1),'Currency Master'!A:A,0)),IF(C36="Australia",INDEX('Currency Master'!T:T,MATCH(DATE(N36,MONTH(DATEVALUE(O36&amp;" 1")),1),'Currency Master'!A:A,0)),"")))</f>
        <v>1</v>
      </c>
      <c r="J36" s="3">
        <f t="shared" si="0"/>
        <v>61350</v>
      </c>
      <c r="K36" s="3" t="str">
        <f t="shared" si="1"/>
        <v>₹/Candy</v>
      </c>
      <c r="L36" s="3">
        <v>0.10940325497287499</v>
      </c>
      <c r="M36" s="3">
        <v>-0.23372787586237301</v>
      </c>
      <c r="N36" s="3">
        <f t="shared" si="2"/>
        <v>2023</v>
      </c>
      <c r="O36" s="3" t="str">
        <f t="shared" si="3"/>
        <v>August</v>
      </c>
      <c r="P36" s="3" t="s">
        <v>18</v>
      </c>
      <c r="Q36" s="3"/>
    </row>
    <row r="37" spans="1:17" hidden="1" x14ac:dyDescent="0.3">
      <c r="A37" s="2">
        <v>45108</v>
      </c>
      <c r="B37" s="3" t="s">
        <v>12</v>
      </c>
      <c r="C37" s="3" t="s">
        <v>13</v>
      </c>
      <c r="D37" s="3" t="s">
        <v>14</v>
      </c>
      <c r="E37" s="3" t="s">
        <v>15</v>
      </c>
      <c r="F37" s="3">
        <v>55300</v>
      </c>
      <c r="G37" s="3" t="s">
        <v>16</v>
      </c>
      <c r="H37" s="3" t="s">
        <v>17</v>
      </c>
      <c r="I37" s="3">
        <f>IF(C37="India",1,IF(C37="USA",INDEX('Currency Master'!B:B,MATCH(DATE(N37,MONTH(DATEVALUE(O37&amp;" 1")),1),'Currency Master'!A:A,0)),IF(C37="Australia",INDEX('Currency Master'!T:T,MATCH(DATE(N37,MONTH(DATEVALUE(O37&amp;" 1")),1),'Currency Master'!A:A,0)),"")))</f>
        <v>1</v>
      </c>
      <c r="J37" s="3">
        <f t="shared" si="0"/>
        <v>55300</v>
      </c>
      <c r="K37" s="3" t="str">
        <f t="shared" si="1"/>
        <v>₹/Candy</v>
      </c>
      <c r="L37" s="3">
        <v>3.6297640653357699E-3</v>
      </c>
      <c r="M37" s="3">
        <v>-0.39718438104154202</v>
      </c>
      <c r="N37" s="3">
        <f t="shared" si="2"/>
        <v>2023</v>
      </c>
      <c r="O37" s="3" t="str">
        <f t="shared" si="3"/>
        <v>July</v>
      </c>
      <c r="P37" s="3" t="s">
        <v>18</v>
      </c>
      <c r="Q37" s="3"/>
    </row>
    <row r="38" spans="1:17" hidden="1" x14ac:dyDescent="0.3">
      <c r="A38" s="2">
        <v>45078</v>
      </c>
      <c r="B38" s="3" t="s">
        <v>12</v>
      </c>
      <c r="C38" s="3" t="s">
        <v>13</v>
      </c>
      <c r="D38" s="3" t="s">
        <v>14</v>
      </c>
      <c r="E38" s="3" t="s">
        <v>15</v>
      </c>
      <c r="F38" s="3">
        <v>55100</v>
      </c>
      <c r="G38" s="3" t="s">
        <v>16</v>
      </c>
      <c r="H38" s="3" t="s">
        <v>17</v>
      </c>
      <c r="I38" s="3">
        <f>IF(C38="India",1,IF(C38="USA",INDEX('Currency Master'!B:B,MATCH(DATE(N38,MONTH(DATEVALUE(O38&amp;" 1")),1),'Currency Master'!A:A,0)),IF(C38="Australia",INDEX('Currency Master'!T:T,MATCH(DATE(N38,MONTH(DATEVALUE(O38&amp;" 1")),1),'Currency Master'!A:A,0)),"")))</f>
        <v>1</v>
      </c>
      <c r="J38" s="3">
        <f t="shared" si="0"/>
        <v>55100</v>
      </c>
      <c r="K38" s="3" t="str">
        <f t="shared" si="1"/>
        <v>₹/Candy</v>
      </c>
      <c r="L38" s="3">
        <v>-0.10624493106244901</v>
      </c>
      <c r="M38" s="3">
        <v>-0.481714486486786</v>
      </c>
      <c r="N38" s="3">
        <f t="shared" si="2"/>
        <v>2023</v>
      </c>
      <c r="O38" s="3" t="str">
        <f t="shared" si="3"/>
        <v>June</v>
      </c>
      <c r="P38" s="3" t="s">
        <v>18</v>
      </c>
      <c r="Q38" s="3"/>
    </row>
    <row r="39" spans="1:17" hidden="1" x14ac:dyDescent="0.3">
      <c r="A39" s="2">
        <v>45047</v>
      </c>
      <c r="B39" s="3" t="s">
        <v>12</v>
      </c>
      <c r="C39" s="3" t="s">
        <v>13</v>
      </c>
      <c r="D39" s="3" t="s">
        <v>14</v>
      </c>
      <c r="E39" s="3" t="s">
        <v>15</v>
      </c>
      <c r="F39" s="3">
        <v>61650</v>
      </c>
      <c r="G39" s="3" t="s">
        <v>16</v>
      </c>
      <c r="H39" s="3" t="s">
        <v>17</v>
      </c>
      <c r="I39" s="3">
        <f>IF(C39="India",1,IF(C39="USA",INDEX('Currency Master'!B:B,MATCH(DATE(N39,MONTH(DATEVALUE(O39&amp;" 1")),1),'Currency Master'!A:A,0)),IF(C39="Australia",INDEX('Currency Master'!T:T,MATCH(DATE(N39,MONTH(DATEVALUE(O39&amp;" 1")),1),'Currency Master'!A:A,0)),"")))</f>
        <v>1</v>
      </c>
      <c r="J39" s="3">
        <f t="shared" si="0"/>
        <v>61650</v>
      </c>
      <c r="K39" s="3" t="str">
        <f t="shared" si="1"/>
        <v>₹/Candy</v>
      </c>
      <c r="L39" s="3">
        <v>-2.4271844660194199E-3</v>
      </c>
      <c r="M39" s="3">
        <v>-0.39946022759829902</v>
      </c>
      <c r="N39" s="3">
        <f t="shared" si="2"/>
        <v>2023</v>
      </c>
      <c r="O39" s="3" t="str">
        <f t="shared" si="3"/>
        <v>May</v>
      </c>
      <c r="P39" s="3" t="s">
        <v>18</v>
      </c>
      <c r="Q39" s="3"/>
    </row>
    <row r="40" spans="1:17" hidden="1" x14ac:dyDescent="0.3">
      <c r="A40" s="2">
        <v>45017</v>
      </c>
      <c r="B40" s="3" t="s">
        <v>12</v>
      </c>
      <c r="C40" s="3" t="s">
        <v>13</v>
      </c>
      <c r="D40" s="3" t="s">
        <v>14</v>
      </c>
      <c r="E40" s="3" t="s">
        <v>15</v>
      </c>
      <c r="F40" s="3">
        <v>61800</v>
      </c>
      <c r="G40" s="3" t="s">
        <v>16</v>
      </c>
      <c r="H40" s="3" t="s">
        <v>17</v>
      </c>
      <c r="I40" s="3">
        <f>IF(C40="India",1,IF(C40="USA",INDEX('Currency Master'!B:B,MATCH(DATE(N40,MONTH(DATEVALUE(O40&amp;" 1")),1),'Currency Master'!A:A,0)),IF(C40="Australia",INDEX('Currency Master'!T:T,MATCH(DATE(N40,MONTH(DATEVALUE(O40&amp;" 1")),1),'Currency Master'!A:A,0)),"")))</f>
        <v>1</v>
      </c>
      <c r="J40" s="3">
        <f t="shared" si="0"/>
        <v>61800</v>
      </c>
      <c r="K40" s="3" t="str">
        <f t="shared" si="1"/>
        <v>₹/Candy</v>
      </c>
      <c r="L40" s="3">
        <v>9.8039215686274196E-3</v>
      </c>
      <c r="M40" s="3">
        <v>-0.35213734244345202</v>
      </c>
      <c r="N40" s="3">
        <f t="shared" si="2"/>
        <v>2023</v>
      </c>
      <c r="O40" s="3" t="str">
        <f t="shared" si="3"/>
        <v>April</v>
      </c>
      <c r="P40" s="3" t="s">
        <v>18</v>
      </c>
      <c r="Q40" s="3"/>
    </row>
    <row r="41" spans="1:17" hidden="1" x14ac:dyDescent="0.3">
      <c r="A41" s="2">
        <v>44986</v>
      </c>
      <c r="B41" s="3" t="s">
        <v>12</v>
      </c>
      <c r="C41" s="3" t="s">
        <v>13</v>
      </c>
      <c r="D41" s="3" t="s">
        <v>14</v>
      </c>
      <c r="E41" s="3" t="s">
        <v>15</v>
      </c>
      <c r="F41" s="3">
        <v>61200</v>
      </c>
      <c r="G41" s="3" t="s">
        <v>16</v>
      </c>
      <c r="H41" s="3" t="s">
        <v>17</v>
      </c>
      <c r="I41" s="3">
        <f>IF(C41="India",1,IF(C41="USA",INDEX('Currency Master'!B:B,MATCH(DATE(N41,MONTH(DATEVALUE(O41&amp;" 1")),1),'Currency Master'!A:A,0)),IF(C41="Australia",INDEX('Currency Master'!T:T,MATCH(DATE(N41,MONTH(DATEVALUE(O41&amp;" 1")),1),'Currency Master'!A:A,0)),"")))</f>
        <v>1</v>
      </c>
      <c r="J41" s="3">
        <f t="shared" si="0"/>
        <v>61200</v>
      </c>
      <c r="K41" s="3" t="str">
        <f t="shared" si="1"/>
        <v>₹/Candy</v>
      </c>
      <c r="L41" s="3">
        <v>-2.0799999999999999E-2</v>
      </c>
      <c r="M41" s="3">
        <v>-0.31859934309413801</v>
      </c>
      <c r="N41" s="3">
        <f t="shared" si="2"/>
        <v>2023</v>
      </c>
      <c r="O41" s="3" t="str">
        <f t="shared" si="3"/>
        <v>March</v>
      </c>
      <c r="P41" s="3" t="s">
        <v>18</v>
      </c>
      <c r="Q41" s="3"/>
    </row>
    <row r="42" spans="1:17" hidden="1" x14ac:dyDescent="0.3">
      <c r="A42" s="2">
        <v>44958</v>
      </c>
      <c r="B42" s="3" t="s">
        <v>12</v>
      </c>
      <c r="C42" s="3" t="s">
        <v>13</v>
      </c>
      <c r="D42" s="3" t="s">
        <v>14</v>
      </c>
      <c r="E42" s="3" t="s">
        <v>15</v>
      </c>
      <c r="F42" s="3">
        <v>62500</v>
      </c>
      <c r="G42" s="3" t="s">
        <v>16</v>
      </c>
      <c r="H42" s="3" t="s">
        <v>17</v>
      </c>
      <c r="I42" s="3">
        <f>IF(C42="India",1,IF(C42="USA",INDEX('Currency Master'!B:B,MATCH(DATE(N42,MONTH(DATEVALUE(O42&amp;" 1")),1),'Currency Master'!A:A,0)),IF(C42="Australia",INDEX('Currency Master'!T:T,MATCH(DATE(N42,MONTH(DATEVALUE(O42&amp;" 1")),1),'Currency Master'!A:A,0)),"")))</f>
        <v>1</v>
      </c>
      <c r="J42" s="3">
        <f t="shared" si="0"/>
        <v>62500</v>
      </c>
      <c r="K42" s="3" t="str">
        <f t="shared" si="1"/>
        <v>₹/Candy</v>
      </c>
      <c r="L42" s="3">
        <v>8.0645161290322492E-3</v>
      </c>
      <c r="M42" s="3">
        <v>-0.17344442240296201</v>
      </c>
      <c r="N42" s="3">
        <f t="shared" si="2"/>
        <v>2023</v>
      </c>
      <c r="O42" s="3" t="str">
        <f t="shared" si="3"/>
        <v>February</v>
      </c>
      <c r="P42" s="3" t="s">
        <v>18</v>
      </c>
      <c r="Q42" s="3"/>
    </row>
    <row r="43" spans="1:17" hidden="1" x14ac:dyDescent="0.3">
      <c r="A43" s="2">
        <v>44927</v>
      </c>
      <c r="B43" s="3" t="s">
        <v>12</v>
      </c>
      <c r="C43" s="3" t="s">
        <v>13</v>
      </c>
      <c r="D43" s="3" t="s">
        <v>14</v>
      </c>
      <c r="E43" s="3" t="s">
        <v>15</v>
      </c>
      <c r="F43" s="3">
        <v>62000</v>
      </c>
      <c r="G43" s="3" t="s">
        <v>16</v>
      </c>
      <c r="H43" s="3" t="s">
        <v>17</v>
      </c>
      <c r="I43" s="3">
        <f>IF(C43="India",1,IF(C43="USA",INDEX('Currency Master'!B:B,MATCH(DATE(N43,MONTH(DATEVALUE(O43&amp;" 1")),1),'Currency Master'!A:A,0)),IF(C43="Australia",INDEX('Currency Master'!T:T,MATCH(DATE(N43,MONTH(DATEVALUE(O43&amp;" 1")),1),'Currency Master'!A:A,0)),"")))</f>
        <v>1</v>
      </c>
      <c r="J43" s="3">
        <f t="shared" si="0"/>
        <v>62000</v>
      </c>
      <c r="K43" s="3" t="str">
        <f t="shared" si="1"/>
        <v>₹/Candy</v>
      </c>
      <c r="L43" s="3">
        <v>-2.0537124802527701E-2</v>
      </c>
      <c r="M43" s="3">
        <v>-0.199510896600959</v>
      </c>
      <c r="N43" s="3">
        <f t="shared" si="2"/>
        <v>2023</v>
      </c>
      <c r="O43" s="3" t="str">
        <f t="shared" si="3"/>
        <v>January</v>
      </c>
      <c r="P43" s="3" t="s">
        <v>18</v>
      </c>
      <c r="Q43" s="3"/>
    </row>
    <row r="44" spans="1:17" hidden="1" x14ac:dyDescent="0.3">
      <c r="A44" s="2">
        <v>44896</v>
      </c>
      <c r="B44" s="3" t="s">
        <v>12</v>
      </c>
      <c r="C44" s="3" t="s">
        <v>13</v>
      </c>
      <c r="D44" s="3" t="s">
        <v>14</v>
      </c>
      <c r="E44" s="3" t="s">
        <v>15</v>
      </c>
      <c r="F44" s="3">
        <v>63300</v>
      </c>
      <c r="G44" s="3" t="s">
        <v>16</v>
      </c>
      <c r="H44" s="3" t="s">
        <v>17</v>
      </c>
      <c r="I44" s="3">
        <f>IF(C44="India",1,IF(C44="USA",INDEX('Currency Master'!B:B,MATCH(DATE(N44,MONTH(DATEVALUE(O44&amp;" 1")),1),'Currency Master'!A:A,0)),IF(C44="Australia",INDEX('Currency Master'!T:T,MATCH(DATE(N44,MONTH(DATEVALUE(O44&amp;" 1")),1),'Currency Master'!A:A,0)),"")))</f>
        <v>1</v>
      </c>
      <c r="J44" s="3">
        <f t="shared" si="0"/>
        <v>63300</v>
      </c>
      <c r="K44" s="3" t="str">
        <f t="shared" si="1"/>
        <v>₹/Candy</v>
      </c>
      <c r="L44" s="3">
        <v>-7.5912408759124098E-2</v>
      </c>
      <c r="M44" s="3">
        <v>-0.106084457200294</v>
      </c>
      <c r="N44" s="3">
        <f t="shared" si="2"/>
        <v>2022</v>
      </c>
      <c r="O44" s="3" t="str">
        <f t="shared" si="3"/>
        <v>December</v>
      </c>
      <c r="P44" s="3" t="s">
        <v>18</v>
      </c>
      <c r="Q44" s="3"/>
    </row>
    <row r="45" spans="1:17" hidden="1" x14ac:dyDescent="0.3">
      <c r="A45" s="2">
        <v>44866</v>
      </c>
      <c r="B45" s="3" t="s">
        <v>12</v>
      </c>
      <c r="C45" s="3" t="s">
        <v>13</v>
      </c>
      <c r="D45" s="3" t="s">
        <v>14</v>
      </c>
      <c r="E45" s="3" t="s">
        <v>15</v>
      </c>
      <c r="F45" s="3">
        <v>68500</v>
      </c>
      <c r="G45" s="3" t="s">
        <v>16</v>
      </c>
      <c r="H45" s="3" t="s">
        <v>17</v>
      </c>
      <c r="I45" s="3">
        <f>IF(C45="India",1,IF(C45="USA",INDEX('Currency Master'!B:B,MATCH(DATE(N45,MONTH(DATEVALUE(O45&amp;" 1")),1),'Currency Master'!A:A,0)),IF(C45="Australia",INDEX('Currency Master'!T:T,MATCH(DATE(N45,MONTH(DATEVALUE(O45&amp;" 1")),1),'Currency Master'!A:A,0)),"")))</f>
        <v>1</v>
      </c>
      <c r="J45" s="3">
        <f t="shared" si="0"/>
        <v>68500</v>
      </c>
      <c r="K45" s="3" t="str">
        <f t="shared" si="1"/>
        <v>₹/Candy</v>
      </c>
      <c r="L45" s="3">
        <v>-5.9752454118651198E-3</v>
      </c>
      <c r="M45" s="3">
        <v>6.8843822137779398E-2</v>
      </c>
      <c r="N45" s="3">
        <f t="shared" si="2"/>
        <v>2022</v>
      </c>
      <c r="O45" s="3" t="str">
        <f t="shared" si="3"/>
        <v>November</v>
      </c>
      <c r="P45" s="3" t="s">
        <v>18</v>
      </c>
      <c r="Q45" s="3"/>
    </row>
    <row r="46" spans="1:17" hidden="1" x14ac:dyDescent="0.3">
      <c r="A46" s="2">
        <v>44835</v>
      </c>
      <c r="B46" s="3" t="s">
        <v>12</v>
      </c>
      <c r="C46" s="3" t="s">
        <v>13</v>
      </c>
      <c r="D46" s="3" t="s">
        <v>14</v>
      </c>
      <c r="E46" s="3" t="s">
        <v>15</v>
      </c>
      <c r="F46" s="3">
        <v>68911.764705882306</v>
      </c>
      <c r="G46" s="3" t="s">
        <v>16</v>
      </c>
      <c r="H46" s="3" t="s">
        <v>17</v>
      </c>
      <c r="I46" s="3">
        <f>IF(C46="India",1,IF(C46="USA",INDEX('Currency Master'!B:B,MATCH(DATE(N46,MONTH(DATEVALUE(O46&amp;" 1")),1),'Currency Master'!A:A,0)),IF(C46="Australia",INDEX('Currency Master'!T:T,MATCH(DATE(N46,MONTH(DATEVALUE(O46&amp;" 1")),1),'Currency Master'!A:A,0)),"")))</f>
        <v>1</v>
      </c>
      <c r="J46" s="3">
        <f t="shared" si="0"/>
        <v>68911.764705882306</v>
      </c>
      <c r="K46" s="3" t="str">
        <f t="shared" si="1"/>
        <v>₹/Candy</v>
      </c>
      <c r="L46" s="3">
        <v>-8.5624155024784897E-3</v>
      </c>
      <c r="M46" s="3">
        <v>-1.21065375302676E-3</v>
      </c>
      <c r="N46" s="3">
        <f t="shared" si="2"/>
        <v>2022</v>
      </c>
      <c r="O46" s="3" t="str">
        <f t="shared" si="3"/>
        <v>October</v>
      </c>
      <c r="P46" s="3" t="s">
        <v>18</v>
      </c>
      <c r="Q46" s="3"/>
    </row>
    <row r="47" spans="1:17" hidden="1" x14ac:dyDescent="0.3">
      <c r="A47" s="2">
        <v>44805</v>
      </c>
      <c r="B47" s="3" t="s">
        <v>12</v>
      </c>
      <c r="C47" s="3" t="s">
        <v>13</v>
      </c>
      <c r="D47" s="3" t="s">
        <v>14</v>
      </c>
      <c r="E47" s="3" t="s">
        <v>15</v>
      </c>
      <c r="F47" s="3">
        <v>69506.911764705903</v>
      </c>
      <c r="G47" s="3" t="s">
        <v>16</v>
      </c>
      <c r="H47" s="3" t="s">
        <v>17</v>
      </c>
      <c r="I47" s="3">
        <f>IF(C47="India",1,IF(C47="USA",INDEX('Currency Master'!B:B,MATCH(DATE(N47,MONTH(DATEVALUE(O47&amp;" 1")),1),'Currency Master'!A:A,0)),IF(C47="Australia",INDEX('Currency Master'!T:T,MATCH(DATE(N47,MONTH(DATEVALUE(O47&amp;" 1")),1),'Currency Master'!A:A,0)),"")))</f>
        <v>1</v>
      </c>
      <c r="J47" s="3">
        <f t="shared" si="0"/>
        <v>69506.911764705903</v>
      </c>
      <c r="K47" s="3" t="str">
        <f t="shared" si="1"/>
        <v>₹/Candy</v>
      </c>
      <c r="L47" s="3">
        <v>-0.13184663536776201</v>
      </c>
      <c r="M47" s="3">
        <v>0.182835820895522</v>
      </c>
      <c r="N47" s="3">
        <f t="shared" si="2"/>
        <v>2022</v>
      </c>
      <c r="O47" s="3" t="str">
        <f t="shared" si="3"/>
        <v>September</v>
      </c>
      <c r="P47" s="3" t="s">
        <v>18</v>
      </c>
      <c r="Q47" s="3"/>
    </row>
    <row r="48" spans="1:17" hidden="1" x14ac:dyDescent="0.3">
      <c r="A48" s="2">
        <v>44774</v>
      </c>
      <c r="B48" s="3" t="s">
        <v>12</v>
      </c>
      <c r="C48" s="3" t="s">
        <v>13</v>
      </c>
      <c r="D48" s="3" t="s">
        <v>14</v>
      </c>
      <c r="E48" s="3" t="s">
        <v>15</v>
      </c>
      <c r="F48" s="3">
        <v>80062.941176470602</v>
      </c>
      <c r="G48" s="3" t="s">
        <v>16</v>
      </c>
      <c r="H48" s="3" t="s">
        <v>17</v>
      </c>
      <c r="I48" s="3">
        <f>IF(C48="India",1,IF(C48="USA",INDEX('Currency Master'!B:B,MATCH(DATE(N48,MONTH(DATEVALUE(O48&amp;" 1")),1),'Currency Master'!A:A,0)),IF(C48="Australia",INDEX('Currency Master'!T:T,MATCH(DATE(N48,MONTH(DATEVALUE(O48&amp;" 1")),1),'Currency Master'!A:A,0)),"")))</f>
        <v>1</v>
      </c>
      <c r="J48" s="3">
        <f t="shared" si="0"/>
        <v>80062.941176470602</v>
      </c>
      <c r="K48" s="3" t="str">
        <f t="shared" si="1"/>
        <v>₹/Candy</v>
      </c>
      <c r="L48" s="3">
        <v>-0.12724789437741901</v>
      </c>
      <c r="M48" s="3">
        <v>0.46503630110813898</v>
      </c>
      <c r="N48" s="3">
        <f t="shared" si="2"/>
        <v>2022</v>
      </c>
      <c r="O48" s="3" t="str">
        <f t="shared" si="3"/>
        <v>August</v>
      </c>
      <c r="P48" s="3" t="s">
        <v>18</v>
      </c>
      <c r="Q48" s="3"/>
    </row>
    <row r="49" spans="1:17" hidden="1" x14ac:dyDescent="0.3">
      <c r="A49" s="2">
        <v>44743</v>
      </c>
      <c r="B49" s="3" t="s">
        <v>12</v>
      </c>
      <c r="C49" s="3" t="s">
        <v>13</v>
      </c>
      <c r="D49" s="3" t="s">
        <v>14</v>
      </c>
      <c r="E49" s="3" t="s">
        <v>15</v>
      </c>
      <c r="F49" s="3">
        <v>91736.176470588194</v>
      </c>
      <c r="G49" s="3" t="s">
        <v>16</v>
      </c>
      <c r="H49" s="3" t="s">
        <v>17</v>
      </c>
      <c r="I49" s="3">
        <f>IF(C49="India",1,IF(C49="USA",INDEX('Currency Master'!B:B,MATCH(DATE(N49,MONTH(DATEVALUE(O49&amp;" 1")),1),'Currency Master'!A:A,0)),IF(C49="Australia",INDEX('Currency Master'!T:T,MATCH(DATE(N49,MONTH(DATEVALUE(O49&amp;" 1")),1),'Currency Master'!A:A,0)),"")))</f>
        <v>1</v>
      </c>
      <c r="J49" s="3">
        <f t="shared" si="0"/>
        <v>91736.176470588194</v>
      </c>
      <c r="K49" s="3" t="str">
        <f t="shared" si="1"/>
        <v>₹/Candy</v>
      </c>
      <c r="L49" s="3">
        <v>-0.13710469455902599</v>
      </c>
      <c r="M49" s="3">
        <v>0.61507352941176496</v>
      </c>
      <c r="N49" s="3">
        <f t="shared" si="2"/>
        <v>2022</v>
      </c>
      <c r="O49" s="3" t="str">
        <f t="shared" si="3"/>
        <v>July</v>
      </c>
      <c r="P49" s="3" t="s">
        <v>18</v>
      </c>
      <c r="Q49" s="3"/>
    </row>
    <row r="50" spans="1:17" hidden="1" x14ac:dyDescent="0.3">
      <c r="A50" s="2">
        <v>44713</v>
      </c>
      <c r="B50" s="3" t="s">
        <v>12</v>
      </c>
      <c r="C50" s="3" t="s">
        <v>13</v>
      </c>
      <c r="D50" s="3" t="s">
        <v>14</v>
      </c>
      <c r="E50" s="3" t="s">
        <v>15</v>
      </c>
      <c r="F50" s="3">
        <v>106312.05882352901</v>
      </c>
      <c r="G50" s="3" t="s">
        <v>16</v>
      </c>
      <c r="H50" s="3" t="s">
        <v>17</v>
      </c>
      <c r="I50" s="3">
        <f>IF(C50="India",1,IF(C50="USA",INDEX('Currency Master'!B:B,MATCH(DATE(N50,MONTH(DATEVALUE(O50&amp;" 1")),1),'Currency Master'!A:A,0)),IF(C50="Australia",INDEX('Currency Master'!T:T,MATCH(DATE(N50,MONTH(DATEVALUE(O50&amp;" 1")),1),'Currency Master'!A:A,0)),"")))</f>
        <v>1</v>
      </c>
      <c r="J50" s="3">
        <f t="shared" si="0"/>
        <v>106312.05882352901</v>
      </c>
      <c r="K50" s="3" t="str">
        <f t="shared" si="1"/>
        <v>₹/Candy</v>
      </c>
      <c r="L50" s="3">
        <v>3.5598047192839703E-2</v>
      </c>
      <c r="M50" s="3">
        <v>1.04048096192385</v>
      </c>
      <c r="N50" s="3">
        <f t="shared" si="2"/>
        <v>2022</v>
      </c>
      <c r="O50" s="3" t="str">
        <f t="shared" si="3"/>
        <v>June</v>
      </c>
      <c r="P50" s="3" t="s">
        <v>18</v>
      </c>
      <c r="Q50" s="3"/>
    </row>
    <row r="51" spans="1:17" hidden="1" x14ac:dyDescent="0.3">
      <c r="A51" s="2">
        <v>44682</v>
      </c>
      <c r="B51" s="3" t="s">
        <v>12</v>
      </c>
      <c r="C51" s="3" t="s">
        <v>13</v>
      </c>
      <c r="D51" s="3" t="s">
        <v>14</v>
      </c>
      <c r="E51" s="3" t="s">
        <v>15</v>
      </c>
      <c r="F51" s="3">
        <v>102657.647058824</v>
      </c>
      <c r="G51" s="3" t="s">
        <v>16</v>
      </c>
      <c r="H51" s="3" t="s">
        <v>17</v>
      </c>
      <c r="I51" s="3">
        <f>IF(C51="India",1,IF(C51="USA",INDEX('Currency Master'!B:B,MATCH(DATE(N51,MONTH(DATEVALUE(O51&amp;" 1")),1),'Currency Master'!A:A,0)),IF(C51="Australia",INDEX('Currency Master'!T:T,MATCH(DATE(N51,MONTH(DATEVALUE(O51&amp;" 1")),1),'Currency Master'!A:A,0)),"")))</f>
        <v>1</v>
      </c>
      <c r="J51" s="3">
        <f t="shared" si="0"/>
        <v>102657.647058824</v>
      </c>
      <c r="K51" s="3" t="str">
        <f t="shared" si="1"/>
        <v>₹/Candy</v>
      </c>
      <c r="L51" s="3">
        <v>7.6182136602452002E-2</v>
      </c>
      <c r="M51" s="3">
        <v>1.1153184165232399</v>
      </c>
      <c r="N51" s="3">
        <f t="shared" si="2"/>
        <v>2022</v>
      </c>
      <c r="O51" s="3" t="str">
        <f t="shared" si="3"/>
        <v>May</v>
      </c>
      <c r="P51" s="3" t="s">
        <v>18</v>
      </c>
      <c r="Q51" s="3"/>
    </row>
    <row r="52" spans="1:17" hidden="1" x14ac:dyDescent="0.3">
      <c r="A52" s="2">
        <v>44652</v>
      </c>
      <c r="B52" s="3" t="s">
        <v>12</v>
      </c>
      <c r="C52" s="3" t="s">
        <v>13</v>
      </c>
      <c r="D52" s="3" t="s">
        <v>14</v>
      </c>
      <c r="E52" s="3" t="s">
        <v>15</v>
      </c>
      <c r="F52" s="3">
        <v>95390.588235294097</v>
      </c>
      <c r="G52" s="3" t="s">
        <v>16</v>
      </c>
      <c r="H52" s="3" t="s">
        <v>17</v>
      </c>
      <c r="I52" s="3">
        <f>IF(C52="India",1,IF(C52="USA",INDEX('Currency Master'!B:B,MATCH(DATE(N52,MONTH(DATEVALUE(O52&amp;" 1")),1),'Currency Master'!A:A,0)),IF(C52="Australia",INDEX('Currency Master'!T:T,MATCH(DATE(N52,MONTH(DATEVALUE(O52&amp;" 1")),1),'Currency Master'!A:A,0)),"")))</f>
        <v>1</v>
      </c>
      <c r="J52" s="3">
        <f t="shared" si="0"/>
        <v>95390.588235294097</v>
      </c>
      <c r="K52" s="3" t="str">
        <f t="shared" si="1"/>
        <v>₹/Candy</v>
      </c>
      <c r="L52" s="3">
        <v>6.2078586375261501E-2</v>
      </c>
      <c r="M52" s="3">
        <v>1.12761993479273</v>
      </c>
      <c r="N52" s="3">
        <f t="shared" si="2"/>
        <v>2022</v>
      </c>
      <c r="O52" s="3" t="str">
        <f t="shared" si="3"/>
        <v>April</v>
      </c>
      <c r="P52" s="3" t="s">
        <v>18</v>
      </c>
      <c r="Q52" s="3"/>
    </row>
    <row r="53" spans="1:17" hidden="1" x14ac:dyDescent="0.3">
      <c r="A53" s="2">
        <v>44621</v>
      </c>
      <c r="B53" s="3" t="s">
        <v>12</v>
      </c>
      <c r="C53" s="3" t="s">
        <v>13</v>
      </c>
      <c r="D53" s="3" t="s">
        <v>14</v>
      </c>
      <c r="E53" s="3" t="s">
        <v>15</v>
      </c>
      <c r="F53" s="3">
        <v>89815</v>
      </c>
      <c r="G53" s="3" t="s">
        <v>16</v>
      </c>
      <c r="H53" s="3" t="s">
        <v>17</v>
      </c>
      <c r="I53" s="3">
        <f>IF(C53="India",1,IF(C53="USA",INDEX('Currency Master'!B:B,MATCH(DATE(N53,MONTH(DATEVALUE(O53&amp;" 1")),1),'Currency Master'!A:A,0)),IF(C53="Australia",INDEX('Currency Master'!T:T,MATCH(DATE(N53,MONTH(DATEVALUE(O53&amp;" 1")),1),'Currency Master'!A:A,0)),"")))</f>
        <v>1</v>
      </c>
      <c r="J53" s="3">
        <f t="shared" si="0"/>
        <v>89815</v>
      </c>
      <c r="K53" s="3" t="str">
        <f t="shared" si="1"/>
        <v>₹/Candy</v>
      </c>
      <c r="L53" s="3">
        <v>0.18779342723004699</v>
      </c>
      <c r="M53" s="3">
        <v>1.0173545966228901</v>
      </c>
      <c r="N53" s="3">
        <f t="shared" si="2"/>
        <v>2022</v>
      </c>
      <c r="O53" s="3" t="str">
        <f t="shared" si="3"/>
        <v>March</v>
      </c>
      <c r="P53" s="3" t="s">
        <v>18</v>
      </c>
      <c r="Q53" s="3"/>
    </row>
    <row r="54" spans="1:17" hidden="1" x14ac:dyDescent="0.3">
      <c r="A54" s="2">
        <v>44593</v>
      </c>
      <c r="B54" s="3" t="s">
        <v>12</v>
      </c>
      <c r="C54" s="3" t="s">
        <v>13</v>
      </c>
      <c r="D54" s="3" t="s">
        <v>14</v>
      </c>
      <c r="E54" s="3" t="s">
        <v>15</v>
      </c>
      <c r="F54" s="3">
        <v>75615</v>
      </c>
      <c r="G54" s="3" t="s">
        <v>16</v>
      </c>
      <c r="H54" s="3" t="s">
        <v>17</v>
      </c>
      <c r="I54" s="3">
        <f>IF(C54="India",1,IF(C54="USA",INDEX('Currency Master'!B:B,MATCH(DATE(N54,MONTH(DATEVALUE(O54&amp;" 1")),1),'Currency Master'!A:A,0)),IF(C54="Australia",INDEX('Currency Master'!T:T,MATCH(DATE(N54,MONTH(DATEVALUE(O54&amp;" 1")),1),'Currency Master'!A:A,0)),"")))</f>
        <v>1</v>
      </c>
      <c r="J54" s="3">
        <f t="shared" si="0"/>
        <v>75615</v>
      </c>
      <c r="K54" s="3" t="str">
        <f t="shared" si="1"/>
        <v>₹/Candy</v>
      </c>
      <c r="L54" s="3">
        <v>-2.3726071717444099E-2</v>
      </c>
      <c r="M54" s="3">
        <v>0.67329020332717204</v>
      </c>
      <c r="N54" s="3">
        <f t="shared" si="2"/>
        <v>2022</v>
      </c>
      <c r="O54" s="3" t="str">
        <f t="shared" si="3"/>
        <v>February</v>
      </c>
      <c r="P54" s="3" t="s">
        <v>18</v>
      </c>
      <c r="Q54" s="3"/>
    </row>
    <row r="55" spans="1:17" hidden="1" x14ac:dyDescent="0.3">
      <c r="A55" s="2">
        <v>44562</v>
      </c>
      <c r="B55" s="3" t="s">
        <v>12</v>
      </c>
      <c r="C55" s="3" t="s">
        <v>13</v>
      </c>
      <c r="D55" s="3" t="s">
        <v>14</v>
      </c>
      <c r="E55" s="3" t="s">
        <v>15</v>
      </c>
      <c r="F55" s="3">
        <v>77452.647058823495</v>
      </c>
      <c r="G55" s="3" t="s">
        <v>16</v>
      </c>
      <c r="H55" s="3" t="s">
        <v>17</v>
      </c>
      <c r="I55" s="3">
        <f>IF(C55="India",1,IF(C55="USA",INDEX('Currency Master'!B:B,MATCH(DATE(N55,MONTH(DATEVALUE(O55&amp;" 1")),1),'Currency Master'!A:A,0)),IF(C55="Australia",INDEX('Currency Master'!T:T,MATCH(DATE(N55,MONTH(DATEVALUE(O55&amp;" 1")),1),'Currency Master'!A:A,0)),"")))</f>
        <v>1</v>
      </c>
      <c r="J55" s="3">
        <f t="shared" si="0"/>
        <v>77452.647058823495</v>
      </c>
      <c r="K55" s="3" t="str">
        <f t="shared" si="1"/>
        <v>₹/Candy</v>
      </c>
      <c r="L55" s="3">
        <v>9.3777646711884502E-2</v>
      </c>
      <c r="M55" s="3">
        <v>0.78660886319845902</v>
      </c>
      <c r="N55" s="3">
        <f t="shared" si="2"/>
        <v>2022</v>
      </c>
      <c r="O55" s="3" t="str">
        <f t="shared" si="3"/>
        <v>January</v>
      </c>
      <c r="P55" s="3" t="s">
        <v>18</v>
      </c>
      <c r="Q55" s="3"/>
    </row>
    <row r="56" spans="1:17" hidden="1" x14ac:dyDescent="0.3">
      <c r="A56" s="2">
        <v>44531</v>
      </c>
      <c r="B56" s="3" t="s">
        <v>12</v>
      </c>
      <c r="C56" s="3" t="s">
        <v>13</v>
      </c>
      <c r="D56" s="3" t="s">
        <v>14</v>
      </c>
      <c r="E56" s="3" t="s">
        <v>15</v>
      </c>
      <c r="F56" s="3">
        <v>70812.058823529398</v>
      </c>
      <c r="G56" s="3" t="s">
        <v>16</v>
      </c>
      <c r="H56" s="3" t="s">
        <v>17</v>
      </c>
      <c r="I56" s="3">
        <f>IF(C56="India",1,IF(C56="USA",INDEX('Currency Master'!B:B,MATCH(DATE(N56,MONTH(DATEVALUE(O56&amp;" 1")),1),'Currency Master'!A:A,0)),IF(C56="Australia",INDEX('Currency Master'!T:T,MATCH(DATE(N56,MONTH(DATEVALUE(O56&amp;" 1")),1),'Currency Master'!A:A,0)),"")))</f>
        <v>1</v>
      </c>
      <c r="J56" s="3">
        <f t="shared" si="0"/>
        <v>70812.058823529398</v>
      </c>
      <c r="K56" s="3" t="str">
        <f t="shared" si="1"/>
        <v>₹/Candy</v>
      </c>
      <c r="L56" s="3">
        <v>0.10492016943629801</v>
      </c>
      <c r="M56" s="3">
        <v>0.65414634146341499</v>
      </c>
      <c r="N56" s="3">
        <f t="shared" si="2"/>
        <v>2021</v>
      </c>
      <c r="O56" s="3" t="str">
        <f t="shared" si="3"/>
        <v>December</v>
      </c>
      <c r="P56" s="3" t="s">
        <v>18</v>
      </c>
      <c r="Q56" s="3"/>
    </row>
    <row r="57" spans="1:17" hidden="1" x14ac:dyDescent="0.3">
      <c r="A57" s="2">
        <v>44501</v>
      </c>
      <c r="B57" s="3" t="s">
        <v>12</v>
      </c>
      <c r="C57" s="3" t="s">
        <v>13</v>
      </c>
      <c r="D57" s="3" t="s">
        <v>14</v>
      </c>
      <c r="E57" s="3" t="s">
        <v>15</v>
      </c>
      <c r="F57" s="3">
        <v>64087.941176470602</v>
      </c>
      <c r="G57" s="3" t="s">
        <v>16</v>
      </c>
      <c r="H57" s="3" t="s">
        <v>17</v>
      </c>
      <c r="I57" s="3">
        <f>IF(C57="India",1,IF(C57="USA",INDEX('Currency Master'!B:B,MATCH(DATE(N57,MONTH(DATEVALUE(O57&amp;" 1")),1),'Currency Master'!A:A,0)),IF(C57="Australia",INDEX('Currency Master'!T:T,MATCH(DATE(N57,MONTH(DATEVALUE(O57&amp;" 1")),1),'Currency Master'!A:A,0)),"")))</f>
        <v>1</v>
      </c>
      <c r="J57" s="3">
        <f t="shared" si="0"/>
        <v>64087.941176470602</v>
      </c>
      <c r="K57" s="3" t="str">
        <f t="shared" si="1"/>
        <v>₹/Candy</v>
      </c>
      <c r="L57" s="3">
        <v>-7.1125907990314804E-2</v>
      </c>
      <c r="M57" s="3">
        <v>0.52991026919242301</v>
      </c>
      <c r="N57" s="3">
        <f t="shared" si="2"/>
        <v>2021</v>
      </c>
      <c r="O57" s="3" t="str">
        <f t="shared" si="3"/>
        <v>November</v>
      </c>
      <c r="P57" s="3" t="s">
        <v>18</v>
      </c>
      <c r="Q57" s="3"/>
    </row>
    <row r="58" spans="1:17" hidden="1" x14ac:dyDescent="0.3">
      <c r="A58" s="2">
        <v>44470</v>
      </c>
      <c r="B58" s="3" t="s">
        <v>12</v>
      </c>
      <c r="C58" s="3" t="s">
        <v>13</v>
      </c>
      <c r="D58" s="3" t="s">
        <v>14</v>
      </c>
      <c r="E58" s="3" t="s">
        <v>15</v>
      </c>
      <c r="F58" s="3">
        <v>68995.294117647107</v>
      </c>
      <c r="G58" s="3" t="s">
        <v>16</v>
      </c>
      <c r="H58" s="3" t="s">
        <v>17</v>
      </c>
      <c r="I58" s="3">
        <f>IF(C58="India",1,IF(C58="USA",INDEX('Currency Master'!B:B,MATCH(DATE(N58,MONTH(DATEVALUE(O58&amp;" 1")),1),'Currency Master'!A:A,0)),IF(C58="Australia",INDEX('Currency Master'!T:T,MATCH(DATE(N58,MONTH(DATEVALUE(O58&amp;" 1")),1),'Currency Master'!A:A,0)),"")))</f>
        <v>1</v>
      </c>
      <c r="J58" s="3">
        <f t="shared" si="0"/>
        <v>68995.294117647107</v>
      </c>
      <c r="K58" s="3" t="str">
        <f t="shared" si="1"/>
        <v>₹/Candy</v>
      </c>
      <c r="L58" s="3">
        <v>0.174129353233831</v>
      </c>
      <c r="M58" s="3">
        <v>0.72442588726513601</v>
      </c>
      <c r="N58" s="3">
        <f t="shared" si="2"/>
        <v>2021</v>
      </c>
      <c r="O58" s="3" t="str">
        <f t="shared" si="3"/>
        <v>October</v>
      </c>
      <c r="P58" s="3" t="s">
        <v>18</v>
      </c>
      <c r="Q58" s="3"/>
    </row>
    <row r="59" spans="1:17" hidden="1" x14ac:dyDescent="0.3">
      <c r="A59" s="2">
        <v>44440</v>
      </c>
      <c r="B59" s="3" t="s">
        <v>12</v>
      </c>
      <c r="C59" s="3" t="s">
        <v>13</v>
      </c>
      <c r="D59" s="3" t="s">
        <v>14</v>
      </c>
      <c r="E59" s="3" t="s">
        <v>15</v>
      </c>
      <c r="F59" s="3">
        <v>58762.941176470602</v>
      </c>
      <c r="G59" s="3" t="s">
        <v>16</v>
      </c>
      <c r="H59" s="3" t="s">
        <v>17</v>
      </c>
      <c r="I59" s="3">
        <f>IF(C59="India",1,IF(C59="USA",INDEX('Currency Master'!B:B,MATCH(DATE(N59,MONTH(DATEVALUE(O59&amp;" 1")),1),'Currency Master'!A:A,0)),IF(C59="Australia",INDEX('Currency Master'!T:T,MATCH(DATE(N59,MONTH(DATEVALUE(O59&amp;" 1")),1),'Currency Master'!A:A,0)),"")))</f>
        <v>1</v>
      </c>
      <c r="J59" s="3">
        <f t="shared" si="0"/>
        <v>58762.941176470602</v>
      </c>
      <c r="K59" s="3" t="str">
        <f t="shared" si="1"/>
        <v>₹/Candy</v>
      </c>
      <c r="L59" s="3">
        <v>7.5277034772640403E-2</v>
      </c>
      <c r="M59" s="3">
        <v>0.54530477759472795</v>
      </c>
      <c r="N59" s="3">
        <f t="shared" si="2"/>
        <v>2021</v>
      </c>
      <c r="O59" s="3" t="str">
        <f t="shared" si="3"/>
        <v>September</v>
      </c>
      <c r="P59" s="3" t="s">
        <v>18</v>
      </c>
      <c r="Q59" s="3"/>
    </row>
    <row r="60" spans="1:17" hidden="1" x14ac:dyDescent="0.3">
      <c r="A60" s="2">
        <v>44409</v>
      </c>
      <c r="B60" s="3" t="s">
        <v>12</v>
      </c>
      <c r="C60" s="3" t="s">
        <v>13</v>
      </c>
      <c r="D60" s="3" t="s">
        <v>14</v>
      </c>
      <c r="E60" s="3" t="s">
        <v>15</v>
      </c>
      <c r="F60" s="3">
        <v>54649.117647058803</v>
      </c>
      <c r="G60" s="3" t="s">
        <v>16</v>
      </c>
      <c r="H60" s="3" t="s">
        <v>17</v>
      </c>
      <c r="I60" s="3">
        <f>IF(C60="India",1,IF(C60="USA",INDEX('Currency Master'!B:B,MATCH(DATE(N60,MONTH(DATEVALUE(O60&amp;" 1")),1),'Currency Master'!A:A,0)),IF(C60="Australia",INDEX('Currency Master'!T:T,MATCH(DATE(N60,MONTH(DATEVALUE(O60&amp;" 1")),1),'Currency Master'!A:A,0)),"")))</f>
        <v>1</v>
      </c>
      <c r="J60" s="3">
        <f t="shared" si="0"/>
        <v>54649.117647058803</v>
      </c>
      <c r="K60" s="3" t="str">
        <f t="shared" si="1"/>
        <v>₹/Candy</v>
      </c>
      <c r="L60" s="3">
        <v>-3.7867647058823499E-2</v>
      </c>
      <c r="M60" s="3">
        <v>0.52062754212667095</v>
      </c>
      <c r="N60" s="3">
        <f t="shared" si="2"/>
        <v>2021</v>
      </c>
      <c r="O60" s="3" t="str">
        <f t="shared" si="3"/>
        <v>August</v>
      </c>
      <c r="P60" s="3" t="s">
        <v>18</v>
      </c>
      <c r="Q60" s="3"/>
    </row>
    <row r="61" spans="1:17" hidden="1" x14ac:dyDescent="0.3">
      <c r="A61" s="2">
        <v>44378</v>
      </c>
      <c r="B61" s="3" t="s">
        <v>12</v>
      </c>
      <c r="C61" s="3" t="s">
        <v>13</v>
      </c>
      <c r="D61" s="3" t="s">
        <v>14</v>
      </c>
      <c r="E61" s="3" t="s">
        <v>15</v>
      </c>
      <c r="F61" s="3">
        <v>56800</v>
      </c>
      <c r="G61" s="3" t="s">
        <v>16</v>
      </c>
      <c r="H61" s="3" t="s">
        <v>17</v>
      </c>
      <c r="I61" s="3">
        <f>IF(C61="India",1,IF(C61="USA",INDEX('Currency Master'!B:B,MATCH(DATE(N61,MONTH(DATEVALUE(O61&amp;" 1")),1),'Currency Master'!A:A,0)),IF(C61="Australia",INDEX('Currency Master'!T:T,MATCH(DATE(N61,MONTH(DATEVALUE(O61&amp;" 1")),1),'Currency Master'!A:A,0)),"")))</f>
        <v>1</v>
      </c>
      <c r="J61" s="3">
        <f t="shared" si="0"/>
        <v>56800</v>
      </c>
      <c r="K61" s="3" t="str">
        <f t="shared" si="1"/>
        <v>₹/Candy</v>
      </c>
      <c r="L61" s="3">
        <v>9.0180360721443101E-2</v>
      </c>
      <c r="M61" s="3">
        <v>0.672816728167282</v>
      </c>
      <c r="N61" s="3">
        <f t="shared" si="2"/>
        <v>2021</v>
      </c>
      <c r="O61" s="3" t="str">
        <f t="shared" si="3"/>
        <v>July</v>
      </c>
      <c r="P61" s="3" t="s">
        <v>18</v>
      </c>
      <c r="Q61" s="3"/>
    </row>
    <row r="62" spans="1:17" hidden="1" x14ac:dyDescent="0.3">
      <c r="A62" s="2">
        <v>44348</v>
      </c>
      <c r="B62" s="3" t="s">
        <v>12</v>
      </c>
      <c r="C62" s="3" t="s">
        <v>13</v>
      </c>
      <c r="D62" s="3" t="s">
        <v>14</v>
      </c>
      <c r="E62" s="3" t="s">
        <v>15</v>
      </c>
      <c r="F62" s="3">
        <v>52101.470588235301</v>
      </c>
      <c r="G62" s="3" t="s">
        <v>16</v>
      </c>
      <c r="H62" s="3" t="s">
        <v>17</v>
      </c>
      <c r="I62" s="3">
        <f>IF(C62="India",1,IF(C62="USA",INDEX('Currency Master'!B:B,MATCH(DATE(N62,MONTH(DATEVALUE(O62&amp;" 1")),1),'Currency Master'!A:A,0)),IF(C62="Australia",INDEX('Currency Master'!T:T,MATCH(DATE(N62,MONTH(DATEVALUE(O62&amp;" 1")),1),'Currency Master'!A:A,0)),"")))</f>
        <v>1</v>
      </c>
      <c r="J62" s="3">
        <f t="shared" si="0"/>
        <v>52101.470588235301</v>
      </c>
      <c r="K62" s="3" t="str">
        <f t="shared" si="1"/>
        <v>₹/Candy</v>
      </c>
      <c r="L62" s="3">
        <v>7.35800344234077E-2</v>
      </c>
      <c r="M62" s="3">
        <v>0.60038486209108399</v>
      </c>
      <c r="N62" s="3">
        <f t="shared" si="2"/>
        <v>2021</v>
      </c>
      <c r="O62" s="3" t="str">
        <f t="shared" si="3"/>
        <v>June</v>
      </c>
      <c r="P62" s="3" t="s">
        <v>18</v>
      </c>
      <c r="Q62" s="3"/>
    </row>
    <row r="63" spans="1:17" hidden="1" x14ac:dyDescent="0.3">
      <c r="A63" s="2">
        <v>44317</v>
      </c>
      <c r="B63" s="3" t="s">
        <v>12</v>
      </c>
      <c r="C63" s="3" t="s">
        <v>13</v>
      </c>
      <c r="D63" s="3" t="s">
        <v>14</v>
      </c>
      <c r="E63" s="3" t="s">
        <v>15</v>
      </c>
      <c r="F63" s="3">
        <v>48530.588235294097</v>
      </c>
      <c r="G63" s="3" t="s">
        <v>16</v>
      </c>
      <c r="H63" s="3" t="s">
        <v>17</v>
      </c>
      <c r="I63" s="3">
        <f>IF(C63="India",1,IF(C63="USA",INDEX('Currency Master'!B:B,MATCH(DATE(N63,MONTH(DATEVALUE(O63&amp;" 1")),1),'Currency Master'!A:A,0)),IF(C63="Australia",INDEX('Currency Master'!T:T,MATCH(DATE(N63,MONTH(DATEVALUE(O63&amp;" 1")),1),'Currency Master'!A:A,0)),"")))</f>
        <v>1</v>
      </c>
      <c r="J63" s="3">
        <f t="shared" si="0"/>
        <v>48530.588235294097</v>
      </c>
      <c r="K63" s="3" t="str">
        <f t="shared" si="1"/>
        <v>₹/Candy</v>
      </c>
      <c r="L63" s="3">
        <v>8.2440614811364804E-2</v>
      </c>
      <c r="M63" s="3">
        <v>0.48688419705694203</v>
      </c>
      <c r="N63" s="3">
        <f t="shared" si="2"/>
        <v>2021</v>
      </c>
      <c r="O63" s="3" t="str">
        <f t="shared" si="3"/>
        <v>May</v>
      </c>
      <c r="P63" s="3" t="s">
        <v>18</v>
      </c>
      <c r="Q63" s="3"/>
    </row>
    <row r="64" spans="1:17" hidden="1" x14ac:dyDescent="0.3">
      <c r="A64" s="2">
        <v>44287</v>
      </c>
      <c r="B64" s="3" t="s">
        <v>12</v>
      </c>
      <c r="C64" s="3" t="s">
        <v>13</v>
      </c>
      <c r="D64" s="3" t="s">
        <v>14</v>
      </c>
      <c r="E64" s="3" t="s">
        <v>15</v>
      </c>
      <c r="F64" s="3">
        <v>44834.411764705903</v>
      </c>
      <c r="G64" s="3" t="s">
        <v>16</v>
      </c>
      <c r="H64" s="3" t="s">
        <v>17</v>
      </c>
      <c r="I64" s="3">
        <f>IF(C64="India",1,IF(C64="USA",INDEX('Currency Master'!B:B,MATCH(DATE(N64,MONTH(DATEVALUE(O64&amp;" 1")),1),'Currency Master'!A:A,0)),IF(C64="Australia",INDEX('Currency Master'!T:T,MATCH(DATE(N64,MONTH(DATEVALUE(O64&amp;" 1")),1),'Currency Master'!A:A,0)),"")))</f>
        <v>1</v>
      </c>
      <c r="J64" s="3">
        <f t="shared" si="0"/>
        <v>44834.411764705903</v>
      </c>
      <c r="K64" s="3" t="str">
        <f t="shared" si="1"/>
        <v>₹/Candy</v>
      </c>
      <c r="L64" s="3">
        <v>7.0356472795498597E-3</v>
      </c>
      <c r="M64" s="3">
        <v>0.32612723903644197</v>
      </c>
      <c r="N64" s="3">
        <f t="shared" si="2"/>
        <v>2021</v>
      </c>
      <c r="O64" s="3" t="str">
        <f t="shared" si="3"/>
        <v>April</v>
      </c>
      <c r="P64" s="3" t="s">
        <v>18</v>
      </c>
      <c r="Q64" s="3"/>
    </row>
    <row r="65" spans="1:17" hidden="1" x14ac:dyDescent="0.3">
      <c r="A65" s="2">
        <v>44256</v>
      </c>
      <c r="B65" s="3" t="s">
        <v>12</v>
      </c>
      <c r="C65" s="3" t="s">
        <v>13</v>
      </c>
      <c r="D65" s="3" t="s">
        <v>14</v>
      </c>
      <c r="E65" s="3" t="s">
        <v>15</v>
      </c>
      <c r="F65" s="3">
        <v>44521.176470588201</v>
      </c>
      <c r="G65" s="3" t="s">
        <v>16</v>
      </c>
      <c r="H65" s="3" t="s">
        <v>17</v>
      </c>
      <c r="I65" s="3">
        <f>IF(C65="India",1,IF(C65="USA",INDEX('Currency Master'!B:B,MATCH(DATE(N65,MONTH(DATEVALUE(O65&amp;" 1")),1),'Currency Master'!A:A,0)),IF(C65="Australia",INDEX('Currency Master'!T:T,MATCH(DATE(N65,MONTH(DATEVALUE(O65&amp;" 1")),1),'Currency Master'!A:A,0)),"")))</f>
        <v>1</v>
      </c>
      <c r="J65" s="3">
        <f t="shared" si="0"/>
        <v>44521.176470588201</v>
      </c>
      <c r="K65" s="3" t="str">
        <f t="shared" si="1"/>
        <v>₹/Candy</v>
      </c>
      <c r="L65" s="3">
        <v>-1.47874306839187E-2</v>
      </c>
      <c r="M65" s="3">
        <v>0.345110410094637</v>
      </c>
      <c r="N65" s="3">
        <f t="shared" si="2"/>
        <v>2021</v>
      </c>
      <c r="O65" s="3" t="str">
        <f t="shared" si="3"/>
        <v>March</v>
      </c>
      <c r="P65" s="3" t="s">
        <v>18</v>
      </c>
      <c r="Q65" s="3"/>
    </row>
    <row r="66" spans="1:17" hidden="1" x14ac:dyDescent="0.3">
      <c r="A66" s="2">
        <v>44228</v>
      </c>
      <c r="B66" s="3" t="s">
        <v>12</v>
      </c>
      <c r="C66" s="3" t="s">
        <v>13</v>
      </c>
      <c r="D66" s="3" t="s">
        <v>14</v>
      </c>
      <c r="E66" s="3" t="s">
        <v>15</v>
      </c>
      <c r="F66" s="3">
        <v>45189.411764705903</v>
      </c>
      <c r="G66" s="3" t="s">
        <v>16</v>
      </c>
      <c r="H66" s="3" t="s">
        <v>17</v>
      </c>
      <c r="I66" s="3">
        <f>IF(C66="India",1,IF(C66="USA",INDEX('Currency Master'!B:B,MATCH(DATE(N66,MONTH(DATEVALUE(O66&amp;" 1")),1),'Currency Master'!A:A,0)),IF(C66="Australia",INDEX('Currency Master'!T:T,MATCH(DATE(N66,MONTH(DATEVALUE(O66&amp;" 1")),1),'Currency Master'!A:A,0)),"")))</f>
        <v>1</v>
      </c>
      <c r="J66" s="3">
        <f t="shared" si="0"/>
        <v>45189.411764705903</v>
      </c>
      <c r="K66" s="3" t="str">
        <f t="shared" si="1"/>
        <v>₹/Candy</v>
      </c>
      <c r="L66" s="3">
        <v>4.2389210019267799E-2</v>
      </c>
      <c r="M66" s="3">
        <v>0.189664650907092</v>
      </c>
      <c r="N66" s="3">
        <f t="shared" si="2"/>
        <v>2021</v>
      </c>
      <c r="O66" s="3" t="str">
        <f t="shared" si="3"/>
        <v>February</v>
      </c>
      <c r="P66" s="3" t="s">
        <v>18</v>
      </c>
      <c r="Q66" s="3"/>
    </row>
    <row r="67" spans="1:17" hidden="1" x14ac:dyDescent="0.3">
      <c r="A67" s="2">
        <v>44197</v>
      </c>
      <c r="B67" s="3" t="s">
        <v>12</v>
      </c>
      <c r="C67" s="3" t="s">
        <v>13</v>
      </c>
      <c r="D67" s="3" t="s">
        <v>14</v>
      </c>
      <c r="E67" s="3" t="s">
        <v>15</v>
      </c>
      <c r="F67" s="3">
        <v>43351.7647058824</v>
      </c>
      <c r="G67" s="3" t="s">
        <v>16</v>
      </c>
      <c r="H67" s="3" t="s">
        <v>17</v>
      </c>
      <c r="I67" s="3">
        <f>IF(C67="India",1,IF(C67="USA",INDEX('Currency Master'!B:B,MATCH(DATE(N67,MONTH(DATEVALUE(O67&amp;" 1")),1),'Currency Master'!A:A,0)),IF(C67="Australia",INDEX('Currency Master'!T:T,MATCH(DATE(N67,MONTH(DATEVALUE(O67&amp;" 1")),1),'Currency Master'!A:A,0)),"")))</f>
        <v>1</v>
      </c>
      <c r="J67" s="3">
        <f t="shared" ref="J67:J130" si="4">IF(C67="India",F67,IF(C67="USA",IF(G67="US Cents/Lb",ROUND(((F67/100)/0.453592)*I67*356,0),F67),IF(C67="Australia",IF(G67="AUc/kg",ROUND((F67/100)*I67,2),F67),"")))</f>
        <v>43351.7647058824</v>
      </c>
      <c r="K67" s="3" t="str">
        <f t="shared" ref="K67:K130" si="5">IF(C67="India",G67,IF(C67="USA","₹/Candy",IF(C67="Australia","₹/Kg","")))</f>
        <v>₹/Candy</v>
      </c>
      <c r="L67" s="3">
        <v>1.26829268292683E-2</v>
      </c>
      <c r="M67" s="3">
        <v>8.2942097026604197E-2</v>
      </c>
      <c r="N67" s="3">
        <f t="shared" ref="N67:N130" si="6">YEAR(A67)</f>
        <v>2021</v>
      </c>
      <c r="O67" s="3" t="str">
        <f t="shared" ref="O67:O130" si="7">TEXT(A67,"mmmm")</f>
        <v>January</v>
      </c>
      <c r="P67" s="3" t="s">
        <v>18</v>
      </c>
      <c r="Q67" s="3"/>
    </row>
    <row r="68" spans="1:17" hidden="1" x14ac:dyDescent="0.3">
      <c r="A68" s="2">
        <v>44166</v>
      </c>
      <c r="B68" s="3" t="s">
        <v>12</v>
      </c>
      <c r="C68" s="3" t="s">
        <v>13</v>
      </c>
      <c r="D68" s="3" t="s">
        <v>14</v>
      </c>
      <c r="E68" s="3" t="s">
        <v>15</v>
      </c>
      <c r="F68" s="3">
        <v>42808.823529411799</v>
      </c>
      <c r="G68" s="3" t="s">
        <v>16</v>
      </c>
      <c r="H68" s="3" t="s">
        <v>17</v>
      </c>
      <c r="I68" s="3">
        <f>IF(C68="India",1,IF(C68="USA",INDEX('Currency Master'!B:B,MATCH(DATE(N68,MONTH(DATEVALUE(O68&amp;" 1")),1),'Currency Master'!A:A,0)),IF(C68="Australia",INDEX('Currency Master'!T:T,MATCH(DATE(N68,MONTH(DATEVALUE(O68&amp;" 1")),1),'Currency Master'!A:A,0)),"")))</f>
        <v>1</v>
      </c>
      <c r="J68" s="3">
        <f t="shared" si="4"/>
        <v>42808.823529411799</v>
      </c>
      <c r="K68" s="3" t="str">
        <f t="shared" si="5"/>
        <v>₹/Candy</v>
      </c>
      <c r="L68" s="3">
        <v>2.19341974077767E-2</v>
      </c>
      <c r="M68" s="3">
        <v>6.0527677185721697E-2</v>
      </c>
      <c r="N68" s="3">
        <f t="shared" si="6"/>
        <v>2020</v>
      </c>
      <c r="O68" s="3" t="str">
        <f t="shared" si="7"/>
        <v>December</v>
      </c>
      <c r="P68" s="3" t="s">
        <v>18</v>
      </c>
      <c r="Q68" s="3"/>
    </row>
    <row r="69" spans="1:17" hidden="1" x14ac:dyDescent="0.3">
      <c r="A69" s="2">
        <v>44136</v>
      </c>
      <c r="B69" s="3" t="s">
        <v>12</v>
      </c>
      <c r="C69" s="3" t="s">
        <v>13</v>
      </c>
      <c r="D69" s="3" t="s">
        <v>14</v>
      </c>
      <c r="E69" s="3" t="s">
        <v>15</v>
      </c>
      <c r="F69" s="3">
        <v>41890</v>
      </c>
      <c r="G69" s="3" t="s">
        <v>16</v>
      </c>
      <c r="H69" s="3" t="s">
        <v>17</v>
      </c>
      <c r="I69" s="3">
        <f>IF(C69="India",1,IF(C69="USA",INDEX('Currency Master'!B:B,MATCH(DATE(N69,MONTH(DATEVALUE(O69&amp;" 1")),1),'Currency Master'!A:A,0)),IF(C69="Australia",INDEX('Currency Master'!T:T,MATCH(DATE(N69,MONTH(DATEVALUE(O69&amp;" 1")),1),'Currency Master'!A:A,0)),"")))</f>
        <v>1</v>
      </c>
      <c r="J69" s="3">
        <f t="shared" si="4"/>
        <v>41890</v>
      </c>
      <c r="K69" s="3" t="str">
        <f t="shared" si="5"/>
        <v>₹/Candy</v>
      </c>
      <c r="L69" s="3">
        <v>4.6972860125261001E-2</v>
      </c>
      <c r="M69" s="3">
        <v>5.3018372703412101E-2</v>
      </c>
      <c r="N69" s="3">
        <f t="shared" si="6"/>
        <v>2020</v>
      </c>
      <c r="O69" s="3" t="str">
        <f t="shared" si="7"/>
        <v>November</v>
      </c>
      <c r="P69" s="3" t="s">
        <v>18</v>
      </c>
      <c r="Q69" s="3"/>
    </row>
    <row r="70" spans="1:17" hidden="1" x14ac:dyDescent="0.3">
      <c r="A70" s="2">
        <v>44105</v>
      </c>
      <c r="B70" s="3" t="s">
        <v>12</v>
      </c>
      <c r="C70" s="3" t="s">
        <v>13</v>
      </c>
      <c r="D70" s="3" t="s">
        <v>14</v>
      </c>
      <c r="E70" s="3" t="s">
        <v>15</v>
      </c>
      <c r="F70" s="3">
        <v>40010.588235294097</v>
      </c>
      <c r="G70" s="3" t="s">
        <v>16</v>
      </c>
      <c r="H70" s="3" t="s">
        <v>17</v>
      </c>
      <c r="I70" s="3">
        <f>IF(C70="India",1,IF(C70="USA",INDEX('Currency Master'!B:B,MATCH(DATE(N70,MONTH(DATEVALUE(O70&amp;" 1")),1),'Currency Master'!A:A,0)),IF(C70="Australia",INDEX('Currency Master'!T:T,MATCH(DATE(N70,MONTH(DATEVALUE(O70&amp;" 1")),1),'Currency Master'!A:A,0)),"")))</f>
        <v>1</v>
      </c>
      <c r="J70" s="3">
        <f t="shared" si="4"/>
        <v>40010.588235294097</v>
      </c>
      <c r="K70" s="3" t="str">
        <f t="shared" si="5"/>
        <v>₹/Candy</v>
      </c>
      <c r="L70" s="3">
        <v>5.2169137836353602E-2</v>
      </c>
      <c r="M70" s="3">
        <v>-1.7435897435897501E-2</v>
      </c>
      <c r="N70" s="3">
        <f t="shared" si="6"/>
        <v>2020</v>
      </c>
      <c r="O70" s="3" t="str">
        <f t="shared" si="7"/>
        <v>October</v>
      </c>
      <c r="P70" s="3" t="s">
        <v>18</v>
      </c>
      <c r="Q70" s="3"/>
    </row>
    <row r="71" spans="1:17" hidden="1" x14ac:dyDescent="0.3">
      <c r="A71" s="2">
        <v>44075</v>
      </c>
      <c r="B71" s="3" t="s">
        <v>12</v>
      </c>
      <c r="C71" s="3" t="s">
        <v>13</v>
      </c>
      <c r="D71" s="3" t="s">
        <v>14</v>
      </c>
      <c r="E71" s="3" t="s">
        <v>15</v>
      </c>
      <c r="F71" s="3">
        <v>38026.7647058824</v>
      </c>
      <c r="G71" s="3" t="s">
        <v>16</v>
      </c>
      <c r="H71" s="3" t="s">
        <v>17</v>
      </c>
      <c r="I71" s="3">
        <f>IF(C71="India",1,IF(C71="USA",INDEX('Currency Master'!B:B,MATCH(DATE(N71,MONTH(DATEVALUE(O71&amp;" 1")),1),'Currency Master'!A:A,0)),IF(C71="Australia",INDEX('Currency Master'!T:T,MATCH(DATE(N71,MONTH(DATEVALUE(O71&amp;" 1")),1),'Currency Master'!A:A,0)),"")))</f>
        <v>1</v>
      </c>
      <c r="J71" s="3">
        <f t="shared" si="4"/>
        <v>38026.7647058824</v>
      </c>
      <c r="K71" s="3" t="str">
        <f t="shared" si="5"/>
        <v>₹/Candy</v>
      </c>
      <c r="L71" s="3">
        <v>5.81057524694946E-2</v>
      </c>
      <c r="M71" s="3">
        <v>-8.3543029693004298E-2</v>
      </c>
      <c r="N71" s="3">
        <f t="shared" si="6"/>
        <v>2020</v>
      </c>
      <c r="O71" s="3" t="str">
        <f t="shared" si="7"/>
        <v>September</v>
      </c>
      <c r="P71" s="3" t="s">
        <v>18</v>
      </c>
      <c r="Q71" s="3"/>
    </row>
    <row r="72" spans="1:17" hidden="1" x14ac:dyDescent="0.3">
      <c r="A72" s="2">
        <v>44044</v>
      </c>
      <c r="B72" s="3" t="s">
        <v>12</v>
      </c>
      <c r="C72" s="3" t="s">
        <v>13</v>
      </c>
      <c r="D72" s="3" t="s">
        <v>14</v>
      </c>
      <c r="E72" s="3" t="s">
        <v>15</v>
      </c>
      <c r="F72" s="3">
        <v>35938.529411764699</v>
      </c>
      <c r="G72" s="3" t="s">
        <v>16</v>
      </c>
      <c r="H72" s="3" t="s">
        <v>17</v>
      </c>
      <c r="I72" s="3">
        <f>IF(C72="India",1,IF(C72="USA",INDEX('Currency Master'!B:B,MATCH(DATE(N72,MONTH(DATEVALUE(O72&amp;" 1")),1),'Currency Master'!A:A,0)),IF(C72="Australia",INDEX('Currency Master'!T:T,MATCH(DATE(N72,MONTH(DATEVALUE(O72&amp;" 1")),1),'Currency Master'!A:A,0)),"")))</f>
        <v>1</v>
      </c>
      <c r="J72" s="3">
        <f t="shared" si="4"/>
        <v>35938.529411764699</v>
      </c>
      <c r="K72" s="3" t="str">
        <f t="shared" si="5"/>
        <v>₹/Candy</v>
      </c>
      <c r="L72" s="3">
        <v>5.8425584255842801E-2</v>
      </c>
      <c r="M72" s="3">
        <v>-0.172993753003364</v>
      </c>
      <c r="N72" s="3">
        <f t="shared" si="6"/>
        <v>2020</v>
      </c>
      <c r="O72" s="3" t="str">
        <f t="shared" si="7"/>
        <v>August</v>
      </c>
      <c r="P72" s="3" t="s">
        <v>18</v>
      </c>
      <c r="Q72" s="3"/>
    </row>
    <row r="73" spans="1:17" hidden="1" x14ac:dyDescent="0.3">
      <c r="A73" s="2">
        <v>44013</v>
      </c>
      <c r="B73" s="3" t="s">
        <v>12</v>
      </c>
      <c r="C73" s="3" t="s">
        <v>13</v>
      </c>
      <c r="D73" s="3" t="s">
        <v>14</v>
      </c>
      <c r="E73" s="3" t="s">
        <v>15</v>
      </c>
      <c r="F73" s="3">
        <v>33954.705882352901</v>
      </c>
      <c r="G73" s="3" t="s">
        <v>16</v>
      </c>
      <c r="H73" s="3" t="s">
        <v>17</v>
      </c>
      <c r="I73" s="3">
        <f>IF(C73="India",1,IF(C73="USA",INDEX('Currency Master'!B:B,MATCH(DATE(N73,MONTH(DATEVALUE(O73&amp;" 1")),1),'Currency Master'!A:A,0)),IF(C73="Australia",INDEX('Currency Master'!T:T,MATCH(DATE(N73,MONTH(DATEVALUE(O73&amp;" 1")),1),'Currency Master'!A:A,0)),"")))</f>
        <v>1</v>
      </c>
      <c r="J73" s="3">
        <f t="shared" si="4"/>
        <v>33954.705882352901</v>
      </c>
      <c r="K73" s="3" t="str">
        <f t="shared" si="5"/>
        <v>₹/Candy</v>
      </c>
      <c r="L73" s="3">
        <v>4.2976266837716499E-2</v>
      </c>
      <c r="M73" s="3">
        <v>-0.206829268292683</v>
      </c>
      <c r="N73" s="3">
        <f t="shared" si="6"/>
        <v>2020</v>
      </c>
      <c r="O73" s="3" t="str">
        <f t="shared" si="7"/>
        <v>July</v>
      </c>
      <c r="P73" s="3" t="s">
        <v>18</v>
      </c>
      <c r="Q73" s="3"/>
    </row>
    <row r="74" spans="1:17" hidden="1" x14ac:dyDescent="0.3">
      <c r="A74" s="2">
        <v>43983</v>
      </c>
      <c r="B74" s="3" t="s">
        <v>12</v>
      </c>
      <c r="C74" s="3" t="s">
        <v>13</v>
      </c>
      <c r="D74" s="3" t="s">
        <v>14</v>
      </c>
      <c r="E74" s="3" t="s">
        <v>15</v>
      </c>
      <c r="F74" s="3">
        <v>32555.588235294101</v>
      </c>
      <c r="G74" s="3" t="s">
        <v>16</v>
      </c>
      <c r="H74" s="3" t="s">
        <v>17</v>
      </c>
      <c r="I74" s="3">
        <f>IF(C74="India",1,IF(C74="USA",INDEX('Currency Master'!B:B,MATCH(DATE(N74,MONTH(DATEVALUE(O74&amp;" 1")),1),'Currency Master'!A:A,0)),IF(C74="Australia",INDEX('Currency Master'!T:T,MATCH(DATE(N74,MONTH(DATEVALUE(O74&amp;" 1")),1),'Currency Master'!A:A,0)),"")))</f>
        <v>1</v>
      </c>
      <c r="J74" s="3">
        <f t="shared" si="4"/>
        <v>32555.588235294101</v>
      </c>
      <c r="K74" s="3" t="str">
        <f t="shared" si="5"/>
        <v>₹/Candy</v>
      </c>
      <c r="L74" s="3">
        <v>-2.5591810620600999E-3</v>
      </c>
      <c r="M74" s="3">
        <v>-0.30308448815377798</v>
      </c>
      <c r="N74" s="3">
        <f t="shared" si="6"/>
        <v>2020</v>
      </c>
      <c r="O74" s="3" t="str">
        <f t="shared" si="7"/>
        <v>June</v>
      </c>
      <c r="P74" s="3" t="s">
        <v>18</v>
      </c>
      <c r="Q74" s="3"/>
    </row>
    <row r="75" spans="1:17" hidden="1" x14ac:dyDescent="0.3">
      <c r="A75" s="2">
        <v>43952</v>
      </c>
      <c r="B75" s="3" t="s">
        <v>12</v>
      </c>
      <c r="C75" s="3" t="s">
        <v>13</v>
      </c>
      <c r="D75" s="3" t="s">
        <v>14</v>
      </c>
      <c r="E75" s="3" t="s">
        <v>15</v>
      </c>
      <c r="F75" s="3">
        <v>32639.1176470588</v>
      </c>
      <c r="G75" s="3" t="s">
        <v>16</v>
      </c>
      <c r="H75" s="3" t="s">
        <v>17</v>
      </c>
      <c r="I75" s="3">
        <f>IF(C75="India",1,IF(C75="USA",INDEX('Currency Master'!B:B,MATCH(DATE(N75,MONTH(DATEVALUE(O75&amp;" 1")),1),'Currency Master'!A:A,0)),IF(C75="Australia",INDEX('Currency Master'!T:T,MATCH(DATE(N75,MONTH(DATEVALUE(O75&amp;" 1")),1),'Currency Master'!A:A,0)),"")))</f>
        <v>1</v>
      </c>
      <c r="J75" s="3">
        <f t="shared" si="4"/>
        <v>32639.1176470588</v>
      </c>
      <c r="K75" s="3" t="str">
        <f t="shared" si="5"/>
        <v>₹/Candy</v>
      </c>
      <c r="L75" s="3">
        <v>-3.4589252625077303E-2</v>
      </c>
      <c r="M75" s="3">
        <v>-0.28071790151863801</v>
      </c>
      <c r="N75" s="3">
        <f t="shared" si="6"/>
        <v>2020</v>
      </c>
      <c r="O75" s="3" t="str">
        <f t="shared" si="7"/>
        <v>May</v>
      </c>
      <c r="P75" s="3" t="s">
        <v>18</v>
      </c>
      <c r="Q75" s="3"/>
    </row>
    <row r="76" spans="1:17" hidden="1" x14ac:dyDescent="0.3">
      <c r="A76" s="2">
        <v>43922</v>
      </c>
      <c r="B76" s="3" t="s">
        <v>12</v>
      </c>
      <c r="C76" s="3" t="s">
        <v>13</v>
      </c>
      <c r="D76" s="3" t="s">
        <v>14</v>
      </c>
      <c r="E76" s="3" t="s">
        <v>15</v>
      </c>
      <c r="F76" s="3">
        <v>33808.529411764699</v>
      </c>
      <c r="G76" s="3" t="s">
        <v>16</v>
      </c>
      <c r="H76" s="3" t="s">
        <v>17</v>
      </c>
      <c r="I76" s="3">
        <f>IF(C76="India",1,IF(C76="USA",INDEX('Currency Master'!B:B,MATCH(DATE(N76,MONTH(DATEVALUE(O76&amp;" 1")),1),'Currency Master'!A:A,0)),IF(C76="Australia",INDEX('Currency Master'!T:T,MATCH(DATE(N76,MONTH(DATEVALUE(O76&amp;" 1")),1),'Currency Master'!A:A,0)),"")))</f>
        <v>1</v>
      </c>
      <c r="J76" s="3">
        <f t="shared" si="4"/>
        <v>33808.529411764699</v>
      </c>
      <c r="K76" s="3" t="str">
        <f t="shared" si="5"/>
        <v>₹/Candy</v>
      </c>
      <c r="L76" s="3">
        <v>2.1451104100946399E-2</v>
      </c>
      <c r="M76" s="3">
        <v>-0.273339317773788</v>
      </c>
      <c r="N76" s="3">
        <f t="shared" si="6"/>
        <v>2020</v>
      </c>
      <c r="O76" s="3" t="str">
        <f t="shared" si="7"/>
        <v>April</v>
      </c>
      <c r="P76" s="3" t="s">
        <v>18</v>
      </c>
      <c r="Q76" s="3"/>
    </row>
    <row r="77" spans="1:17" hidden="1" x14ac:dyDescent="0.3">
      <c r="A77" s="2">
        <v>43891</v>
      </c>
      <c r="B77" s="3" t="s">
        <v>12</v>
      </c>
      <c r="C77" s="3" t="s">
        <v>13</v>
      </c>
      <c r="D77" s="3" t="s">
        <v>14</v>
      </c>
      <c r="E77" s="3" t="s">
        <v>15</v>
      </c>
      <c r="F77" s="3">
        <v>33098.529411764699</v>
      </c>
      <c r="G77" s="3" t="s">
        <v>16</v>
      </c>
      <c r="H77" s="3" t="s">
        <v>17</v>
      </c>
      <c r="I77" s="3">
        <f>IF(C77="India",1,IF(C77="USA",INDEX('Currency Master'!B:B,MATCH(DATE(N77,MONTH(DATEVALUE(O77&amp;" 1")),1),'Currency Master'!A:A,0)),IF(C77="Australia",INDEX('Currency Master'!T:T,MATCH(DATE(N77,MONTH(DATEVALUE(O77&amp;" 1")),1),'Currency Master'!A:A,0)),"")))</f>
        <v>1</v>
      </c>
      <c r="J77" s="3">
        <f t="shared" si="4"/>
        <v>33098.529411764699</v>
      </c>
      <c r="K77" s="3" t="str">
        <f t="shared" si="5"/>
        <v>₹/Candy</v>
      </c>
      <c r="L77" s="3">
        <v>-0.12864211105002701</v>
      </c>
      <c r="M77" s="3">
        <v>-0.247388414055081</v>
      </c>
      <c r="N77" s="3">
        <f t="shared" si="6"/>
        <v>2020</v>
      </c>
      <c r="O77" s="3" t="str">
        <f t="shared" si="7"/>
        <v>March</v>
      </c>
      <c r="P77" s="3" t="s">
        <v>18</v>
      </c>
      <c r="Q77" s="3"/>
    </row>
    <row r="78" spans="1:17" hidden="1" x14ac:dyDescent="0.3">
      <c r="A78" s="2">
        <v>43862</v>
      </c>
      <c r="B78" s="3" t="s">
        <v>12</v>
      </c>
      <c r="C78" s="3" t="s">
        <v>13</v>
      </c>
      <c r="D78" s="3" t="s">
        <v>14</v>
      </c>
      <c r="E78" s="3" t="s">
        <v>15</v>
      </c>
      <c r="F78" s="3">
        <v>37985</v>
      </c>
      <c r="G78" s="3" t="s">
        <v>16</v>
      </c>
      <c r="H78" s="3" t="s">
        <v>17</v>
      </c>
      <c r="I78" s="3">
        <f>IF(C78="India",1,IF(C78="USA",INDEX('Currency Master'!B:B,MATCH(DATE(N78,MONTH(DATEVALUE(O78&amp;" 1")),1),'Currency Master'!A:A,0)),IF(C78="Australia",INDEX('Currency Master'!T:T,MATCH(DATE(N78,MONTH(DATEVALUE(O78&amp;" 1")),1),'Currency Master'!A:A,0)),"")))</f>
        <v>1</v>
      </c>
      <c r="J78" s="3">
        <f t="shared" si="4"/>
        <v>37985</v>
      </c>
      <c r="K78" s="3" t="str">
        <f t="shared" si="5"/>
        <v>₹/Candy</v>
      </c>
      <c r="L78" s="3">
        <v>-5.11215440792906E-2</v>
      </c>
      <c r="M78" s="3">
        <v>-9.4123505976095798E-2</v>
      </c>
      <c r="N78" s="3">
        <f t="shared" si="6"/>
        <v>2020</v>
      </c>
      <c r="O78" s="3" t="str">
        <f t="shared" si="7"/>
        <v>February</v>
      </c>
      <c r="P78" s="3" t="s">
        <v>18</v>
      </c>
      <c r="Q78" s="3"/>
    </row>
    <row r="79" spans="1:17" hidden="1" x14ac:dyDescent="0.3">
      <c r="A79" s="2">
        <v>43831</v>
      </c>
      <c r="B79" s="3" t="s">
        <v>12</v>
      </c>
      <c r="C79" s="3" t="s">
        <v>13</v>
      </c>
      <c r="D79" s="3" t="s">
        <v>14</v>
      </c>
      <c r="E79" s="3" t="s">
        <v>15</v>
      </c>
      <c r="F79" s="3">
        <v>40031.470588235301</v>
      </c>
      <c r="G79" s="3" t="s">
        <v>16</v>
      </c>
      <c r="H79" s="3" t="s">
        <v>17</v>
      </c>
      <c r="I79" s="3">
        <f>IF(C79="India",1,IF(C79="USA",INDEX('Currency Master'!B:B,MATCH(DATE(N79,MONTH(DATEVALUE(O79&amp;" 1")),1),'Currency Master'!A:A,0)),IF(C79="Australia",INDEX('Currency Master'!T:T,MATCH(DATE(N79,MONTH(DATEVALUE(O79&amp;" 1")),1),'Currency Master'!A:A,0)),"")))</f>
        <v>1</v>
      </c>
      <c r="J79" s="3">
        <f t="shared" si="4"/>
        <v>40031.470588235301</v>
      </c>
      <c r="K79" s="3" t="str">
        <f t="shared" si="5"/>
        <v>₹/Candy</v>
      </c>
      <c r="L79" s="3">
        <v>-8.2772891877910294E-3</v>
      </c>
      <c r="M79" s="3">
        <v>-6.7607003891050704E-2</v>
      </c>
      <c r="N79" s="3">
        <f t="shared" si="6"/>
        <v>2020</v>
      </c>
      <c r="O79" s="3" t="str">
        <f t="shared" si="7"/>
        <v>January</v>
      </c>
      <c r="P79" s="3" t="s">
        <v>18</v>
      </c>
      <c r="Q79" s="3"/>
    </row>
    <row r="80" spans="1:17" hidden="1" x14ac:dyDescent="0.3">
      <c r="A80" s="2">
        <v>43800</v>
      </c>
      <c r="B80" s="3" t="s">
        <v>12</v>
      </c>
      <c r="C80" s="3" t="s">
        <v>13</v>
      </c>
      <c r="D80" s="3" t="s">
        <v>14</v>
      </c>
      <c r="E80" s="3" t="s">
        <v>15</v>
      </c>
      <c r="F80" s="3">
        <v>40365.588235294097</v>
      </c>
      <c r="G80" s="3" t="s">
        <v>16</v>
      </c>
      <c r="H80" s="3" t="s">
        <v>17</v>
      </c>
      <c r="I80" s="3">
        <f>IF(C80="India",1,IF(C80="USA",INDEX('Currency Master'!B:B,MATCH(DATE(N80,MONTH(DATEVALUE(O80&amp;" 1")),1),'Currency Master'!A:A,0)),IF(C80="Australia",INDEX('Currency Master'!T:T,MATCH(DATE(N80,MONTH(DATEVALUE(O80&amp;" 1")),1),'Currency Master'!A:A,0)),"")))</f>
        <v>1</v>
      </c>
      <c r="J80" s="3">
        <f t="shared" si="4"/>
        <v>40365.588235294097</v>
      </c>
      <c r="K80" s="3" t="str">
        <f t="shared" si="5"/>
        <v>₹/Candy</v>
      </c>
      <c r="L80" s="3">
        <v>1.4698162729659001E-2</v>
      </c>
      <c r="M80" s="3">
        <v>-6.9330765527202701E-2</v>
      </c>
      <c r="N80" s="3">
        <f t="shared" si="6"/>
        <v>2019</v>
      </c>
      <c r="O80" s="3" t="str">
        <f t="shared" si="7"/>
        <v>December</v>
      </c>
      <c r="P80" s="3" t="s">
        <v>18</v>
      </c>
      <c r="Q80" s="3"/>
    </row>
    <row r="81" spans="1:17" hidden="1" x14ac:dyDescent="0.3">
      <c r="A81" s="2">
        <v>43770</v>
      </c>
      <c r="B81" s="3" t="s">
        <v>12</v>
      </c>
      <c r="C81" s="3" t="s">
        <v>13</v>
      </c>
      <c r="D81" s="3" t="s">
        <v>14</v>
      </c>
      <c r="E81" s="3" t="s">
        <v>15</v>
      </c>
      <c r="F81" s="3">
        <v>39780.882352941197</v>
      </c>
      <c r="G81" s="3" t="s">
        <v>16</v>
      </c>
      <c r="H81" s="3" t="s">
        <v>17</v>
      </c>
      <c r="I81" s="3">
        <f>IF(C81="India",1,IF(C81="USA",INDEX('Currency Master'!B:B,MATCH(DATE(N81,MONTH(DATEVALUE(O81&amp;" 1")),1),'Currency Master'!A:A,0)),IF(C81="Australia",INDEX('Currency Master'!T:T,MATCH(DATE(N81,MONTH(DATEVALUE(O81&amp;" 1")),1),'Currency Master'!A:A,0)),"")))</f>
        <v>1</v>
      </c>
      <c r="J81" s="3">
        <f t="shared" si="4"/>
        <v>39780.882352941197</v>
      </c>
      <c r="K81" s="3" t="str">
        <f t="shared" si="5"/>
        <v>₹/Candy</v>
      </c>
      <c r="L81" s="3">
        <v>-2.3076923076923099E-2</v>
      </c>
      <c r="M81" s="3">
        <v>-0.105213715359324</v>
      </c>
      <c r="N81" s="3">
        <f t="shared" si="6"/>
        <v>2019</v>
      </c>
      <c r="O81" s="3" t="str">
        <f t="shared" si="7"/>
        <v>November</v>
      </c>
      <c r="P81" s="3" t="s">
        <v>18</v>
      </c>
      <c r="Q81" s="3"/>
    </row>
    <row r="82" spans="1:17" hidden="1" x14ac:dyDescent="0.3">
      <c r="A82" s="2">
        <v>43739</v>
      </c>
      <c r="B82" s="3" t="s">
        <v>12</v>
      </c>
      <c r="C82" s="3" t="s">
        <v>13</v>
      </c>
      <c r="D82" s="3" t="s">
        <v>14</v>
      </c>
      <c r="E82" s="3" t="s">
        <v>15</v>
      </c>
      <c r="F82" s="3">
        <v>40720.588235294097</v>
      </c>
      <c r="G82" s="3" t="s">
        <v>16</v>
      </c>
      <c r="H82" s="3" t="s">
        <v>17</v>
      </c>
      <c r="I82" s="3">
        <f>IF(C82="India",1,IF(C82="USA",INDEX('Currency Master'!B:B,MATCH(DATE(N82,MONTH(DATEVALUE(O82&amp;" 1")),1),'Currency Master'!A:A,0)),IF(C82="Australia",INDEX('Currency Master'!T:T,MATCH(DATE(N82,MONTH(DATEVALUE(O82&amp;" 1")),1),'Currency Master'!A:A,0)),"")))</f>
        <v>1</v>
      </c>
      <c r="J82" s="3">
        <f t="shared" si="4"/>
        <v>40720.588235294097</v>
      </c>
      <c r="K82" s="3" t="str">
        <f t="shared" si="5"/>
        <v>₹/Candy</v>
      </c>
      <c r="L82" s="3">
        <v>-1.86210367388021E-2</v>
      </c>
      <c r="M82" s="3">
        <v>-0.112829845313922</v>
      </c>
      <c r="N82" s="3">
        <f t="shared" si="6"/>
        <v>2019</v>
      </c>
      <c r="O82" s="3" t="str">
        <f t="shared" si="7"/>
        <v>October</v>
      </c>
      <c r="P82" s="3" t="s">
        <v>18</v>
      </c>
      <c r="Q82" s="3"/>
    </row>
    <row r="83" spans="1:17" hidden="1" x14ac:dyDescent="0.3">
      <c r="A83" s="2">
        <v>43709</v>
      </c>
      <c r="B83" s="3" t="s">
        <v>12</v>
      </c>
      <c r="C83" s="3" t="s">
        <v>13</v>
      </c>
      <c r="D83" s="3" t="s">
        <v>14</v>
      </c>
      <c r="E83" s="3" t="s">
        <v>15</v>
      </c>
      <c r="F83" s="3">
        <v>41493.2352941176</v>
      </c>
      <c r="G83" s="3" t="s">
        <v>16</v>
      </c>
      <c r="H83" s="3" t="s">
        <v>17</v>
      </c>
      <c r="I83" s="3">
        <f>IF(C83="India",1,IF(C83="USA",INDEX('Currency Master'!B:B,MATCH(DATE(N83,MONTH(DATEVALUE(O83&amp;" 1")),1),'Currency Master'!A:A,0)),IF(C83="Australia",INDEX('Currency Master'!T:T,MATCH(DATE(N83,MONTH(DATEVALUE(O83&amp;" 1")),1),'Currency Master'!A:A,0)),"")))</f>
        <v>1</v>
      </c>
      <c r="J83" s="3">
        <f t="shared" si="4"/>
        <v>41493.2352941176</v>
      </c>
      <c r="K83" s="3" t="str">
        <f t="shared" si="5"/>
        <v>₹/Candy</v>
      </c>
      <c r="L83" s="3">
        <v>-4.5170591061989403E-2</v>
      </c>
      <c r="M83" s="3">
        <v>-9.0201465201465297E-2</v>
      </c>
      <c r="N83" s="3">
        <f t="shared" si="6"/>
        <v>2019</v>
      </c>
      <c r="O83" s="3" t="str">
        <f t="shared" si="7"/>
        <v>September</v>
      </c>
      <c r="P83" s="3" t="s">
        <v>18</v>
      </c>
      <c r="Q83" s="3"/>
    </row>
    <row r="84" spans="1:17" hidden="1" x14ac:dyDescent="0.3">
      <c r="A84" s="2">
        <v>43678</v>
      </c>
      <c r="B84" s="3" t="s">
        <v>12</v>
      </c>
      <c r="C84" s="3" t="s">
        <v>13</v>
      </c>
      <c r="D84" s="3" t="s">
        <v>14</v>
      </c>
      <c r="E84" s="3" t="s">
        <v>15</v>
      </c>
      <c r="F84" s="3">
        <v>43456.176470588201</v>
      </c>
      <c r="G84" s="3" t="s">
        <v>16</v>
      </c>
      <c r="H84" s="3" t="s">
        <v>17</v>
      </c>
      <c r="I84" s="3">
        <f>IF(C84="India",1,IF(C84="USA",INDEX('Currency Master'!B:B,MATCH(DATE(N84,MONTH(DATEVALUE(O84&amp;" 1")),1),'Currency Master'!A:A,0)),IF(C84="Australia",INDEX('Currency Master'!T:T,MATCH(DATE(N84,MONTH(DATEVALUE(O84&amp;" 1")),1),'Currency Master'!A:A,0)),"")))</f>
        <v>1</v>
      </c>
      <c r="J84" s="3">
        <f t="shared" si="4"/>
        <v>43456.176470588201</v>
      </c>
      <c r="K84" s="3" t="str">
        <f t="shared" si="5"/>
        <v>₹/Candy</v>
      </c>
      <c r="L84" s="3">
        <v>1.5121951219512E-2</v>
      </c>
      <c r="M84" s="3">
        <v>-8.9676290463692201E-2</v>
      </c>
      <c r="N84" s="3">
        <f t="shared" si="6"/>
        <v>2019</v>
      </c>
      <c r="O84" s="3" t="str">
        <f t="shared" si="7"/>
        <v>August</v>
      </c>
      <c r="P84" s="3" t="s">
        <v>18</v>
      </c>
      <c r="Q84" s="3"/>
    </row>
    <row r="85" spans="1:17" hidden="1" x14ac:dyDescent="0.3">
      <c r="A85" s="2">
        <v>43647</v>
      </c>
      <c r="B85" s="3" t="s">
        <v>12</v>
      </c>
      <c r="C85" s="3" t="s">
        <v>13</v>
      </c>
      <c r="D85" s="3" t="s">
        <v>14</v>
      </c>
      <c r="E85" s="3" t="s">
        <v>15</v>
      </c>
      <c r="F85" s="3">
        <v>42808.823529411799</v>
      </c>
      <c r="G85" s="3" t="s">
        <v>16</v>
      </c>
      <c r="H85" s="3" t="s">
        <v>17</v>
      </c>
      <c r="I85" s="3">
        <f>IF(C85="India",1,IF(C85="USA",INDEX('Currency Master'!B:B,MATCH(DATE(N85,MONTH(DATEVALUE(O85&amp;" 1")),1),'Currency Master'!A:A,0)),IF(C85="Australia",INDEX('Currency Master'!T:T,MATCH(DATE(N85,MONTH(DATEVALUE(O85&amp;" 1")),1),'Currency Master'!A:A,0)),"")))</f>
        <v>1</v>
      </c>
      <c r="J85" s="3">
        <f t="shared" si="4"/>
        <v>42808.823529411799</v>
      </c>
      <c r="K85" s="3" t="str">
        <f t="shared" si="5"/>
        <v>₹/Candy</v>
      </c>
      <c r="L85" s="3">
        <v>-8.3594099240053704E-2</v>
      </c>
      <c r="M85" s="3">
        <v>-7.6992345790184505E-2</v>
      </c>
      <c r="N85" s="3">
        <f t="shared" si="6"/>
        <v>2019</v>
      </c>
      <c r="O85" s="3" t="str">
        <f t="shared" si="7"/>
        <v>July</v>
      </c>
      <c r="P85" s="3" t="s">
        <v>18</v>
      </c>
      <c r="Q85" s="3"/>
    </row>
    <row r="86" spans="1:17" hidden="1" x14ac:dyDescent="0.3">
      <c r="A86" s="2">
        <v>43617</v>
      </c>
      <c r="B86" s="3" t="s">
        <v>12</v>
      </c>
      <c r="C86" s="3" t="s">
        <v>13</v>
      </c>
      <c r="D86" s="3" t="s">
        <v>14</v>
      </c>
      <c r="E86" s="3" t="s">
        <v>15</v>
      </c>
      <c r="F86" s="3">
        <v>46713.823529411799</v>
      </c>
      <c r="G86" s="3" t="s">
        <v>16</v>
      </c>
      <c r="H86" s="3" t="s">
        <v>17</v>
      </c>
      <c r="I86" s="3">
        <f>IF(C86="India",1,IF(C86="USA",INDEX('Currency Master'!B:B,MATCH(DATE(N86,MONTH(DATEVALUE(O86&amp;" 1")),1),'Currency Master'!A:A,0)),IF(C86="Australia",INDEX('Currency Master'!T:T,MATCH(DATE(N86,MONTH(DATEVALUE(O86&amp;" 1")),1),'Currency Master'!A:A,0)),"")))</f>
        <v>1</v>
      </c>
      <c r="J86" s="3">
        <f t="shared" si="4"/>
        <v>46713.823529411799</v>
      </c>
      <c r="K86" s="3" t="str">
        <f t="shared" si="5"/>
        <v>₹/Candy</v>
      </c>
      <c r="L86" s="3">
        <v>2.94523699953981E-2</v>
      </c>
      <c r="M86" s="3">
        <v>2.0063839489284301E-2</v>
      </c>
      <c r="N86" s="3">
        <f t="shared" si="6"/>
        <v>2019</v>
      </c>
      <c r="O86" s="3" t="str">
        <f t="shared" si="7"/>
        <v>June</v>
      </c>
      <c r="P86" s="3" t="s">
        <v>18</v>
      </c>
      <c r="Q86" s="3"/>
    </row>
    <row r="87" spans="1:17" hidden="1" x14ac:dyDescent="0.3">
      <c r="A87" s="2">
        <v>43586</v>
      </c>
      <c r="B87" s="3" t="s">
        <v>12</v>
      </c>
      <c r="C87" s="3" t="s">
        <v>13</v>
      </c>
      <c r="D87" s="3" t="s">
        <v>14</v>
      </c>
      <c r="E87" s="3" t="s">
        <v>15</v>
      </c>
      <c r="F87" s="3">
        <v>45377.352941176498</v>
      </c>
      <c r="G87" s="3" t="s">
        <v>16</v>
      </c>
      <c r="H87" s="3" t="s">
        <v>17</v>
      </c>
      <c r="I87" s="3">
        <f>IF(C87="India",1,IF(C87="USA",INDEX('Currency Master'!B:B,MATCH(DATE(N87,MONTH(DATEVALUE(O87&amp;" 1")),1),'Currency Master'!A:A,0)),IF(C87="Australia",INDEX('Currency Master'!T:T,MATCH(DATE(N87,MONTH(DATEVALUE(O87&amp;" 1")),1),'Currency Master'!A:A,0)),"")))</f>
        <v>1</v>
      </c>
      <c r="J87" s="3">
        <f t="shared" si="4"/>
        <v>45377.352941176498</v>
      </c>
      <c r="K87" s="3" t="str">
        <f t="shared" si="5"/>
        <v>₹/Candy</v>
      </c>
      <c r="L87" s="3">
        <v>-2.4685816876122101E-2</v>
      </c>
      <c r="M87" s="3">
        <v>-9.1954022988516304E-4</v>
      </c>
      <c r="N87" s="3">
        <f t="shared" si="6"/>
        <v>2019</v>
      </c>
      <c r="O87" s="3" t="str">
        <f t="shared" si="7"/>
        <v>May</v>
      </c>
      <c r="P87" s="3" t="s">
        <v>18</v>
      </c>
      <c r="Q87" s="3"/>
    </row>
    <row r="88" spans="1:17" hidden="1" x14ac:dyDescent="0.3">
      <c r="A88" s="2">
        <v>43556</v>
      </c>
      <c r="B88" s="3" t="s">
        <v>12</v>
      </c>
      <c r="C88" s="3" t="s">
        <v>13</v>
      </c>
      <c r="D88" s="3" t="s">
        <v>14</v>
      </c>
      <c r="E88" s="3" t="s">
        <v>15</v>
      </c>
      <c r="F88" s="3">
        <v>46525.882352941197</v>
      </c>
      <c r="G88" s="3" t="s">
        <v>16</v>
      </c>
      <c r="H88" s="3" t="s">
        <v>17</v>
      </c>
      <c r="I88" s="3">
        <f>IF(C88="India",1,IF(C88="USA",INDEX('Currency Master'!B:B,MATCH(DATE(N88,MONTH(DATEVALUE(O88&amp;" 1")),1),'Currency Master'!A:A,0)),IF(C88="Australia",INDEX('Currency Master'!T:T,MATCH(DATE(N88,MONTH(DATEVALUE(O88&amp;" 1")),1),'Currency Master'!A:A,0)),"")))</f>
        <v>1</v>
      </c>
      <c r="J88" s="3">
        <f t="shared" si="4"/>
        <v>46525.882352941197</v>
      </c>
      <c r="K88" s="3" t="str">
        <f t="shared" si="5"/>
        <v>₹/Candy</v>
      </c>
      <c r="L88" s="3">
        <v>5.7929724596391202E-2</v>
      </c>
      <c r="M88" s="3">
        <v>9.0553108174253397E-2</v>
      </c>
      <c r="N88" s="3">
        <f t="shared" si="6"/>
        <v>2019</v>
      </c>
      <c r="O88" s="3" t="str">
        <f t="shared" si="7"/>
        <v>April</v>
      </c>
      <c r="P88" s="3" t="s">
        <v>18</v>
      </c>
      <c r="Q88" s="3"/>
    </row>
    <row r="89" spans="1:17" hidden="1" x14ac:dyDescent="0.3">
      <c r="A89" s="2">
        <v>43525</v>
      </c>
      <c r="B89" s="3" t="s">
        <v>12</v>
      </c>
      <c r="C89" s="3" t="s">
        <v>13</v>
      </c>
      <c r="D89" s="3" t="s">
        <v>14</v>
      </c>
      <c r="E89" s="3" t="s">
        <v>15</v>
      </c>
      <c r="F89" s="3">
        <v>43978.2352941176</v>
      </c>
      <c r="G89" s="3" t="s">
        <v>16</v>
      </c>
      <c r="H89" s="3" t="s">
        <v>17</v>
      </c>
      <c r="I89" s="3">
        <f>IF(C89="India",1,IF(C89="USA",INDEX('Currency Master'!B:B,MATCH(DATE(N89,MONTH(DATEVALUE(O89&amp;" 1")),1),'Currency Master'!A:A,0)),IF(C89="Australia",INDEX('Currency Master'!T:T,MATCH(DATE(N89,MONTH(DATEVALUE(O89&amp;" 1")),1),'Currency Master'!A:A,0)),"")))</f>
        <v>1</v>
      </c>
      <c r="J89" s="3">
        <f t="shared" si="4"/>
        <v>43978.2352941176</v>
      </c>
      <c r="K89" s="3" t="str">
        <f t="shared" si="5"/>
        <v>₹/Candy</v>
      </c>
      <c r="L89" s="3">
        <v>4.88047808764938E-2</v>
      </c>
      <c r="M89" s="3">
        <v>4.3090638930163301E-2</v>
      </c>
      <c r="N89" s="3">
        <f t="shared" si="6"/>
        <v>2019</v>
      </c>
      <c r="O89" s="3" t="str">
        <f t="shared" si="7"/>
        <v>March</v>
      </c>
      <c r="P89" s="3" t="s">
        <v>18</v>
      </c>
      <c r="Q89" s="3"/>
    </row>
    <row r="90" spans="1:17" hidden="1" x14ac:dyDescent="0.3">
      <c r="A90" s="2">
        <v>43497</v>
      </c>
      <c r="B90" s="3" t="s">
        <v>12</v>
      </c>
      <c r="C90" s="3" t="s">
        <v>13</v>
      </c>
      <c r="D90" s="3" t="s">
        <v>14</v>
      </c>
      <c r="E90" s="3" t="s">
        <v>15</v>
      </c>
      <c r="F90" s="3">
        <v>41931.7647058824</v>
      </c>
      <c r="G90" s="3" t="s">
        <v>16</v>
      </c>
      <c r="H90" s="3" t="s">
        <v>17</v>
      </c>
      <c r="I90" s="3">
        <f>IF(C90="India",1,IF(C90="USA",INDEX('Currency Master'!B:B,MATCH(DATE(N90,MONTH(DATEVALUE(O90&amp;" 1")),1),'Currency Master'!A:A,0)),IF(C90="Australia",INDEX('Currency Master'!T:T,MATCH(DATE(N90,MONTH(DATEVALUE(O90&amp;" 1")),1),'Currency Master'!A:A,0)),"")))</f>
        <v>1</v>
      </c>
      <c r="J90" s="3">
        <f t="shared" si="4"/>
        <v>41931.7647058824</v>
      </c>
      <c r="K90" s="3" t="str">
        <f t="shared" si="5"/>
        <v>₹/Candy</v>
      </c>
      <c r="L90" s="3">
        <v>-2.3346303501945401E-2</v>
      </c>
      <c r="M90" s="3">
        <v>-1.3752455795677699E-2</v>
      </c>
      <c r="N90" s="3">
        <f t="shared" si="6"/>
        <v>2019</v>
      </c>
      <c r="O90" s="3" t="str">
        <f t="shared" si="7"/>
        <v>February</v>
      </c>
      <c r="P90" s="3" t="s">
        <v>18</v>
      </c>
      <c r="Q90" s="3"/>
    </row>
    <row r="91" spans="1:17" hidden="1" x14ac:dyDescent="0.3">
      <c r="A91" s="2">
        <v>43466</v>
      </c>
      <c r="B91" s="3" t="s">
        <v>12</v>
      </c>
      <c r="C91" s="3" t="s">
        <v>13</v>
      </c>
      <c r="D91" s="3" t="s">
        <v>14</v>
      </c>
      <c r="E91" s="3" t="s">
        <v>15</v>
      </c>
      <c r="F91" s="3">
        <v>42934.117647058803</v>
      </c>
      <c r="G91" s="3" t="s">
        <v>16</v>
      </c>
      <c r="H91" s="3" t="s">
        <v>17</v>
      </c>
      <c r="I91" s="3">
        <f>IF(C91="India",1,IF(C91="USA",INDEX('Currency Master'!B:B,MATCH(DATE(N91,MONTH(DATEVALUE(O91&amp;" 1")),1),'Currency Master'!A:A,0)),IF(C91="Australia",INDEX('Currency Master'!T:T,MATCH(DATE(N91,MONTH(DATEVALUE(O91&amp;" 1")),1),'Currency Master'!A:A,0)),"")))</f>
        <v>1</v>
      </c>
      <c r="J91" s="3">
        <f t="shared" si="4"/>
        <v>42934.117647058803</v>
      </c>
      <c r="K91" s="3" t="str">
        <f t="shared" si="5"/>
        <v>₹/Candy</v>
      </c>
      <c r="L91" s="3">
        <v>-1.01107366393838E-2</v>
      </c>
      <c r="M91" s="3">
        <v>4.6310432569974601E-2</v>
      </c>
      <c r="N91" s="3">
        <f t="shared" si="6"/>
        <v>2019</v>
      </c>
      <c r="O91" s="3" t="str">
        <f t="shared" si="7"/>
        <v>January</v>
      </c>
      <c r="P91" s="3" t="s">
        <v>18</v>
      </c>
      <c r="Q91" s="3"/>
    </row>
    <row r="92" spans="1:17" hidden="1" x14ac:dyDescent="0.3">
      <c r="A92" s="2">
        <v>43435</v>
      </c>
      <c r="B92" s="3" t="s">
        <v>12</v>
      </c>
      <c r="C92" s="3" t="s">
        <v>13</v>
      </c>
      <c r="D92" s="3" t="s">
        <v>14</v>
      </c>
      <c r="E92" s="3" t="s">
        <v>15</v>
      </c>
      <c r="F92" s="3">
        <v>43372.647058823502</v>
      </c>
      <c r="G92" s="3" t="s">
        <v>16</v>
      </c>
      <c r="H92" s="3" t="s">
        <v>17</v>
      </c>
      <c r="I92" s="3">
        <f>IF(C92="India",1,IF(C92="USA",INDEX('Currency Master'!B:B,MATCH(DATE(N92,MONTH(DATEVALUE(O92&amp;" 1")),1),'Currency Master'!A:A,0)),IF(C92="Australia",INDEX('Currency Master'!T:T,MATCH(DATE(N92,MONTH(DATEVALUE(O92&amp;" 1")),1),'Currency Master'!A:A,0)),"")))</f>
        <v>1</v>
      </c>
      <c r="J92" s="3">
        <f t="shared" si="4"/>
        <v>43372.647058823502</v>
      </c>
      <c r="K92" s="3" t="str">
        <f t="shared" si="5"/>
        <v>₹/Candy</v>
      </c>
      <c r="L92" s="3">
        <v>-2.4424612494128601E-2</v>
      </c>
      <c r="M92" s="3">
        <v>3.3847685415629797E-2</v>
      </c>
      <c r="N92" s="3">
        <f t="shared" si="6"/>
        <v>2018</v>
      </c>
      <c r="O92" s="3" t="str">
        <f t="shared" si="7"/>
        <v>December</v>
      </c>
      <c r="P92" s="3" t="s">
        <v>18</v>
      </c>
      <c r="Q92" s="3"/>
    </row>
    <row r="93" spans="1:17" hidden="1" x14ac:dyDescent="0.3">
      <c r="A93" s="2">
        <v>43405</v>
      </c>
      <c r="B93" s="3" t="s">
        <v>12</v>
      </c>
      <c r="C93" s="3" t="s">
        <v>13</v>
      </c>
      <c r="D93" s="3" t="s">
        <v>14</v>
      </c>
      <c r="E93" s="3" t="s">
        <v>15</v>
      </c>
      <c r="F93" s="3">
        <v>44458.529411764699</v>
      </c>
      <c r="G93" s="3" t="s">
        <v>16</v>
      </c>
      <c r="H93" s="3" t="s">
        <v>17</v>
      </c>
      <c r="I93" s="3">
        <f>IF(C93="India",1,IF(C93="USA",INDEX('Currency Master'!B:B,MATCH(DATE(N93,MONTH(DATEVALUE(O93&amp;" 1")),1),'Currency Master'!A:A,0)),IF(C93="Australia",INDEX('Currency Master'!T:T,MATCH(DATE(N93,MONTH(DATEVALUE(O93&amp;" 1")),1),'Currency Master'!A:A,0)),"")))</f>
        <v>1</v>
      </c>
      <c r="J93" s="3">
        <f t="shared" si="4"/>
        <v>44458.529411764699</v>
      </c>
      <c r="K93" s="3" t="str">
        <f t="shared" si="5"/>
        <v>₹/Candy</v>
      </c>
      <c r="L93" s="3">
        <v>-3.1392174704276597E-2</v>
      </c>
      <c r="M93" s="3">
        <v>0.152056277056277</v>
      </c>
      <c r="N93" s="3">
        <f t="shared" si="6"/>
        <v>2018</v>
      </c>
      <c r="O93" s="3" t="str">
        <f t="shared" si="7"/>
        <v>November</v>
      </c>
      <c r="P93" s="3" t="s">
        <v>18</v>
      </c>
      <c r="Q93" s="3"/>
    </row>
    <row r="94" spans="1:17" hidden="1" x14ac:dyDescent="0.3">
      <c r="A94" s="2">
        <v>43374</v>
      </c>
      <c r="B94" s="3" t="s">
        <v>12</v>
      </c>
      <c r="C94" s="3" t="s">
        <v>13</v>
      </c>
      <c r="D94" s="3" t="s">
        <v>14</v>
      </c>
      <c r="E94" s="3" t="s">
        <v>15</v>
      </c>
      <c r="F94" s="3">
        <v>45899.411764705903</v>
      </c>
      <c r="G94" s="3" t="s">
        <v>16</v>
      </c>
      <c r="H94" s="3" t="s">
        <v>17</v>
      </c>
      <c r="I94" s="3">
        <f>IF(C94="India",1,IF(C94="USA",INDEX('Currency Master'!B:B,MATCH(DATE(N94,MONTH(DATEVALUE(O94&amp;" 1")),1),'Currency Master'!A:A,0)),IF(C94="Australia",INDEX('Currency Master'!T:T,MATCH(DATE(N94,MONTH(DATEVALUE(O94&amp;" 1")),1),'Currency Master'!A:A,0)),"")))</f>
        <v>1</v>
      </c>
      <c r="J94" s="3">
        <f t="shared" si="4"/>
        <v>45899.411764705903</v>
      </c>
      <c r="K94" s="3" t="str">
        <f t="shared" si="5"/>
        <v>₹/Candy</v>
      </c>
      <c r="L94" s="3">
        <v>6.4102564102563901E-3</v>
      </c>
      <c r="M94" s="3">
        <v>0.15320041972717699</v>
      </c>
      <c r="N94" s="3">
        <f t="shared" si="6"/>
        <v>2018</v>
      </c>
      <c r="O94" s="3" t="str">
        <f t="shared" si="7"/>
        <v>October</v>
      </c>
      <c r="P94" s="3" t="s">
        <v>18</v>
      </c>
      <c r="Q94" s="3"/>
    </row>
    <row r="95" spans="1:17" hidden="1" x14ac:dyDescent="0.3">
      <c r="A95" s="2">
        <v>43344</v>
      </c>
      <c r="B95" s="3" t="s">
        <v>12</v>
      </c>
      <c r="C95" s="3" t="s">
        <v>13</v>
      </c>
      <c r="D95" s="3" t="s">
        <v>14</v>
      </c>
      <c r="E95" s="3" t="s">
        <v>15</v>
      </c>
      <c r="F95" s="3">
        <v>45607.058823529398</v>
      </c>
      <c r="G95" s="3" t="s">
        <v>16</v>
      </c>
      <c r="H95" s="3" t="s">
        <v>17</v>
      </c>
      <c r="I95" s="3">
        <f>IF(C95="India",1,IF(C95="USA",INDEX('Currency Master'!B:B,MATCH(DATE(N95,MONTH(DATEVALUE(O95&amp;" 1")),1),'Currency Master'!A:A,0)),IF(C95="Australia",INDEX('Currency Master'!T:T,MATCH(DATE(N95,MONTH(DATEVALUE(O95&amp;" 1")),1),'Currency Master'!A:A,0)),"")))</f>
        <v>1</v>
      </c>
      <c r="J95" s="3">
        <f t="shared" si="4"/>
        <v>45607.058823529398</v>
      </c>
      <c r="K95" s="3" t="str">
        <f t="shared" si="5"/>
        <v>₹/Candy</v>
      </c>
      <c r="L95" s="3">
        <v>-4.4619422572178401E-2</v>
      </c>
      <c r="M95" s="3">
        <v>0.17862924986508399</v>
      </c>
      <c r="N95" s="3">
        <f t="shared" si="6"/>
        <v>2018</v>
      </c>
      <c r="O95" s="3" t="str">
        <f t="shared" si="7"/>
        <v>September</v>
      </c>
      <c r="P95" s="3" t="s">
        <v>18</v>
      </c>
      <c r="Q95" s="3"/>
    </row>
    <row r="96" spans="1:17" hidden="1" x14ac:dyDescent="0.3">
      <c r="A96" s="2">
        <v>43313</v>
      </c>
      <c r="B96" s="3" t="s">
        <v>12</v>
      </c>
      <c r="C96" s="3" t="s">
        <v>13</v>
      </c>
      <c r="D96" s="3" t="s">
        <v>14</v>
      </c>
      <c r="E96" s="3" t="s">
        <v>15</v>
      </c>
      <c r="F96" s="3">
        <v>47737.058823529398</v>
      </c>
      <c r="G96" s="3" t="s">
        <v>16</v>
      </c>
      <c r="H96" s="3" t="s">
        <v>17</v>
      </c>
      <c r="I96" s="3">
        <f>IF(C96="India",1,IF(C96="USA",INDEX('Currency Master'!B:B,MATCH(DATE(N96,MONTH(DATEVALUE(O96&amp;" 1")),1),'Currency Master'!A:A,0)),IF(C96="Australia",INDEX('Currency Master'!T:T,MATCH(DATE(N96,MONTH(DATEVALUE(O96&amp;" 1")),1),'Currency Master'!A:A,0)),"")))</f>
        <v>1</v>
      </c>
      <c r="J96" s="3">
        <f t="shared" si="4"/>
        <v>47737.058823529398</v>
      </c>
      <c r="K96" s="3" t="str">
        <f t="shared" si="5"/>
        <v>₹/Candy</v>
      </c>
      <c r="L96" s="3">
        <v>2.9266096352994E-2</v>
      </c>
      <c r="M96" s="3">
        <v>0.22573726541555</v>
      </c>
      <c r="N96" s="3">
        <f t="shared" si="6"/>
        <v>2018</v>
      </c>
      <c r="O96" s="3" t="str">
        <f t="shared" si="7"/>
        <v>August</v>
      </c>
      <c r="P96" s="3" t="s">
        <v>18</v>
      </c>
      <c r="Q96" s="3"/>
    </row>
    <row r="97" spans="1:17" hidden="1" x14ac:dyDescent="0.3">
      <c r="A97" s="2">
        <v>43282</v>
      </c>
      <c r="B97" s="3" t="s">
        <v>12</v>
      </c>
      <c r="C97" s="3" t="s">
        <v>13</v>
      </c>
      <c r="D97" s="3" t="s">
        <v>14</v>
      </c>
      <c r="E97" s="3" t="s">
        <v>15</v>
      </c>
      <c r="F97" s="3">
        <v>46379.705882352901</v>
      </c>
      <c r="G97" s="3" t="s">
        <v>16</v>
      </c>
      <c r="H97" s="3" t="s">
        <v>17</v>
      </c>
      <c r="I97" s="3">
        <f>IF(C97="India",1,IF(C97="USA",INDEX('Currency Master'!B:B,MATCH(DATE(N97,MONTH(DATEVALUE(O97&amp;" 1")),1),'Currency Master'!A:A,0)),IF(C97="Australia",INDEX('Currency Master'!T:T,MATCH(DATE(N97,MONTH(DATEVALUE(O97&amp;" 1")),1),'Currency Master'!A:A,0)),"")))</f>
        <v>1</v>
      </c>
      <c r="J97" s="3">
        <f t="shared" si="4"/>
        <v>46379.705882352901</v>
      </c>
      <c r="K97" s="3" t="str">
        <f t="shared" si="5"/>
        <v>₹/Candy</v>
      </c>
      <c r="L97" s="3">
        <v>1.27678978568173E-2</v>
      </c>
      <c r="M97" s="3">
        <v>6.5227817745803399E-2</v>
      </c>
      <c r="N97" s="3">
        <f t="shared" si="6"/>
        <v>2018</v>
      </c>
      <c r="O97" s="3" t="str">
        <f t="shared" si="7"/>
        <v>July</v>
      </c>
      <c r="P97" s="3" t="s">
        <v>18</v>
      </c>
      <c r="Q97" s="3"/>
    </row>
    <row r="98" spans="1:17" hidden="1" x14ac:dyDescent="0.3">
      <c r="A98" s="2">
        <v>43252</v>
      </c>
      <c r="B98" s="3" t="s">
        <v>12</v>
      </c>
      <c r="C98" s="3" t="s">
        <v>13</v>
      </c>
      <c r="D98" s="3" t="s">
        <v>14</v>
      </c>
      <c r="E98" s="3" t="s">
        <v>15</v>
      </c>
      <c r="F98" s="3">
        <v>45795</v>
      </c>
      <c r="G98" s="3" t="s">
        <v>16</v>
      </c>
      <c r="H98" s="3" t="s">
        <v>17</v>
      </c>
      <c r="I98" s="3">
        <f>IF(C98="India",1,IF(C98="USA",INDEX('Currency Master'!B:B,MATCH(DATE(N98,MONTH(DATEVALUE(O98&amp;" 1")),1),'Currency Master'!A:A,0)),IF(C98="Australia",INDEX('Currency Master'!T:T,MATCH(DATE(N98,MONTH(DATEVALUE(O98&amp;" 1")),1),'Currency Master'!A:A,0)),"")))</f>
        <v>1</v>
      </c>
      <c r="J98" s="3">
        <f t="shared" si="4"/>
        <v>45795</v>
      </c>
      <c r="K98" s="3" t="str">
        <f t="shared" si="5"/>
        <v>₹/Candy</v>
      </c>
      <c r="L98" s="3">
        <v>8.2758620689655799E-3</v>
      </c>
      <c r="M98" s="3">
        <v>0.108695652173913</v>
      </c>
      <c r="N98" s="3">
        <f t="shared" si="6"/>
        <v>2018</v>
      </c>
      <c r="O98" s="3" t="str">
        <f t="shared" si="7"/>
        <v>June</v>
      </c>
      <c r="P98" s="3" t="s">
        <v>18</v>
      </c>
      <c r="Q98" s="3"/>
    </row>
    <row r="99" spans="1:17" hidden="1" x14ac:dyDescent="0.3">
      <c r="A99" s="2">
        <v>43221</v>
      </c>
      <c r="B99" s="3" t="s">
        <v>12</v>
      </c>
      <c r="C99" s="3" t="s">
        <v>13</v>
      </c>
      <c r="D99" s="3" t="s">
        <v>14</v>
      </c>
      <c r="E99" s="3" t="s">
        <v>15</v>
      </c>
      <c r="F99" s="3">
        <v>45419.117647058803</v>
      </c>
      <c r="G99" s="3" t="s">
        <v>16</v>
      </c>
      <c r="H99" s="3" t="s">
        <v>17</v>
      </c>
      <c r="I99" s="3">
        <f>IF(C99="India",1,IF(C99="USA",INDEX('Currency Master'!B:B,MATCH(DATE(N99,MONTH(DATEVALUE(O99&amp;" 1")),1),'Currency Master'!A:A,0)),IF(C99="Australia",INDEX('Currency Master'!T:T,MATCH(DATE(N99,MONTH(DATEVALUE(O99&amp;" 1")),1),'Currency Master'!A:A,0)),"")))</f>
        <v>1</v>
      </c>
      <c r="J99" s="3">
        <f t="shared" si="4"/>
        <v>45419.117647058803</v>
      </c>
      <c r="K99" s="3" t="str">
        <f t="shared" si="5"/>
        <v>₹/Candy</v>
      </c>
      <c r="L99" s="3">
        <v>6.4610866372980996E-2</v>
      </c>
      <c r="M99" s="3">
        <v>3.8681948424068802E-2</v>
      </c>
      <c r="N99" s="3">
        <f t="shared" si="6"/>
        <v>2018</v>
      </c>
      <c r="O99" s="3" t="str">
        <f t="shared" si="7"/>
        <v>May</v>
      </c>
      <c r="P99" s="3" t="s">
        <v>18</v>
      </c>
      <c r="Q99" s="3"/>
    </row>
    <row r="100" spans="1:17" hidden="1" x14ac:dyDescent="0.3">
      <c r="A100" s="2">
        <v>43191</v>
      </c>
      <c r="B100" s="3" t="s">
        <v>12</v>
      </c>
      <c r="C100" s="3" t="s">
        <v>13</v>
      </c>
      <c r="D100" s="3" t="s">
        <v>14</v>
      </c>
      <c r="E100" s="3" t="s">
        <v>15</v>
      </c>
      <c r="F100" s="3">
        <v>42662.647058823502</v>
      </c>
      <c r="G100" s="3" t="s">
        <v>16</v>
      </c>
      <c r="H100" s="3" t="s">
        <v>17</v>
      </c>
      <c r="I100" s="3">
        <f>IF(C100="India",1,IF(C100="USA",INDEX('Currency Master'!B:B,MATCH(DATE(N100,MONTH(DATEVALUE(O100&amp;" 1")),1),'Currency Master'!A:A,0)),IF(C100="Australia",INDEX('Currency Master'!T:T,MATCH(DATE(N100,MONTH(DATEVALUE(O100&amp;" 1")),1),'Currency Master'!A:A,0)),"")))</f>
        <v>1</v>
      </c>
      <c r="J100" s="3">
        <f t="shared" si="4"/>
        <v>42662.647058823502</v>
      </c>
      <c r="K100" s="3" t="str">
        <f t="shared" si="5"/>
        <v>₹/Candy</v>
      </c>
      <c r="L100" s="3">
        <v>1.18870728083209E-2</v>
      </c>
      <c r="M100" s="3">
        <v>-9.6946194861852204E-3</v>
      </c>
      <c r="N100" s="3">
        <f t="shared" si="6"/>
        <v>2018</v>
      </c>
      <c r="O100" s="3" t="str">
        <f t="shared" si="7"/>
        <v>April</v>
      </c>
      <c r="P100" s="3" t="s">
        <v>18</v>
      </c>
      <c r="Q100" s="3"/>
    </row>
    <row r="101" spans="1:17" hidden="1" x14ac:dyDescent="0.3">
      <c r="A101" s="2">
        <v>43160</v>
      </c>
      <c r="B101" s="3" t="s">
        <v>12</v>
      </c>
      <c r="C101" s="3" t="s">
        <v>13</v>
      </c>
      <c r="D101" s="3" t="s">
        <v>14</v>
      </c>
      <c r="E101" s="3" t="s">
        <v>15</v>
      </c>
      <c r="F101" s="3">
        <v>42161.470588235301</v>
      </c>
      <c r="G101" s="3" t="s">
        <v>16</v>
      </c>
      <c r="H101" s="3" t="s">
        <v>17</v>
      </c>
      <c r="I101" s="3">
        <f>IF(C101="India",1,IF(C101="USA",INDEX('Currency Master'!B:B,MATCH(DATE(N101,MONTH(DATEVALUE(O101&amp;" 1")),1),'Currency Master'!A:A,0)),IF(C101="Australia",INDEX('Currency Master'!T:T,MATCH(DATE(N101,MONTH(DATEVALUE(O101&amp;" 1")),1),'Currency Master'!A:A,0)),"")))</f>
        <v>1</v>
      </c>
      <c r="J101" s="3">
        <f t="shared" si="4"/>
        <v>42161.470588235301</v>
      </c>
      <c r="K101" s="3" t="str">
        <f t="shared" si="5"/>
        <v>₹/Candy</v>
      </c>
      <c r="L101" s="3">
        <v>-8.3497053045186193E-3</v>
      </c>
      <c r="M101" s="3">
        <v>-2.1802325581395301E-2</v>
      </c>
      <c r="N101" s="3">
        <f t="shared" si="6"/>
        <v>2018</v>
      </c>
      <c r="O101" s="3" t="str">
        <f t="shared" si="7"/>
        <v>March</v>
      </c>
      <c r="P101" s="3" t="s">
        <v>18</v>
      </c>
      <c r="Q101" s="3"/>
    </row>
    <row r="102" spans="1:17" hidden="1" x14ac:dyDescent="0.3">
      <c r="A102" s="2">
        <v>43132</v>
      </c>
      <c r="B102" s="3" t="s">
        <v>12</v>
      </c>
      <c r="C102" s="3" t="s">
        <v>13</v>
      </c>
      <c r="D102" s="3" t="s">
        <v>14</v>
      </c>
      <c r="E102" s="3" t="s">
        <v>15</v>
      </c>
      <c r="F102" s="3">
        <v>42516.470588235301</v>
      </c>
      <c r="G102" s="3" t="s">
        <v>16</v>
      </c>
      <c r="H102" s="3" t="s">
        <v>17</v>
      </c>
      <c r="I102" s="3">
        <f>IF(C102="India",1,IF(C102="USA",INDEX('Currency Master'!B:B,MATCH(DATE(N102,MONTH(DATEVALUE(O102&amp;" 1")),1),'Currency Master'!A:A,0)),IF(C102="Australia",INDEX('Currency Master'!T:T,MATCH(DATE(N102,MONTH(DATEVALUE(O102&amp;" 1")),1),'Currency Master'!A:A,0)),"")))</f>
        <v>1</v>
      </c>
      <c r="J102" s="3">
        <f t="shared" si="4"/>
        <v>42516.470588235301</v>
      </c>
      <c r="K102" s="3" t="str">
        <f t="shared" si="5"/>
        <v>₹/Candy</v>
      </c>
      <c r="L102" s="3">
        <v>3.6132315521628398E-2</v>
      </c>
      <c r="M102" s="3">
        <v>-3.2319391634981001E-2</v>
      </c>
      <c r="N102" s="3">
        <f t="shared" si="6"/>
        <v>2018</v>
      </c>
      <c r="O102" s="3" t="str">
        <f t="shared" si="7"/>
        <v>February</v>
      </c>
      <c r="P102" s="3" t="s">
        <v>18</v>
      </c>
      <c r="Q102" s="3"/>
    </row>
    <row r="103" spans="1:17" hidden="1" x14ac:dyDescent="0.3">
      <c r="A103" s="2">
        <v>43101</v>
      </c>
      <c r="B103" s="3" t="s">
        <v>12</v>
      </c>
      <c r="C103" s="3" t="s">
        <v>13</v>
      </c>
      <c r="D103" s="3" t="s">
        <v>14</v>
      </c>
      <c r="E103" s="3" t="s">
        <v>15</v>
      </c>
      <c r="F103" s="3">
        <v>41033.823529411799</v>
      </c>
      <c r="G103" s="3" t="s">
        <v>16</v>
      </c>
      <c r="H103" s="3" t="s">
        <v>17</v>
      </c>
      <c r="I103" s="3">
        <f>IF(C103="India",1,IF(C103="USA",INDEX('Currency Master'!B:B,MATCH(DATE(N103,MONTH(DATEVALUE(O103&amp;" 1")),1),'Currency Master'!A:A,0)),IF(C103="Australia",INDEX('Currency Master'!T:T,MATCH(DATE(N103,MONTH(DATEVALUE(O103&amp;" 1")),1),'Currency Master'!A:A,0)),"")))</f>
        <v>1</v>
      </c>
      <c r="J103" s="3">
        <f t="shared" si="4"/>
        <v>41033.823529411799</v>
      </c>
      <c r="K103" s="3" t="str">
        <f t="shared" si="5"/>
        <v>₹/Candy</v>
      </c>
      <c r="L103" s="3">
        <v>-2.1901443504230799E-2</v>
      </c>
      <c r="M103" s="3">
        <v>-1.9950124688279301E-2</v>
      </c>
      <c r="N103" s="3">
        <f t="shared" si="6"/>
        <v>2018</v>
      </c>
      <c r="O103" s="3" t="str">
        <f t="shared" si="7"/>
        <v>January</v>
      </c>
      <c r="P103" s="3" t="s">
        <v>18</v>
      </c>
      <c r="Q103" s="3"/>
    </row>
    <row r="104" spans="1:17" hidden="1" x14ac:dyDescent="0.3">
      <c r="A104" s="2">
        <v>43070</v>
      </c>
      <c r="B104" s="3" t="s">
        <v>12</v>
      </c>
      <c r="C104" s="3" t="s">
        <v>13</v>
      </c>
      <c r="D104" s="3" t="s">
        <v>14</v>
      </c>
      <c r="E104" s="3" t="s">
        <v>15</v>
      </c>
      <c r="F104" s="3">
        <v>41952.647058823502</v>
      </c>
      <c r="G104" s="3" t="s">
        <v>16</v>
      </c>
      <c r="H104" s="3" t="s">
        <v>17</v>
      </c>
      <c r="I104" s="3">
        <f>IF(C104="India",1,IF(C104="USA",INDEX('Currency Master'!B:B,MATCH(DATE(N104,MONTH(DATEVALUE(O104&amp;" 1")),1),'Currency Master'!A:A,0)),IF(C104="Australia",INDEX('Currency Master'!T:T,MATCH(DATE(N104,MONTH(DATEVALUE(O104&amp;" 1")),1),'Currency Master'!A:A,0)),"")))</f>
        <v>1</v>
      </c>
      <c r="J104" s="3">
        <f t="shared" si="4"/>
        <v>41952.647058823502</v>
      </c>
      <c r="K104" s="3" t="str">
        <f t="shared" si="5"/>
        <v>₹/Candy</v>
      </c>
      <c r="L104" s="3">
        <v>8.7121212121212196E-2</v>
      </c>
      <c r="M104" s="3">
        <v>5.4039874081846899E-2</v>
      </c>
      <c r="N104" s="3">
        <f t="shared" si="6"/>
        <v>2017</v>
      </c>
      <c r="O104" s="3" t="str">
        <f t="shared" si="7"/>
        <v>December</v>
      </c>
      <c r="P104" s="3" t="s">
        <v>18</v>
      </c>
      <c r="Q104" s="3"/>
    </row>
    <row r="105" spans="1:17" hidden="1" x14ac:dyDescent="0.3">
      <c r="A105" s="2">
        <v>43040</v>
      </c>
      <c r="B105" s="3" t="s">
        <v>12</v>
      </c>
      <c r="C105" s="3" t="s">
        <v>13</v>
      </c>
      <c r="D105" s="3" t="s">
        <v>14</v>
      </c>
      <c r="E105" s="3" t="s">
        <v>15</v>
      </c>
      <c r="F105" s="3">
        <v>38590.588235294097</v>
      </c>
      <c r="G105" s="3" t="s">
        <v>16</v>
      </c>
      <c r="H105" s="3" t="s">
        <v>17</v>
      </c>
      <c r="I105" s="3">
        <f>IF(C105="India",1,IF(C105="USA",INDEX('Currency Master'!B:B,MATCH(DATE(N105,MONTH(DATEVALUE(O105&amp;" 1")),1),'Currency Master'!A:A,0)),IF(C105="Australia",INDEX('Currency Master'!T:T,MATCH(DATE(N105,MONTH(DATEVALUE(O105&amp;" 1")),1),'Currency Master'!A:A,0)),"")))</f>
        <v>1</v>
      </c>
      <c r="J105" s="3">
        <f t="shared" si="4"/>
        <v>38590.588235294097</v>
      </c>
      <c r="K105" s="3" t="str">
        <f t="shared" si="5"/>
        <v>₹/Candy</v>
      </c>
      <c r="L105" s="3">
        <v>-3.0430220356768099E-2</v>
      </c>
      <c r="M105" s="3">
        <v>-3.5490605427974997E-2</v>
      </c>
      <c r="N105" s="3">
        <f t="shared" si="6"/>
        <v>2017</v>
      </c>
      <c r="O105" s="3" t="str">
        <f t="shared" si="7"/>
        <v>November</v>
      </c>
      <c r="P105" s="3" t="s">
        <v>18</v>
      </c>
      <c r="Q105" s="3"/>
    </row>
    <row r="106" spans="1:17" hidden="1" x14ac:dyDescent="0.3">
      <c r="A106" s="2">
        <v>43009</v>
      </c>
      <c r="B106" s="3" t="s">
        <v>12</v>
      </c>
      <c r="C106" s="3" t="s">
        <v>13</v>
      </c>
      <c r="D106" s="3" t="s">
        <v>14</v>
      </c>
      <c r="E106" s="3" t="s">
        <v>15</v>
      </c>
      <c r="F106" s="3">
        <v>39801.7647058824</v>
      </c>
      <c r="G106" s="3" t="s">
        <v>16</v>
      </c>
      <c r="H106" s="3" t="s">
        <v>17</v>
      </c>
      <c r="I106" s="3">
        <f>IF(C106="India",1,IF(C106="USA",INDEX('Currency Master'!B:B,MATCH(DATE(N106,MONTH(DATEVALUE(O106&amp;" 1")),1),'Currency Master'!A:A,0)),IF(C106="Australia",INDEX('Currency Master'!T:T,MATCH(DATE(N106,MONTH(DATEVALUE(O106&amp;" 1")),1),'Currency Master'!A:A,0)),"")))</f>
        <v>1</v>
      </c>
      <c r="J106" s="3">
        <f t="shared" si="4"/>
        <v>39801.7647058824</v>
      </c>
      <c r="K106" s="3" t="str">
        <f t="shared" si="5"/>
        <v>₹/Candy</v>
      </c>
      <c r="L106" s="3">
        <v>2.8602266594711399E-2</v>
      </c>
      <c r="M106" s="3">
        <v>5.2742616033756304E-3</v>
      </c>
      <c r="N106" s="3">
        <f t="shared" si="6"/>
        <v>2017</v>
      </c>
      <c r="O106" s="3" t="str">
        <f t="shared" si="7"/>
        <v>October</v>
      </c>
      <c r="P106" s="3" t="s">
        <v>18</v>
      </c>
      <c r="Q106" s="3"/>
    </row>
    <row r="107" spans="1:17" hidden="1" x14ac:dyDescent="0.3">
      <c r="A107" s="2">
        <v>42979</v>
      </c>
      <c r="B107" s="3" t="s">
        <v>12</v>
      </c>
      <c r="C107" s="3" t="s">
        <v>13</v>
      </c>
      <c r="D107" s="3" t="s">
        <v>14</v>
      </c>
      <c r="E107" s="3" t="s">
        <v>15</v>
      </c>
      <c r="F107" s="3">
        <v>38695</v>
      </c>
      <c r="G107" s="3" t="s">
        <v>16</v>
      </c>
      <c r="H107" s="3" t="s">
        <v>17</v>
      </c>
      <c r="I107" s="3">
        <f>IF(C107="India",1,IF(C107="USA",INDEX('Currency Master'!B:B,MATCH(DATE(N107,MONTH(DATEVALUE(O107&amp;" 1")),1),'Currency Master'!A:A,0)),IF(C107="Australia",INDEX('Currency Master'!T:T,MATCH(DATE(N107,MONTH(DATEVALUE(O107&amp;" 1")),1),'Currency Master'!A:A,0)),"")))</f>
        <v>1</v>
      </c>
      <c r="J107" s="3">
        <f t="shared" si="4"/>
        <v>38695</v>
      </c>
      <c r="K107" s="3" t="str">
        <f t="shared" si="5"/>
        <v>₹/Candy</v>
      </c>
      <c r="L107" s="3">
        <v>-6.4343163538874704E-3</v>
      </c>
      <c r="M107" s="3">
        <v>-6.6028225806451596E-2</v>
      </c>
      <c r="N107" s="3">
        <f t="shared" si="6"/>
        <v>2017</v>
      </c>
      <c r="O107" s="3" t="str">
        <f t="shared" si="7"/>
        <v>September</v>
      </c>
      <c r="P107" s="3" t="s">
        <v>18</v>
      </c>
      <c r="Q107" s="3"/>
    </row>
    <row r="108" spans="1:17" hidden="1" x14ac:dyDescent="0.3">
      <c r="A108" s="2">
        <v>42948</v>
      </c>
      <c r="B108" s="3" t="s">
        <v>12</v>
      </c>
      <c r="C108" s="3" t="s">
        <v>13</v>
      </c>
      <c r="D108" s="3" t="s">
        <v>14</v>
      </c>
      <c r="E108" s="3" t="s">
        <v>15</v>
      </c>
      <c r="F108" s="3">
        <v>38945.588235294097</v>
      </c>
      <c r="G108" s="3" t="s">
        <v>16</v>
      </c>
      <c r="H108" s="3" t="s">
        <v>17</v>
      </c>
      <c r="I108" s="3">
        <f>IF(C108="India",1,IF(C108="USA",INDEX('Currency Master'!B:B,MATCH(DATE(N108,MONTH(DATEVALUE(O108&amp;" 1")),1),'Currency Master'!A:A,0)),IF(C108="Australia",INDEX('Currency Master'!T:T,MATCH(DATE(N108,MONTH(DATEVALUE(O108&amp;" 1")),1),'Currency Master'!A:A,0)),"")))</f>
        <v>1</v>
      </c>
      <c r="J108" s="3">
        <f t="shared" si="4"/>
        <v>38945.588235294097</v>
      </c>
      <c r="K108" s="3" t="str">
        <f t="shared" si="5"/>
        <v>₹/Candy</v>
      </c>
      <c r="L108" s="3">
        <v>-0.105515587529976</v>
      </c>
      <c r="M108" s="3">
        <v>-4.8954614992350903E-2</v>
      </c>
      <c r="N108" s="3">
        <f t="shared" si="6"/>
        <v>2017</v>
      </c>
      <c r="O108" s="3" t="str">
        <f t="shared" si="7"/>
        <v>August</v>
      </c>
      <c r="P108" s="3" t="s">
        <v>18</v>
      </c>
      <c r="Q108" s="3"/>
    </row>
    <row r="109" spans="1:17" hidden="1" x14ac:dyDescent="0.3">
      <c r="A109" s="2">
        <v>42917</v>
      </c>
      <c r="B109" s="3" t="s">
        <v>12</v>
      </c>
      <c r="C109" s="3" t="s">
        <v>13</v>
      </c>
      <c r="D109" s="3" t="s">
        <v>14</v>
      </c>
      <c r="E109" s="3" t="s">
        <v>15</v>
      </c>
      <c r="F109" s="3">
        <v>43539.705882352901</v>
      </c>
      <c r="G109" s="3" t="s">
        <v>16</v>
      </c>
      <c r="H109" s="3" t="s">
        <v>17</v>
      </c>
      <c r="I109" s="3">
        <f>IF(C109="India",1,IF(C109="USA",INDEX('Currency Master'!B:B,MATCH(DATE(N109,MONTH(DATEVALUE(O109&amp;" 1")),1),'Currency Master'!A:A,0)),IF(C109="Australia",INDEX('Currency Master'!T:T,MATCH(DATE(N109,MONTH(DATEVALUE(O109&amp;" 1")),1),'Currency Master'!A:A,0)),"")))</f>
        <v>1</v>
      </c>
      <c r="J109" s="3">
        <f t="shared" si="4"/>
        <v>43539.705882352901</v>
      </c>
      <c r="K109" s="3" t="str">
        <f t="shared" si="5"/>
        <v>₹/Candy</v>
      </c>
      <c r="L109" s="3">
        <v>5.4095045500505402E-2</v>
      </c>
      <c r="M109" s="3">
        <v>-4.31390546122076E-2</v>
      </c>
      <c r="N109" s="3">
        <f t="shared" si="6"/>
        <v>2017</v>
      </c>
      <c r="O109" s="3" t="str">
        <f t="shared" si="7"/>
        <v>July</v>
      </c>
      <c r="P109" s="3" t="s">
        <v>18</v>
      </c>
      <c r="Q109" s="3"/>
    </row>
    <row r="110" spans="1:17" hidden="1" x14ac:dyDescent="0.3">
      <c r="A110" s="2">
        <v>42887</v>
      </c>
      <c r="B110" s="3" t="s">
        <v>12</v>
      </c>
      <c r="C110" s="3" t="s">
        <v>13</v>
      </c>
      <c r="D110" s="3" t="s">
        <v>14</v>
      </c>
      <c r="E110" s="3" t="s">
        <v>15</v>
      </c>
      <c r="F110" s="3">
        <v>41305.294117647099</v>
      </c>
      <c r="G110" s="3" t="s">
        <v>16</v>
      </c>
      <c r="H110" s="3" t="s">
        <v>17</v>
      </c>
      <c r="I110" s="3">
        <f>IF(C110="India",1,IF(C110="USA",INDEX('Currency Master'!B:B,MATCH(DATE(N110,MONTH(DATEVALUE(O110&amp;" 1")),1),'Currency Master'!A:A,0)),IF(C110="Australia",INDEX('Currency Master'!T:T,MATCH(DATE(N110,MONTH(DATEVALUE(O110&amp;" 1")),1),'Currency Master'!A:A,0)),"")))</f>
        <v>1</v>
      </c>
      <c r="J110" s="3">
        <f t="shared" si="4"/>
        <v>41305.294117647099</v>
      </c>
      <c r="K110" s="3" t="str">
        <f t="shared" si="5"/>
        <v>₹/Candy</v>
      </c>
      <c r="L110" s="3">
        <v>-5.53963705826169E-2</v>
      </c>
      <c r="M110" s="3">
        <v>-3.1815956926089101E-2</v>
      </c>
      <c r="N110" s="3">
        <f t="shared" si="6"/>
        <v>2017</v>
      </c>
      <c r="O110" s="3" t="str">
        <f t="shared" si="7"/>
        <v>June</v>
      </c>
      <c r="P110" s="3" t="s">
        <v>18</v>
      </c>
      <c r="Q110" s="3"/>
    </row>
    <row r="111" spans="1:17" hidden="1" x14ac:dyDescent="0.3">
      <c r="A111" s="2">
        <v>42856</v>
      </c>
      <c r="B111" s="3" t="s">
        <v>12</v>
      </c>
      <c r="C111" s="3" t="s">
        <v>13</v>
      </c>
      <c r="D111" s="3" t="s">
        <v>14</v>
      </c>
      <c r="E111" s="3" t="s">
        <v>15</v>
      </c>
      <c r="F111" s="3">
        <v>43727.647058823502</v>
      </c>
      <c r="G111" s="3" t="s">
        <v>16</v>
      </c>
      <c r="H111" s="3" t="s">
        <v>17</v>
      </c>
      <c r="I111" s="3">
        <f>IF(C111="India",1,IF(C111="USA",INDEX('Currency Master'!B:B,MATCH(DATE(N111,MONTH(DATEVALUE(O111&amp;" 1")),1),'Currency Master'!A:A,0)),IF(C111="Australia",INDEX('Currency Master'!T:T,MATCH(DATE(N111,MONTH(DATEVALUE(O111&amp;" 1")),1),'Currency Master'!A:A,0)),"")))</f>
        <v>1</v>
      </c>
      <c r="J111" s="3">
        <f t="shared" si="4"/>
        <v>43727.647058823502</v>
      </c>
      <c r="K111" s="3" t="str">
        <f t="shared" si="5"/>
        <v>₹/Candy</v>
      </c>
      <c r="L111" s="3">
        <v>1.50266602035869E-2</v>
      </c>
      <c r="M111" s="3">
        <v>0.16075388026607501</v>
      </c>
      <c r="N111" s="3">
        <f t="shared" si="6"/>
        <v>2017</v>
      </c>
      <c r="O111" s="3" t="str">
        <f t="shared" si="7"/>
        <v>May</v>
      </c>
      <c r="P111" s="3" t="s">
        <v>18</v>
      </c>
      <c r="Q111" s="3"/>
    </row>
    <row r="112" spans="1:17" hidden="1" x14ac:dyDescent="0.3">
      <c r="A112" s="2">
        <v>42826</v>
      </c>
      <c r="B112" s="3" t="s">
        <v>12</v>
      </c>
      <c r="C112" s="3" t="s">
        <v>13</v>
      </c>
      <c r="D112" s="3" t="s">
        <v>14</v>
      </c>
      <c r="E112" s="3" t="s">
        <v>15</v>
      </c>
      <c r="F112" s="3">
        <v>43080.294117647099</v>
      </c>
      <c r="G112" s="3" t="s">
        <v>16</v>
      </c>
      <c r="H112" s="3" t="s">
        <v>17</v>
      </c>
      <c r="I112" s="3">
        <f>IF(C112="India",1,IF(C112="USA",INDEX('Currency Master'!B:B,MATCH(DATE(N112,MONTH(DATEVALUE(O112&amp;" 1")),1),'Currency Master'!A:A,0)),IF(C112="Australia",INDEX('Currency Master'!T:T,MATCH(DATE(N112,MONTH(DATEVALUE(O112&amp;" 1")),1),'Currency Master'!A:A,0)),"")))</f>
        <v>1</v>
      </c>
      <c r="J112" s="3">
        <f t="shared" si="4"/>
        <v>43080.294117647099</v>
      </c>
      <c r="K112" s="3" t="str">
        <f t="shared" si="5"/>
        <v>₹/Candy</v>
      </c>
      <c r="L112" s="3">
        <v>-4.84496124030787E-4</v>
      </c>
      <c r="M112" s="3">
        <v>0.19317524580682499</v>
      </c>
      <c r="N112" s="3">
        <f t="shared" si="6"/>
        <v>2017</v>
      </c>
      <c r="O112" s="3" t="str">
        <f t="shared" si="7"/>
        <v>April</v>
      </c>
      <c r="P112" s="3" t="s">
        <v>18</v>
      </c>
      <c r="Q112" s="3"/>
    </row>
    <row r="113" spans="1:17" hidden="1" x14ac:dyDescent="0.3">
      <c r="A113" s="2">
        <v>42795</v>
      </c>
      <c r="B113" s="3" t="s">
        <v>12</v>
      </c>
      <c r="C113" s="3" t="s">
        <v>13</v>
      </c>
      <c r="D113" s="3" t="s">
        <v>14</v>
      </c>
      <c r="E113" s="3" t="s">
        <v>15</v>
      </c>
      <c r="F113" s="3">
        <v>43101.176470588201</v>
      </c>
      <c r="G113" s="3" t="s">
        <v>16</v>
      </c>
      <c r="H113" s="3" t="s">
        <v>17</v>
      </c>
      <c r="I113" s="3">
        <f>IF(C113="India",1,IF(C113="USA",INDEX('Currency Master'!B:B,MATCH(DATE(N113,MONTH(DATEVALUE(O113&amp;" 1")),1),'Currency Master'!A:A,0)),IF(C113="Australia",INDEX('Currency Master'!T:T,MATCH(DATE(N113,MONTH(DATEVALUE(O113&amp;" 1")),1),'Currency Master'!A:A,0)),"")))</f>
        <v>1</v>
      </c>
      <c r="J113" s="3">
        <f t="shared" si="4"/>
        <v>43101.176470588201</v>
      </c>
      <c r="K113" s="3" t="str">
        <f t="shared" si="5"/>
        <v>₹/Candy</v>
      </c>
      <c r="L113" s="3">
        <v>-1.9011406844106502E-2</v>
      </c>
      <c r="M113" s="3">
        <v>0.32138284250960297</v>
      </c>
      <c r="N113" s="3">
        <f t="shared" si="6"/>
        <v>2017</v>
      </c>
      <c r="O113" s="3" t="str">
        <f t="shared" si="7"/>
        <v>March</v>
      </c>
      <c r="P113" s="3" t="s">
        <v>18</v>
      </c>
      <c r="Q113" s="3"/>
    </row>
    <row r="114" spans="1:17" hidden="1" x14ac:dyDescent="0.3">
      <c r="A114" s="2">
        <v>42767</v>
      </c>
      <c r="B114" s="3" t="s">
        <v>12</v>
      </c>
      <c r="C114" s="3" t="s">
        <v>13</v>
      </c>
      <c r="D114" s="3" t="s">
        <v>14</v>
      </c>
      <c r="E114" s="3" t="s">
        <v>15</v>
      </c>
      <c r="F114" s="3">
        <v>43936.470588235301</v>
      </c>
      <c r="G114" s="3" t="s">
        <v>16</v>
      </c>
      <c r="H114" s="3" t="s">
        <v>17</v>
      </c>
      <c r="I114" s="3">
        <f>IF(C114="India",1,IF(C114="USA",INDEX('Currency Master'!B:B,MATCH(DATE(N114,MONTH(DATEVALUE(O114&amp;" 1")),1),'Currency Master'!A:A,0)),IF(C114="Australia",INDEX('Currency Master'!T:T,MATCH(DATE(N114,MONTH(DATEVALUE(O114&amp;" 1")),1),'Currency Master'!A:A,0)),"")))</f>
        <v>1</v>
      </c>
      <c r="J114" s="3">
        <f t="shared" si="4"/>
        <v>43936.470588235301</v>
      </c>
      <c r="K114" s="3" t="str">
        <f t="shared" si="5"/>
        <v>₹/Candy</v>
      </c>
      <c r="L114" s="3">
        <v>4.93765586034913E-2</v>
      </c>
      <c r="M114" s="3">
        <v>0.312538989394885</v>
      </c>
      <c r="N114" s="3">
        <f t="shared" si="6"/>
        <v>2017</v>
      </c>
      <c r="O114" s="3" t="str">
        <f t="shared" si="7"/>
        <v>February</v>
      </c>
      <c r="P114" s="3" t="s">
        <v>18</v>
      </c>
      <c r="Q114" s="3"/>
    </row>
    <row r="115" spans="1:17" hidden="1" x14ac:dyDescent="0.3">
      <c r="A115" s="2">
        <v>42736</v>
      </c>
      <c r="B115" s="3" t="s">
        <v>12</v>
      </c>
      <c r="C115" s="3" t="s">
        <v>13</v>
      </c>
      <c r="D115" s="3" t="s">
        <v>14</v>
      </c>
      <c r="E115" s="3" t="s">
        <v>15</v>
      </c>
      <c r="F115" s="3">
        <v>41869.117647058803</v>
      </c>
      <c r="G115" s="3" t="s">
        <v>16</v>
      </c>
      <c r="H115" s="3" t="s">
        <v>17</v>
      </c>
      <c r="I115" s="3">
        <f>IF(C115="India",1,IF(C115="USA",INDEX('Currency Master'!B:B,MATCH(DATE(N115,MONTH(DATEVALUE(O115&amp;" 1")),1),'Currency Master'!A:A,0)),IF(C115="Australia",INDEX('Currency Master'!T:T,MATCH(DATE(N115,MONTH(DATEVALUE(O115&amp;" 1")),1),'Currency Master'!A:A,0)),"")))</f>
        <v>1</v>
      </c>
      <c r="J115" s="3">
        <f t="shared" si="4"/>
        <v>41869.117647058803</v>
      </c>
      <c r="K115" s="3" t="str">
        <f t="shared" si="5"/>
        <v>₹/Candy</v>
      </c>
      <c r="L115" s="3">
        <v>5.1941238195173198E-2</v>
      </c>
      <c r="M115" s="3">
        <v>0.212946158499697</v>
      </c>
      <c r="N115" s="3">
        <f t="shared" si="6"/>
        <v>2017</v>
      </c>
      <c r="O115" s="3" t="str">
        <f t="shared" si="7"/>
        <v>January</v>
      </c>
      <c r="P115" s="3" t="s">
        <v>18</v>
      </c>
      <c r="Q115" s="3"/>
    </row>
    <row r="116" spans="1:17" hidden="1" x14ac:dyDescent="0.3">
      <c r="A116" s="2">
        <v>42705</v>
      </c>
      <c r="B116" s="3" t="s">
        <v>12</v>
      </c>
      <c r="C116" s="3" t="s">
        <v>13</v>
      </c>
      <c r="D116" s="3" t="s">
        <v>14</v>
      </c>
      <c r="E116" s="3" t="s">
        <v>15</v>
      </c>
      <c r="F116" s="3">
        <v>39801.7647058824</v>
      </c>
      <c r="G116" s="3" t="s">
        <v>16</v>
      </c>
      <c r="H116" s="3" t="s">
        <v>17</v>
      </c>
      <c r="I116" s="3">
        <f>IF(C116="India",1,IF(C116="USA",INDEX('Currency Master'!B:B,MATCH(DATE(N116,MONTH(DATEVALUE(O116&amp;" 1")),1),'Currency Master'!A:A,0)),IF(C116="Australia",INDEX('Currency Master'!T:T,MATCH(DATE(N116,MONTH(DATEVALUE(O116&amp;" 1")),1),'Currency Master'!A:A,0)),"")))</f>
        <v>1</v>
      </c>
      <c r="J116" s="3">
        <f t="shared" si="4"/>
        <v>39801.7647058824</v>
      </c>
      <c r="K116" s="3" t="str">
        <f t="shared" si="5"/>
        <v>₹/Candy</v>
      </c>
      <c r="L116" s="3">
        <v>-5.2192066805845103E-3</v>
      </c>
      <c r="M116" s="3">
        <v>0.155852031534263</v>
      </c>
      <c r="N116" s="3">
        <f t="shared" si="6"/>
        <v>2016</v>
      </c>
      <c r="O116" s="3" t="str">
        <f t="shared" si="7"/>
        <v>December</v>
      </c>
      <c r="P116" s="3" t="s">
        <v>18</v>
      </c>
      <c r="Q116" s="3"/>
    </row>
    <row r="117" spans="1:17" hidden="1" x14ac:dyDescent="0.3">
      <c r="A117" s="2">
        <v>42675</v>
      </c>
      <c r="B117" s="3" t="s">
        <v>12</v>
      </c>
      <c r="C117" s="3" t="s">
        <v>13</v>
      </c>
      <c r="D117" s="3" t="s">
        <v>14</v>
      </c>
      <c r="E117" s="3" t="s">
        <v>15</v>
      </c>
      <c r="F117" s="3">
        <v>40010.588235294097</v>
      </c>
      <c r="G117" s="3" t="s">
        <v>16</v>
      </c>
      <c r="H117" s="3" t="s">
        <v>17</v>
      </c>
      <c r="I117" s="3">
        <f>IF(C117="India",1,IF(C117="USA",INDEX('Currency Master'!B:B,MATCH(DATE(N117,MONTH(DATEVALUE(O117&amp;" 1")),1),'Currency Master'!A:A,0)),IF(C117="Australia",INDEX('Currency Master'!T:T,MATCH(DATE(N117,MONTH(DATEVALUE(O117&amp;" 1")),1),'Currency Master'!A:A,0)),"")))</f>
        <v>1</v>
      </c>
      <c r="J117" s="3">
        <f t="shared" si="4"/>
        <v>40010.588235294097</v>
      </c>
      <c r="K117" s="3" t="str">
        <f t="shared" si="5"/>
        <v>₹/Candy</v>
      </c>
      <c r="L117" s="3">
        <v>1.0548523206751001E-2</v>
      </c>
      <c r="M117" s="3">
        <v>0.18858560794044699</v>
      </c>
      <c r="N117" s="3">
        <f t="shared" si="6"/>
        <v>2016</v>
      </c>
      <c r="O117" s="3" t="str">
        <f t="shared" si="7"/>
        <v>November</v>
      </c>
      <c r="P117" s="3" t="s">
        <v>18</v>
      </c>
      <c r="Q117" s="3"/>
    </row>
    <row r="118" spans="1:17" hidden="1" x14ac:dyDescent="0.3">
      <c r="A118" s="2">
        <v>42644</v>
      </c>
      <c r="B118" s="3" t="s">
        <v>12</v>
      </c>
      <c r="C118" s="3" t="s">
        <v>13</v>
      </c>
      <c r="D118" s="3" t="s">
        <v>14</v>
      </c>
      <c r="E118" s="3" t="s">
        <v>15</v>
      </c>
      <c r="F118" s="3">
        <v>39592.941176470602</v>
      </c>
      <c r="G118" s="3" t="s">
        <v>16</v>
      </c>
      <c r="H118" s="3" t="s">
        <v>17</v>
      </c>
      <c r="I118" s="3">
        <f>IF(C118="India",1,IF(C118="USA",INDEX('Currency Master'!B:B,MATCH(DATE(N118,MONTH(DATEVALUE(O118&amp;" 1")),1),'Currency Master'!A:A,0)),IF(C118="Australia",INDEX('Currency Master'!T:T,MATCH(DATE(N118,MONTH(DATEVALUE(O118&amp;" 1")),1),'Currency Master'!A:A,0)),"")))</f>
        <v>1</v>
      </c>
      <c r="J118" s="3">
        <f t="shared" si="4"/>
        <v>39592.941176470602</v>
      </c>
      <c r="K118" s="3" t="str">
        <f t="shared" si="5"/>
        <v>₹/Candy</v>
      </c>
      <c r="L118" s="3">
        <v>-4.4354838709677498E-2</v>
      </c>
      <c r="M118" s="3">
        <v>0.22243713733075399</v>
      </c>
      <c r="N118" s="3">
        <f t="shared" si="6"/>
        <v>2016</v>
      </c>
      <c r="O118" s="3" t="str">
        <f t="shared" si="7"/>
        <v>October</v>
      </c>
      <c r="P118" s="3" t="s">
        <v>18</v>
      </c>
      <c r="Q118" s="3"/>
    </row>
    <row r="119" spans="1:17" hidden="1" x14ac:dyDescent="0.3">
      <c r="A119" s="2">
        <v>42614</v>
      </c>
      <c r="B119" s="3" t="s">
        <v>12</v>
      </c>
      <c r="C119" s="3" t="s">
        <v>13</v>
      </c>
      <c r="D119" s="3" t="s">
        <v>14</v>
      </c>
      <c r="E119" s="3" t="s">
        <v>15</v>
      </c>
      <c r="F119" s="3">
        <v>41430.588235294097</v>
      </c>
      <c r="G119" s="3" t="s">
        <v>16</v>
      </c>
      <c r="H119" s="3" t="s">
        <v>17</v>
      </c>
      <c r="I119" s="3">
        <f>IF(C119="India",1,IF(C119="USA",INDEX('Currency Master'!B:B,MATCH(DATE(N119,MONTH(DATEVALUE(O119&amp;" 1")),1),'Currency Master'!A:A,0)),IF(C119="Australia",INDEX('Currency Master'!T:T,MATCH(DATE(N119,MONTH(DATEVALUE(O119&amp;" 1")),1),'Currency Master'!A:A,0)),"")))</f>
        <v>1</v>
      </c>
      <c r="J119" s="3">
        <f t="shared" si="4"/>
        <v>41430.588235294097</v>
      </c>
      <c r="K119" s="3" t="str">
        <f t="shared" si="5"/>
        <v>₹/Candy</v>
      </c>
      <c r="L119" s="3">
        <v>1.17287098419172E-2</v>
      </c>
      <c r="M119" s="3">
        <v>0.25728770595690797</v>
      </c>
      <c r="N119" s="3">
        <f t="shared" si="6"/>
        <v>2016</v>
      </c>
      <c r="O119" s="3" t="str">
        <f t="shared" si="7"/>
        <v>September</v>
      </c>
      <c r="P119" s="3" t="s">
        <v>18</v>
      </c>
      <c r="Q119" s="3"/>
    </row>
    <row r="120" spans="1:17" hidden="1" x14ac:dyDescent="0.3">
      <c r="A120" s="2">
        <v>42583</v>
      </c>
      <c r="B120" s="3" t="s">
        <v>12</v>
      </c>
      <c r="C120" s="3" t="s">
        <v>13</v>
      </c>
      <c r="D120" s="3" t="s">
        <v>14</v>
      </c>
      <c r="E120" s="3" t="s">
        <v>15</v>
      </c>
      <c r="F120" s="3">
        <v>40950.294117647099</v>
      </c>
      <c r="G120" s="3" t="s">
        <v>16</v>
      </c>
      <c r="H120" s="3" t="s">
        <v>17</v>
      </c>
      <c r="I120" s="3">
        <f>IF(C120="India",1,IF(C120="USA",INDEX('Currency Master'!B:B,MATCH(DATE(N120,MONTH(DATEVALUE(O120&amp;" 1")),1),'Currency Master'!A:A,0)),IF(C120="Australia",INDEX('Currency Master'!T:T,MATCH(DATE(N120,MONTH(DATEVALUE(O120&amp;" 1")),1),'Currency Master'!A:A,0)),"")))</f>
        <v>1</v>
      </c>
      <c r="J120" s="3">
        <f t="shared" si="4"/>
        <v>40950.294117647099</v>
      </c>
      <c r="K120" s="3" t="str">
        <f t="shared" si="5"/>
        <v>₹/Candy</v>
      </c>
      <c r="L120" s="3">
        <v>-0.100045892611289</v>
      </c>
      <c r="M120" s="3">
        <v>0.20232985898222</v>
      </c>
      <c r="N120" s="3">
        <f t="shared" si="6"/>
        <v>2016</v>
      </c>
      <c r="O120" s="3" t="str">
        <f t="shared" si="7"/>
        <v>August</v>
      </c>
      <c r="P120" s="3" t="s">
        <v>18</v>
      </c>
      <c r="Q120" s="3"/>
    </row>
    <row r="121" spans="1:17" hidden="1" x14ac:dyDescent="0.3">
      <c r="A121" s="2">
        <v>42552</v>
      </c>
      <c r="B121" s="3" t="s">
        <v>12</v>
      </c>
      <c r="C121" s="3" t="s">
        <v>13</v>
      </c>
      <c r="D121" s="3" t="s">
        <v>14</v>
      </c>
      <c r="E121" s="3" t="s">
        <v>15</v>
      </c>
      <c r="F121" s="3">
        <v>45502.647058823502</v>
      </c>
      <c r="G121" s="3" t="s">
        <v>16</v>
      </c>
      <c r="H121" s="3" t="s">
        <v>17</v>
      </c>
      <c r="I121" s="3">
        <f>IF(C121="India",1,IF(C121="USA",INDEX('Currency Master'!B:B,MATCH(DATE(N121,MONTH(DATEVALUE(O121&amp;" 1")),1),'Currency Master'!A:A,0)),IF(C121="Australia",INDEX('Currency Master'!T:T,MATCH(DATE(N121,MONTH(DATEVALUE(O121&amp;" 1")),1),'Currency Master'!A:A,0)),"")))</f>
        <v>1</v>
      </c>
      <c r="J121" s="3">
        <f t="shared" si="4"/>
        <v>45502.647058823502</v>
      </c>
      <c r="K121" s="3" t="str">
        <f t="shared" si="5"/>
        <v>₹/Candy</v>
      </c>
      <c r="L121" s="3">
        <v>6.6568771414586406E-2</v>
      </c>
      <c r="M121" s="3">
        <v>0.48231292517006802</v>
      </c>
      <c r="N121" s="3">
        <f t="shared" si="6"/>
        <v>2016</v>
      </c>
      <c r="O121" s="3" t="str">
        <f t="shared" si="7"/>
        <v>July</v>
      </c>
      <c r="P121" s="3" t="s">
        <v>18</v>
      </c>
      <c r="Q121" s="3"/>
    </row>
    <row r="122" spans="1:17" hidden="1" x14ac:dyDescent="0.3">
      <c r="A122" s="2">
        <v>42522</v>
      </c>
      <c r="B122" s="3" t="s">
        <v>12</v>
      </c>
      <c r="C122" s="3" t="s">
        <v>13</v>
      </c>
      <c r="D122" s="3" t="s">
        <v>14</v>
      </c>
      <c r="E122" s="3" t="s">
        <v>15</v>
      </c>
      <c r="F122" s="3">
        <v>42662.647058823502</v>
      </c>
      <c r="G122" s="3" t="s">
        <v>16</v>
      </c>
      <c r="H122" s="3" t="s">
        <v>17</v>
      </c>
      <c r="I122" s="3">
        <f>IF(C122="India",1,IF(C122="USA",INDEX('Currency Master'!B:B,MATCH(DATE(N122,MONTH(DATEVALUE(O122&amp;" 1")),1),'Currency Master'!A:A,0)),IF(C122="Australia",INDEX('Currency Master'!T:T,MATCH(DATE(N122,MONTH(DATEVALUE(O122&amp;" 1")),1),'Currency Master'!A:A,0)),"")))</f>
        <v>1</v>
      </c>
      <c r="J122" s="3">
        <f t="shared" si="4"/>
        <v>42662.647058823502</v>
      </c>
      <c r="K122" s="3" t="str">
        <f t="shared" si="5"/>
        <v>₹/Candy</v>
      </c>
      <c r="L122" s="3">
        <v>0.132483370288248</v>
      </c>
      <c r="M122" s="3">
        <v>0.28895899053627799</v>
      </c>
      <c r="N122" s="3">
        <f t="shared" si="6"/>
        <v>2016</v>
      </c>
      <c r="O122" s="3" t="str">
        <f t="shared" si="7"/>
        <v>June</v>
      </c>
      <c r="P122" s="3" t="s">
        <v>18</v>
      </c>
      <c r="Q122" s="3"/>
    </row>
    <row r="123" spans="1:17" hidden="1" x14ac:dyDescent="0.3">
      <c r="A123" s="2">
        <v>42491</v>
      </c>
      <c r="B123" s="3" t="s">
        <v>12</v>
      </c>
      <c r="C123" s="3" t="s">
        <v>13</v>
      </c>
      <c r="D123" s="3" t="s">
        <v>14</v>
      </c>
      <c r="E123" s="3" t="s">
        <v>15</v>
      </c>
      <c r="F123" s="3">
        <v>37671.7647058824</v>
      </c>
      <c r="G123" s="3" t="s">
        <v>16</v>
      </c>
      <c r="H123" s="3" t="s">
        <v>17</v>
      </c>
      <c r="I123" s="3">
        <f>IF(C123="India",1,IF(C123="USA",INDEX('Currency Master'!B:B,MATCH(DATE(N123,MONTH(DATEVALUE(O123&amp;" 1")),1),'Currency Master'!A:A,0)),IF(C123="Australia",INDEX('Currency Master'!T:T,MATCH(DATE(N123,MONTH(DATEVALUE(O123&amp;" 1")),1),'Currency Master'!A:A,0)),"")))</f>
        <v>1</v>
      </c>
      <c r="J123" s="3">
        <f t="shared" si="4"/>
        <v>37671.7647058824</v>
      </c>
      <c r="K123" s="3" t="str">
        <f t="shared" si="5"/>
        <v>₹/Candy</v>
      </c>
      <c r="L123" s="3">
        <v>4.3377674956622397E-2</v>
      </c>
      <c r="M123" s="3">
        <v>0.124688279301746</v>
      </c>
      <c r="N123" s="3">
        <f t="shared" si="6"/>
        <v>2016</v>
      </c>
      <c r="O123" s="3" t="str">
        <f t="shared" si="7"/>
        <v>May</v>
      </c>
      <c r="P123" s="3" t="s">
        <v>18</v>
      </c>
      <c r="Q123" s="3"/>
    </row>
    <row r="124" spans="1:17" hidden="1" x14ac:dyDescent="0.3">
      <c r="A124" s="2">
        <v>42461</v>
      </c>
      <c r="B124" s="3" t="s">
        <v>12</v>
      </c>
      <c r="C124" s="3" t="s">
        <v>13</v>
      </c>
      <c r="D124" s="3" t="s">
        <v>14</v>
      </c>
      <c r="E124" s="3" t="s">
        <v>15</v>
      </c>
      <c r="F124" s="3">
        <v>36105.588235294097</v>
      </c>
      <c r="G124" s="3" t="s">
        <v>16</v>
      </c>
      <c r="H124" s="3" t="s">
        <v>17</v>
      </c>
      <c r="I124" s="3">
        <f>IF(C124="India",1,IF(C124="USA",INDEX('Currency Master'!B:B,MATCH(DATE(N124,MONTH(DATEVALUE(O124&amp;" 1")),1),'Currency Master'!A:A,0)),IF(C124="Australia",INDEX('Currency Master'!T:T,MATCH(DATE(N124,MONTH(DATEVALUE(O124&amp;" 1")),1),'Currency Master'!A:A,0)),"")))</f>
        <v>1</v>
      </c>
      <c r="J124" s="3">
        <f t="shared" si="4"/>
        <v>36105.588235294097</v>
      </c>
      <c r="K124" s="3" t="str">
        <f t="shared" si="5"/>
        <v>₹/Candy</v>
      </c>
      <c r="L124" s="3">
        <v>0.106914212548016</v>
      </c>
      <c r="M124" s="3">
        <v>5.6845965770171203E-2</v>
      </c>
      <c r="N124" s="3">
        <f t="shared" si="6"/>
        <v>2016</v>
      </c>
      <c r="O124" s="3" t="str">
        <f t="shared" si="7"/>
        <v>April</v>
      </c>
      <c r="P124" s="3" t="s">
        <v>18</v>
      </c>
      <c r="Q124" s="3"/>
    </row>
    <row r="125" spans="1:17" hidden="1" x14ac:dyDescent="0.3">
      <c r="A125" s="2">
        <v>42430</v>
      </c>
      <c r="B125" s="3" t="s">
        <v>12</v>
      </c>
      <c r="C125" s="3" t="s">
        <v>13</v>
      </c>
      <c r="D125" s="3" t="s">
        <v>14</v>
      </c>
      <c r="E125" s="3" t="s">
        <v>15</v>
      </c>
      <c r="F125" s="3">
        <v>32618.2352941176</v>
      </c>
      <c r="G125" s="3" t="s">
        <v>16</v>
      </c>
      <c r="H125" s="3" t="s">
        <v>17</v>
      </c>
      <c r="I125" s="3">
        <f>IF(C125="India",1,IF(C125="USA",INDEX('Currency Master'!B:B,MATCH(DATE(N125,MONTH(DATEVALUE(O125&amp;" 1")),1),'Currency Master'!A:A,0)),IF(C125="Australia",INDEX('Currency Master'!T:T,MATCH(DATE(N125,MONTH(DATEVALUE(O125&amp;" 1")),1),'Currency Master'!A:A,0)),"")))</f>
        <v>1</v>
      </c>
      <c r="J125" s="3">
        <f t="shared" si="4"/>
        <v>32618.2352941176</v>
      </c>
      <c r="K125" s="3" t="str">
        <f t="shared" si="5"/>
        <v>₹/Candy</v>
      </c>
      <c r="L125" s="3">
        <v>-2.5577043044292001E-2</v>
      </c>
      <c r="M125" s="3">
        <v>2.4262295081967099E-2</v>
      </c>
      <c r="N125" s="3">
        <f t="shared" si="6"/>
        <v>2016</v>
      </c>
      <c r="O125" s="3" t="str">
        <f t="shared" si="7"/>
        <v>March</v>
      </c>
      <c r="P125" s="3" t="s">
        <v>18</v>
      </c>
      <c r="Q125" s="3"/>
    </row>
    <row r="126" spans="1:17" hidden="1" x14ac:dyDescent="0.3">
      <c r="A126" s="2">
        <v>42401</v>
      </c>
      <c r="B126" s="3" t="s">
        <v>12</v>
      </c>
      <c r="C126" s="3" t="s">
        <v>13</v>
      </c>
      <c r="D126" s="3" t="s">
        <v>14</v>
      </c>
      <c r="E126" s="3" t="s">
        <v>15</v>
      </c>
      <c r="F126" s="3">
        <v>33474.411764705903</v>
      </c>
      <c r="G126" s="3" t="s">
        <v>16</v>
      </c>
      <c r="H126" s="3" t="s">
        <v>17</v>
      </c>
      <c r="I126" s="3">
        <f>IF(C126="India",1,IF(C126="USA",INDEX('Currency Master'!B:B,MATCH(DATE(N126,MONTH(DATEVALUE(O126&amp;" 1")),1),'Currency Master'!A:A,0)),IF(C126="Australia",INDEX('Currency Master'!T:T,MATCH(DATE(N126,MONTH(DATEVALUE(O126&amp;" 1")),1),'Currency Master'!A:A,0)),"")))</f>
        <v>1</v>
      </c>
      <c r="J126" s="3">
        <f t="shared" si="4"/>
        <v>33474.411764705903</v>
      </c>
      <c r="K126" s="3" t="str">
        <f t="shared" si="5"/>
        <v>₹/Candy</v>
      </c>
      <c r="L126" s="3">
        <v>-3.0248033877798002E-2</v>
      </c>
      <c r="M126" s="3">
        <v>5.4605263157894803E-2</v>
      </c>
      <c r="N126" s="3">
        <f t="shared" si="6"/>
        <v>2016</v>
      </c>
      <c r="O126" s="3" t="str">
        <f t="shared" si="7"/>
        <v>February</v>
      </c>
      <c r="P126" s="3" t="s">
        <v>18</v>
      </c>
      <c r="Q126" s="3"/>
    </row>
    <row r="127" spans="1:17" hidden="1" x14ac:dyDescent="0.3">
      <c r="A127" s="2">
        <v>42370</v>
      </c>
      <c r="B127" s="3" t="s">
        <v>12</v>
      </c>
      <c r="C127" s="3" t="s">
        <v>13</v>
      </c>
      <c r="D127" s="3" t="s">
        <v>14</v>
      </c>
      <c r="E127" s="3" t="s">
        <v>15</v>
      </c>
      <c r="F127" s="3">
        <v>34518.529411764699</v>
      </c>
      <c r="G127" s="3" t="s">
        <v>16</v>
      </c>
      <c r="H127" s="3" t="s">
        <v>17</v>
      </c>
      <c r="I127" s="3">
        <f>IF(C127="India",1,IF(C127="USA",INDEX('Currency Master'!B:B,MATCH(DATE(N127,MONTH(DATEVALUE(O127&amp;" 1")),1),'Currency Master'!A:A,0)),IF(C127="Australia",INDEX('Currency Master'!T:T,MATCH(DATE(N127,MONTH(DATEVALUE(O127&amp;" 1")),1),'Currency Master'!A:A,0)),"")))</f>
        <v>1</v>
      </c>
      <c r="J127" s="3">
        <f t="shared" si="4"/>
        <v>34518.529411764699</v>
      </c>
      <c r="K127" s="3" t="str">
        <f t="shared" si="5"/>
        <v>₹/Candy</v>
      </c>
      <c r="L127" s="3">
        <v>2.42571255306245E-3</v>
      </c>
      <c r="M127" s="3">
        <v>0.151114206128134</v>
      </c>
      <c r="N127" s="3">
        <f t="shared" si="6"/>
        <v>2016</v>
      </c>
      <c r="O127" s="3" t="str">
        <f t="shared" si="7"/>
        <v>January</v>
      </c>
      <c r="P127" s="3" t="s">
        <v>18</v>
      </c>
      <c r="Q127" s="3"/>
    </row>
    <row r="128" spans="1:17" hidden="1" x14ac:dyDescent="0.3">
      <c r="A128" s="2">
        <v>42339</v>
      </c>
      <c r="B128" s="3" t="s">
        <v>12</v>
      </c>
      <c r="C128" s="3" t="s">
        <v>13</v>
      </c>
      <c r="D128" s="3" t="s">
        <v>14</v>
      </c>
      <c r="E128" s="3" t="s">
        <v>15</v>
      </c>
      <c r="F128" s="3">
        <v>34435</v>
      </c>
      <c r="G128" s="3" t="s">
        <v>16</v>
      </c>
      <c r="H128" s="3" t="s">
        <v>17</v>
      </c>
      <c r="I128" s="3">
        <f>IF(C128="India",1,IF(C128="USA",INDEX('Currency Master'!B:B,MATCH(DATE(N128,MONTH(DATEVALUE(O128&amp;" 1")),1),'Currency Master'!A:A,0)),IF(C128="Australia",INDEX('Currency Master'!T:T,MATCH(DATE(N128,MONTH(DATEVALUE(O128&amp;" 1")),1),'Currency Master'!A:A,0)),"")))</f>
        <v>1</v>
      </c>
      <c r="J128" s="3">
        <f t="shared" si="4"/>
        <v>34435</v>
      </c>
      <c r="K128" s="3" t="str">
        <f t="shared" si="5"/>
        <v>₹/Candy</v>
      </c>
      <c r="L128" s="3">
        <v>2.2952853598015001E-2</v>
      </c>
      <c r="M128" s="3">
        <v>5.5022392834292999E-2</v>
      </c>
      <c r="N128" s="3">
        <f t="shared" si="6"/>
        <v>2015</v>
      </c>
      <c r="O128" s="3" t="str">
        <f t="shared" si="7"/>
        <v>December</v>
      </c>
      <c r="P128" s="3" t="s">
        <v>18</v>
      </c>
      <c r="Q128" s="3"/>
    </row>
    <row r="129" spans="1:17" hidden="1" x14ac:dyDescent="0.3">
      <c r="A129" s="2">
        <v>42309</v>
      </c>
      <c r="B129" s="3" t="s">
        <v>12</v>
      </c>
      <c r="C129" s="3" t="s">
        <v>13</v>
      </c>
      <c r="D129" s="3" t="s">
        <v>14</v>
      </c>
      <c r="E129" s="3" t="s">
        <v>15</v>
      </c>
      <c r="F129" s="3">
        <v>33662.352941176498</v>
      </c>
      <c r="G129" s="3" t="s">
        <v>16</v>
      </c>
      <c r="H129" s="3" t="s">
        <v>17</v>
      </c>
      <c r="I129" s="3">
        <f>IF(C129="India",1,IF(C129="USA",INDEX('Currency Master'!B:B,MATCH(DATE(N129,MONTH(DATEVALUE(O129&amp;" 1")),1),'Currency Master'!A:A,0)),IF(C129="Australia",INDEX('Currency Master'!T:T,MATCH(DATE(N129,MONTH(DATEVALUE(O129&amp;" 1")),1),'Currency Master'!A:A,0)),"")))</f>
        <v>1</v>
      </c>
      <c r="J129" s="3">
        <f t="shared" si="4"/>
        <v>33662.352941176498</v>
      </c>
      <c r="K129" s="3" t="str">
        <f t="shared" si="5"/>
        <v>₹/Candy</v>
      </c>
      <c r="L129" s="3">
        <v>3.9329464861379802E-2</v>
      </c>
      <c r="M129" s="3">
        <v>3.2671364509929503E-2</v>
      </c>
      <c r="N129" s="3">
        <f t="shared" si="6"/>
        <v>2015</v>
      </c>
      <c r="O129" s="3" t="str">
        <f t="shared" si="7"/>
        <v>November</v>
      </c>
      <c r="P129" s="3" t="s">
        <v>18</v>
      </c>
      <c r="Q129" s="3"/>
    </row>
    <row r="130" spans="1:17" hidden="1" x14ac:dyDescent="0.3">
      <c r="A130" s="2">
        <v>42278</v>
      </c>
      <c r="B130" s="3" t="s">
        <v>12</v>
      </c>
      <c r="C130" s="3" t="s">
        <v>13</v>
      </c>
      <c r="D130" s="3" t="s">
        <v>14</v>
      </c>
      <c r="E130" s="3" t="s">
        <v>15</v>
      </c>
      <c r="F130" s="3">
        <v>32388.529411764699</v>
      </c>
      <c r="G130" s="3" t="s">
        <v>16</v>
      </c>
      <c r="H130" s="3" t="s">
        <v>17</v>
      </c>
      <c r="I130" s="3">
        <f>IF(C130="India",1,IF(C130="USA",INDEX('Currency Master'!B:B,MATCH(DATE(N130,MONTH(DATEVALUE(O130&amp;" 1")),1),'Currency Master'!A:A,0)),IF(C130="Australia",INDEX('Currency Master'!T:T,MATCH(DATE(N130,MONTH(DATEVALUE(O130&amp;" 1")),1),'Currency Master'!A:A,0)),"")))</f>
        <v>1</v>
      </c>
      <c r="J130" s="3">
        <f t="shared" si="4"/>
        <v>32388.529411764699</v>
      </c>
      <c r="K130" s="3" t="str">
        <f t="shared" si="5"/>
        <v>₹/Candy</v>
      </c>
      <c r="L130" s="3">
        <v>-1.71102661596957E-2</v>
      </c>
      <c r="M130" s="3">
        <v>-5.65693430656935E-2</v>
      </c>
      <c r="N130" s="3">
        <f t="shared" si="6"/>
        <v>2015</v>
      </c>
      <c r="O130" s="3" t="str">
        <f t="shared" si="7"/>
        <v>October</v>
      </c>
      <c r="P130" s="3" t="s">
        <v>18</v>
      </c>
      <c r="Q130" s="3"/>
    </row>
    <row r="131" spans="1:17" hidden="1" x14ac:dyDescent="0.3">
      <c r="A131" s="2">
        <v>42248</v>
      </c>
      <c r="B131" s="3" t="s">
        <v>12</v>
      </c>
      <c r="C131" s="3" t="s">
        <v>13</v>
      </c>
      <c r="D131" s="3" t="s">
        <v>14</v>
      </c>
      <c r="E131" s="3" t="s">
        <v>15</v>
      </c>
      <c r="F131" s="3">
        <v>32952.352941176498</v>
      </c>
      <c r="G131" s="3" t="s">
        <v>16</v>
      </c>
      <c r="H131" s="3" t="s">
        <v>17</v>
      </c>
      <c r="I131" s="3">
        <f>IF(C131="India",1,IF(C131="USA",INDEX('Currency Master'!B:B,MATCH(DATE(N131,MONTH(DATEVALUE(O131&amp;" 1")),1),'Currency Master'!A:A,0)),IF(C131="Australia",INDEX('Currency Master'!T:T,MATCH(DATE(N131,MONTH(DATEVALUE(O131&amp;" 1")),1),'Currency Master'!A:A,0)),"")))</f>
        <v>1</v>
      </c>
      <c r="J131" s="3">
        <f t="shared" ref="J131:J194" si="8">IF(C131="India",F131,IF(C131="USA",IF(G131="US Cents/Lb",ROUND(((F131/100)/0.453592)*I131*356,0),F131),IF(C131="Australia",IF(G131="AUc/kg",ROUND((F131/100)*I131,2),F131),"")))</f>
        <v>32952.352941176498</v>
      </c>
      <c r="K131" s="3" t="str">
        <f t="shared" ref="K131:K194" si="9">IF(C131="India",G131,IF(C131="USA","₹/Candy",IF(C131="Australia","₹/Kg","")))</f>
        <v>₹/Candy</v>
      </c>
      <c r="L131" s="3">
        <v>-3.2495401594114098E-2</v>
      </c>
      <c r="M131" s="3">
        <v>-4.5949214026602202E-2</v>
      </c>
      <c r="N131" s="3">
        <f t="shared" ref="N131:N194" si="10">YEAR(A131)</f>
        <v>2015</v>
      </c>
      <c r="O131" s="3" t="str">
        <f t="shared" ref="O131:O194" si="11">TEXT(A131,"mmmm")</f>
        <v>September</v>
      </c>
      <c r="P131" s="3" t="s">
        <v>18</v>
      </c>
      <c r="Q131" s="3"/>
    </row>
    <row r="132" spans="1:17" hidden="1" x14ac:dyDescent="0.3">
      <c r="A132" s="2">
        <v>42217</v>
      </c>
      <c r="B132" s="3" t="s">
        <v>12</v>
      </c>
      <c r="C132" s="3" t="s">
        <v>13</v>
      </c>
      <c r="D132" s="3" t="s">
        <v>14</v>
      </c>
      <c r="E132" s="3" t="s">
        <v>15</v>
      </c>
      <c r="F132" s="3">
        <v>34059.117647058803</v>
      </c>
      <c r="G132" s="3" t="s">
        <v>16</v>
      </c>
      <c r="H132" s="3" t="s">
        <v>17</v>
      </c>
      <c r="I132" s="3">
        <f>IF(C132="India",1,IF(C132="USA",INDEX('Currency Master'!B:B,MATCH(DATE(N132,MONTH(DATEVALUE(O132&amp;" 1")),1),'Currency Master'!A:A,0)),IF(C132="Australia",INDEX('Currency Master'!T:T,MATCH(DATE(N132,MONTH(DATEVALUE(O132&amp;" 1")),1),'Currency Master'!A:A,0)),"")))</f>
        <v>1</v>
      </c>
      <c r="J132" s="3">
        <f t="shared" si="8"/>
        <v>34059.117647058803</v>
      </c>
      <c r="K132" s="3" t="str">
        <f t="shared" si="9"/>
        <v>₹/Candy</v>
      </c>
      <c r="L132" s="3">
        <v>0.10952380952381</v>
      </c>
      <c r="M132" s="3">
        <v>-9.2376182526432996E-2</v>
      </c>
      <c r="N132" s="3">
        <f t="shared" si="10"/>
        <v>2015</v>
      </c>
      <c r="O132" s="3" t="str">
        <f t="shared" si="11"/>
        <v>August</v>
      </c>
      <c r="P132" s="3" t="s">
        <v>18</v>
      </c>
      <c r="Q132" s="3"/>
    </row>
    <row r="133" spans="1:17" hidden="1" x14ac:dyDescent="0.3">
      <c r="A133" s="2">
        <v>42186</v>
      </c>
      <c r="B133" s="3" t="s">
        <v>12</v>
      </c>
      <c r="C133" s="3" t="s">
        <v>13</v>
      </c>
      <c r="D133" s="3" t="s">
        <v>14</v>
      </c>
      <c r="E133" s="3" t="s">
        <v>15</v>
      </c>
      <c r="F133" s="3">
        <v>30697.058823529402</v>
      </c>
      <c r="G133" s="3" t="s">
        <v>16</v>
      </c>
      <c r="H133" s="3" t="s">
        <v>17</v>
      </c>
      <c r="I133" s="3">
        <f>IF(C133="India",1,IF(C133="USA",INDEX('Currency Master'!B:B,MATCH(DATE(N133,MONTH(DATEVALUE(O133&amp;" 1")),1),'Currency Master'!A:A,0)),IF(C133="Australia",INDEX('Currency Master'!T:T,MATCH(DATE(N133,MONTH(DATEVALUE(O133&amp;" 1")),1),'Currency Master'!A:A,0)),"")))</f>
        <v>1</v>
      </c>
      <c r="J133" s="3">
        <f t="shared" si="8"/>
        <v>30697.058823529402</v>
      </c>
      <c r="K133" s="3" t="str">
        <f t="shared" si="9"/>
        <v>₹/Candy</v>
      </c>
      <c r="L133" s="3">
        <v>-7.2555205047318605E-2</v>
      </c>
      <c r="M133" s="3">
        <v>-0.22057264050901401</v>
      </c>
      <c r="N133" s="3">
        <f t="shared" si="10"/>
        <v>2015</v>
      </c>
      <c r="O133" s="3" t="str">
        <f t="shared" si="11"/>
        <v>July</v>
      </c>
      <c r="P133" s="3" t="s">
        <v>18</v>
      </c>
      <c r="Q133" s="3"/>
    </row>
    <row r="134" spans="1:17" hidden="1" x14ac:dyDescent="0.3">
      <c r="A134" s="2">
        <v>42156</v>
      </c>
      <c r="B134" s="3" t="s">
        <v>12</v>
      </c>
      <c r="C134" s="3" t="s">
        <v>13</v>
      </c>
      <c r="D134" s="3" t="s">
        <v>14</v>
      </c>
      <c r="E134" s="3" t="s">
        <v>15</v>
      </c>
      <c r="F134" s="3">
        <v>33098.529411764699</v>
      </c>
      <c r="G134" s="3" t="s">
        <v>16</v>
      </c>
      <c r="H134" s="3" t="s">
        <v>17</v>
      </c>
      <c r="I134" s="3">
        <f>IF(C134="India",1,IF(C134="USA",INDEX('Currency Master'!B:B,MATCH(DATE(N134,MONTH(DATEVALUE(O134&amp;" 1")),1),'Currency Master'!A:A,0)),IF(C134="Australia",INDEX('Currency Master'!T:T,MATCH(DATE(N134,MONTH(DATEVALUE(O134&amp;" 1")),1),'Currency Master'!A:A,0)),"")))</f>
        <v>1</v>
      </c>
      <c r="J134" s="3">
        <f t="shared" si="8"/>
        <v>33098.529411764699</v>
      </c>
      <c r="K134" s="3" t="str">
        <f t="shared" si="9"/>
        <v>₹/Candy</v>
      </c>
      <c r="L134" s="3">
        <v>-1.1845386533666E-2</v>
      </c>
      <c r="M134" s="3">
        <v>-0.20710355177588799</v>
      </c>
      <c r="N134" s="3">
        <f t="shared" si="10"/>
        <v>2015</v>
      </c>
      <c r="O134" s="3" t="str">
        <f t="shared" si="11"/>
        <v>June</v>
      </c>
      <c r="P134" s="3" t="s">
        <v>18</v>
      </c>
      <c r="Q134" s="3"/>
    </row>
    <row r="135" spans="1:17" hidden="1" x14ac:dyDescent="0.3">
      <c r="A135" s="2">
        <v>42125</v>
      </c>
      <c r="B135" s="3" t="s">
        <v>12</v>
      </c>
      <c r="C135" s="3" t="s">
        <v>13</v>
      </c>
      <c r="D135" s="3" t="s">
        <v>14</v>
      </c>
      <c r="E135" s="3" t="s">
        <v>15</v>
      </c>
      <c r="F135" s="3">
        <v>33495.294117647099</v>
      </c>
      <c r="G135" s="3" t="s">
        <v>16</v>
      </c>
      <c r="H135" s="3" t="s">
        <v>17</v>
      </c>
      <c r="I135" s="3">
        <f>IF(C135="India",1,IF(C135="USA",INDEX('Currency Master'!B:B,MATCH(DATE(N135,MONTH(DATEVALUE(O135&amp;" 1")),1),'Currency Master'!A:A,0)),IF(C135="Australia",INDEX('Currency Master'!T:T,MATCH(DATE(N135,MONTH(DATEVALUE(O135&amp;" 1")),1),'Currency Master'!A:A,0)),"")))</f>
        <v>1</v>
      </c>
      <c r="J135" s="3">
        <f t="shared" si="8"/>
        <v>33495.294117647099</v>
      </c>
      <c r="K135" s="3" t="str">
        <f t="shared" si="9"/>
        <v>₹/Candy</v>
      </c>
      <c r="L135" s="3">
        <v>-1.95599022004889E-2</v>
      </c>
      <c r="M135" s="3">
        <v>-0.17276946879835001</v>
      </c>
      <c r="N135" s="3">
        <f t="shared" si="10"/>
        <v>2015</v>
      </c>
      <c r="O135" s="3" t="str">
        <f t="shared" si="11"/>
        <v>May</v>
      </c>
      <c r="P135" s="3" t="s">
        <v>18</v>
      </c>
      <c r="Q135" s="3"/>
    </row>
    <row r="136" spans="1:17" hidden="1" x14ac:dyDescent="0.3">
      <c r="A136" s="2">
        <v>42095</v>
      </c>
      <c r="B136" s="3" t="s">
        <v>12</v>
      </c>
      <c r="C136" s="3" t="s">
        <v>13</v>
      </c>
      <c r="D136" s="3" t="s">
        <v>14</v>
      </c>
      <c r="E136" s="3" t="s">
        <v>15</v>
      </c>
      <c r="F136" s="3">
        <v>34163.529411764699</v>
      </c>
      <c r="G136" s="3" t="s">
        <v>16</v>
      </c>
      <c r="H136" s="3" t="s">
        <v>17</v>
      </c>
      <c r="I136" s="3">
        <f>IF(C136="India",1,IF(C136="USA",INDEX('Currency Master'!B:B,MATCH(DATE(N136,MONTH(DATEVALUE(O136&amp;" 1")),1),'Currency Master'!A:A,0)),IF(C136="Australia",INDEX('Currency Master'!T:T,MATCH(DATE(N136,MONTH(DATEVALUE(O136&amp;" 1")),1),'Currency Master'!A:A,0)),"")))</f>
        <v>1</v>
      </c>
      <c r="J136" s="3">
        <f t="shared" si="8"/>
        <v>34163.529411764699</v>
      </c>
      <c r="K136" s="3" t="str">
        <f t="shared" si="9"/>
        <v>₹/Candy</v>
      </c>
      <c r="L136" s="3">
        <v>7.2786885245901697E-2</v>
      </c>
      <c r="M136" s="3">
        <v>-0.226477541371158</v>
      </c>
      <c r="N136" s="3">
        <f t="shared" si="10"/>
        <v>2015</v>
      </c>
      <c r="O136" s="3" t="str">
        <f t="shared" si="11"/>
        <v>April</v>
      </c>
      <c r="P136" s="3" t="s">
        <v>18</v>
      </c>
      <c r="Q136" s="3"/>
    </row>
    <row r="137" spans="1:17" hidden="1" x14ac:dyDescent="0.3">
      <c r="A137" s="2">
        <v>42064</v>
      </c>
      <c r="B137" s="3" t="s">
        <v>12</v>
      </c>
      <c r="C137" s="3" t="s">
        <v>13</v>
      </c>
      <c r="D137" s="3" t="s">
        <v>14</v>
      </c>
      <c r="E137" s="3" t="s">
        <v>15</v>
      </c>
      <c r="F137" s="3">
        <v>31845.588235294101</v>
      </c>
      <c r="G137" s="3" t="s">
        <v>16</v>
      </c>
      <c r="H137" s="3" t="s">
        <v>17</v>
      </c>
      <c r="I137" s="3">
        <f>IF(C137="India",1,IF(C137="USA",INDEX('Currency Master'!B:B,MATCH(DATE(N137,MONTH(DATEVALUE(O137&amp;" 1")),1),'Currency Master'!A:A,0)),IF(C137="Australia",INDEX('Currency Master'!T:T,MATCH(DATE(N137,MONTH(DATEVALUE(O137&amp;" 1")),1),'Currency Master'!A:A,0)),"")))</f>
        <v>1</v>
      </c>
      <c r="J137" s="3">
        <f t="shared" si="8"/>
        <v>31845.588235294101</v>
      </c>
      <c r="K137" s="3" t="str">
        <f t="shared" si="9"/>
        <v>₹/Candy</v>
      </c>
      <c r="L137" s="3">
        <v>3.2894736842103999E-3</v>
      </c>
      <c r="M137" s="3">
        <v>-0.24913835548990601</v>
      </c>
      <c r="N137" s="3">
        <f t="shared" si="10"/>
        <v>2015</v>
      </c>
      <c r="O137" s="3" t="str">
        <f t="shared" si="11"/>
        <v>March</v>
      </c>
      <c r="P137" s="3" t="s">
        <v>18</v>
      </c>
      <c r="Q137" s="3"/>
    </row>
    <row r="138" spans="1:17" hidden="1" x14ac:dyDescent="0.3">
      <c r="A138" s="2">
        <v>42036</v>
      </c>
      <c r="B138" s="3" t="s">
        <v>12</v>
      </c>
      <c r="C138" s="3" t="s">
        <v>13</v>
      </c>
      <c r="D138" s="3" t="s">
        <v>14</v>
      </c>
      <c r="E138" s="3" t="s">
        <v>15</v>
      </c>
      <c r="F138" s="3">
        <v>31741.176470588201</v>
      </c>
      <c r="G138" s="3" t="s">
        <v>16</v>
      </c>
      <c r="H138" s="3" t="s">
        <v>17</v>
      </c>
      <c r="I138" s="3">
        <f>IF(C138="India",1,IF(C138="USA",INDEX('Currency Master'!B:B,MATCH(DATE(N138,MONTH(DATEVALUE(O138&amp;" 1")),1),'Currency Master'!A:A,0)),IF(C138="Australia",INDEX('Currency Master'!T:T,MATCH(DATE(N138,MONTH(DATEVALUE(O138&amp;" 1")),1),'Currency Master'!A:A,0)),"")))</f>
        <v>1</v>
      </c>
      <c r="J138" s="3">
        <f t="shared" si="8"/>
        <v>31741.176470588201</v>
      </c>
      <c r="K138" s="3" t="str">
        <f t="shared" si="9"/>
        <v>₹/Candy</v>
      </c>
      <c r="L138" s="3">
        <v>5.8495821727019497E-2</v>
      </c>
      <c r="M138" s="3">
        <v>-0.24677898909811699</v>
      </c>
      <c r="N138" s="3">
        <f t="shared" si="10"/>
        <v>2015</v>
      </c>
      <c r="O138" s="3" t="str">
        <f t="shared" si="11"/>
        <v>February</v>
      </c>
      <c r="P138" s="3" t="s">
        <v>18</v>
      </c>
      <c r="Q138" s="3"/>
    </row>
    <row r="139" spans="1:17" hidden="1" x14ac:dyDescent="0.3">
      <c r="A139" s="2">
        <v>42005</v>
      </c>
      <c r="B139" s="3" t="s">
        <v>12</v>
      </c>
      <c r="C139" s="3" t="s">
        <v>13</v>
      </c>
      <c r="D139" s="3" t="s">
        <v>14</v>
      </c>
      <c r="E139" s="3" t="s">
        <v>15</v>
      </c>
      <c r="F139" s="3">
        <v>29987.058823529402</v>
      </c>
      <c r="G139" s="3" t="s">
        <v>16</v>
      </c>
      <c r="H139" s="3" t="s">
        <v>17</v>
      </c>
      <c r="I139" s="3">
        <f>IF(C139="India",1,IF(C139="USA",INDEX('Currency Master'!B:B,MATCH(DATE(N139,MONTH(DATEVALUE(O139&amp;" 1")),1),'Currency Master'!A:A,0)),IF(C139="Australia",INDEX('Currency Master'!T:T,MATCH(DATE(N139,MONTH(DATEVALUE(O139&amp;" 1")),1),'Currency Master'!A:A,0)),"")))</f>
        <v>1</v>
      </c>
      <c r="J139" s="3">
        <f t="shared" si="8"/>
        <v>29987.058823529402</v>
      </c>
      <c r="K139" s="3" t="str">
        <f t="shared" si="9"/>
        <v>₹/Candy</v>
      </c>
      <c r="L139" s="3">
        <v>-8.1253998720409407E-2</v>
      </c>
      <c r="M139" s="3">
        <v>-0.298142717497556</v>
      </c>
      <c r="N139" s="3">
        <f t="shared" si="10"/>
        <v>2015</v>
      </c>
      <c r="O139" s="3" t="str">
        <f t="shared" si="11"/>
        <v>January</v>
      </c>
      <c r="P139" s="3" t="s">
        <v>18</v>
      </c>
      <c r="Q139" s="3"/>
    </row>
    <row r="140" spans="1:17" hidden="1" x14ac:dyDescent="0.3">
      <c r="A140" s="2">
        <v>41974</v>
      </c>
      <c r="B140" s="3" t="s">
        <v>12</v>
      </c>
      <c r="C140" s="3" t="s">
        <v>13</v>
      </c>
      <c r="D140" s="3" t="s">
        <v>14</v>
      </c>
      <c r="E140" s="3" t="s">
        <v>15</v>
      </c>
      <c r="F140" s="3">
        <v>32639.1176470588</v>
      </c>
      <c r="G140" s="3" t="s">
        <v>16</v>
      </c>
      <c r="H140" s="3" t="s">
        <v>17</v>
      </c>
      <c r="I140" s="3">
        <f>IF(C140="India",1,IF(C140="USA",INDEX('Currency Master'!B:B,MATCH(DATE(N140,MONTH(DATEVALUE(O140&amp;" 1")),1),'Currency Master'!A:A,0)),IF(C140="Australia",INDEX('Currency Master'!T:T,MATCH(DATE(N140,MONTH(DATEVALUE(O140&amp;" 1")),1),'Currency Master'!A:A,0)),"")))</f>
        <v>1</v>
      </c>
      <c r="J140" s="3">
        <f t="shared" si="8"/>
        <v>32639.1176470588</v>
      </c>
      <c r="K140" s="3" t="str">
        <f t="shared" si="9"/>
        <v>₹/Candy</v>
      </c>
      <c r="L140" s="3">
        <v>1.2812299807813999E-3</v>
      </c>
      <c r="M140" s="3">
        <v>-0.20132856412876901</v>
      </c>
      <c r="N140" s="3">
        <f t="shared" si="10"/>
        <v>2014</v>
      </c>
      <c r="O140" s="3" t="str">
        <f t="shared" si="11"/>
        <v>December</v>
      </c>
      <c r="P140" s="3" t="s">
        <v>18</v>
      </c>
      <c r="Q140" s="3"/>
    </row>
    <row r="141" spans="1:17" hidden="1" x14ac:dyDescent="0.3">
      <c r="A141" s="2">
        <v>41944</v>
      </c>
      <c r="B141" s="3" t="s">
        <v>12</v>
      </c>
      <c r="C141" s="3" t="s">
        <v>13</v>
      </c>
      <c r="D141" s="3" t="s">
        <v>14</v>
      </c>
      <c r="E141" s="3" t="s">
        <v>15</v>
      </c>
      <c r="F141" s="3">
        <v>32597.352941176501</v>
      </c>
      <c r="G141" s="3" t="s">
        <v>16</v>
      </c>
      <c r="H141" s="3" t="s">
        <v>17</v>
      </c>
      <c r="I141" s="3">
        <f>IF(C141="India",1,IF(C141="USA",INDEX('Currency Master'!B:B,MATCH(DATE(N141,MONTH(DATEVALUE(O141&amp;" 1")),1),'Currency Master'!A:A,0)),IF(C141="Australia",INDEX('Currency Master'!T:T,MATCH(DATE(N141,MONTH(DATEVALUE(O141&amp;" 1")),1),'Currency Master'!A:A,0)),"")))</f>
        <v>1</v>
      </c>
      <c r="J141" s="3">
        <f t="shared" si="8"/>
        <v>32597.352941176501</v>
      </c>
      <c r="K141" s="3" t="str">
        <f t="shared" si="9"/>
        <v>₹/Candy</v>
      </c>
      <c r="L141" s="3">
        <v>-5.0486618004866202E-2</v>
      </c>
      <c r="M141" s="3">
        <v>-0.15163043478260901</v>
      </c>
      <c r="N141" s="3">
        <f t="shared" si="10"/>
        <v>2014</v>
      </c>
      <c r="O141" s="3" t="str">
        <f t="shared" si="11"/>
        <v>November</v>
      </c>
      <c r="P141" s="3" t="s">
        <v>18</v>
      </c>
      <c r="Q141" s="3"/>
    </row>
    <row r="142" spans="1:17" hidden="1" x14ac:dyDescent="0.3">
      <c r="A142" s="2">
        <v>41913</v>
      </c>
      <c r="B142" s="3" t="s">
        <v>12</v>
      </c>
      <c r="C142" s="3" t="s">
        <v>13</v>
      </c>
      <c r="D142" s="3" t="s">
        <v>14</v>
      </c>
      <c r="E142" s="3" t="s">
        <v>15</v>
      </c>
      <c r="F142" s="3">
        <v>34330.588235294097</v>
      </c>
      <c r="G142" s="3" t="s">
        <v>16</v>
      </c>
      <c r="H142" s="3" t="s">
        <v>17</v>
      </c>
      <c r="I142" s="3">
        <f>IF(C142="India",1,IF(C142="USA",INDEX('Currency Master'!B:B,MATCH(DATE(N142,MONTH(DATEVALUE(O142&amp;" 1")),1),'Currency Master'!A:A,0)),IF(C142="Australia",INDEX('Currency Master'!T:T,MATCH(DATE(N142,MONTH(DATEVALUE(O142&amp;" 1")),1),'Currency Master'!A:A,0)),"")))</f>
        <v>1</v>
      </c>
      <c r="J142" s="3">
        <f t="shared" si="8"/>
        <v>34330.588235294097</v>
      </c>
      <c r="K142" s="3" t="str">
        <f t="shared" si="9"/>
        <v>₹/Candy</v>
      </c>
      <c r="L142" s="3">
        <v>-6.04594921402657E-3</v>
      </c>
      <c r="M142" s="3">
        <v>-0.224893917963225</v>
      </c>
      <c r="N142" s="3">
        <f t="shared" si="10"/>
        <v>2014</v>
      </c>
      <c r="O142" s="3" t="str">
        <f t="shared" si="11"/>
        <v>October</v>
      </c>
      <c r="P142" s="3" t="s">
        <v>18</v>
      </c>
      <c r="Q142" s="3"/>
    </row>
    <row r="143" spans="1:17" hidden="1" x14ac:dyDescent="0.3">
      <c r="A143" s="2">
        <v>41883</v>
      </c>
      <c r="B143" s="3" t="s">
        <v>12</v>
      </c>
      <c r="C143" s="3" t="s">
        <v>13</v>
      </c>
      <c r="D143" s="3" t="s">
        <v>14</v>
      </c>
      <c r="E143" s="3" t="s">
        <v>15</v>
      </c>
      <c r="F143" s="3">
        <v>34539.411764705903</v>
      </c>
      <c r="G143" s="3" t="s">
        <v>16</v>
      </c>
      <c r="H143" s="3" t="s">
        <v>17</v>
      </c>
      <c r="I143" s="3">
        <f>IF(C143="India",1,IF(C143="USA",INDEX('Currency Master'!B:B,MATCH(DATE(N143,MONTH(DATEVALUE(O143&amp;" 1")),1),'Currency Master'!A:A,0)),IF(C143="Australia",INDEX('Currency Master'!T:T,MATCH(DATE(N143,MONTH(DATEVALUE(O143&amp;" 1")),1),'Currency Master'!A:A,0)),"")))</f>
        <v>1</v>
      </c>
      <c r="J143" s="3">
        <f t="shared" si="8"/>
        <v>34539.411764705903</v>
      </c>
      <c r="K143" s="3" t="str">
        <f t="shared" si="9"/>
        <v>₹/Candy</v>
      </c>
      <c r="L143" s="3">
        <v>-7.9577072899276596E-2</v>
      </c>
      <c r="M143" s="3">
        <v>-0.239889705882353</v>
      </c>
      <c r="N143" s="3">
        <f t="shared" si="10"/>
        <v>2014</v>
      </c>
      <c r="O143" s="3" t="str">
        <f t="shared" si="11"/>
        <v>September</v>
      </c>
      <c r="P143" s="3" t="s">
        <v>18</v>
      </c>
      <c r="Q143" s="3"/>
    </row>
    <row r="144" spans="1:17" hidden="1" x14ac:dyDescent="0.3">
      <c r="A144" s="2">
        <v>41852</v>
      </c>
      <c r="B144" s="3" t="s">
        <v>12</v>
      </c>
      <c r="C144" s="3" t="s">
        <v>13</v>
      </c>
      <c r="D144" s="3" t="s">
        <v>14</v>
      </c>
      <c r="E144" s="3" t="s">
        <v>15</v>
      </c>
      <c r="F144" s="3">
        <v>37525.588235294097</v>
      </c>
      <c r="G144" s="3" t="s">
        <v>16</v>
      </c>
      <c r="H144" s="3" t="s">
        <v>17</v>
      </c>
      <c r="I144" s="3">
        <f>IF(C144="India",1,IF(C144="USA",INDEX('Currency Master'!B:B,MATCH(DATE(N144,MONTH(DATEVALUE(O144&amp;" 1")),1),'Currency Master'!A:A,0)),IF(C144="Australia",INDEX('Currency Master'!T:T,MATCH(DATE(N144,MONTH(DATEVALUE(O144&amp;" 1")),1),'Currency Master'!A:A,0)),"")))</f>
        <v>1</v>
      </c>
      <c r="J144" s="3">
        <f t="shared" si="8"/>
        <v>37525.588235294097</v>
      </c>
      <c r="K144" s="3" t="str">
        <f t="shared" si="9"/>
        <v>₹/Candy</v>
      </c>
      <c r="L144" s="3">
        <v>-4.7189819724284203E-2</v>
      </c>
      <c r="M144" s="3">
        <v>-0.208021154693698</v>
      </c>
      <c r="N144" s="3">
        <f t="shared" si="10"/>
        <v>2014</v>
      </c>
      <c r="O144" s="3" t="str">
        <f t="shared" si="11"/>
        <v>August</v>
      </c>
      <c r="P144" s="3" t="s">
        <v>18</v>
      </c>
      <c r="Q144" s="3"/>
    </row>
    <row r="145" spans="1:17" hidden="1" x14ac:dyDescent="0.3">
      <c r="A145" s="2">
        <v>41821</v>
      </c>
      <c r="B145" s="3" t="s">
        <v>12</v>
      </c>
      <c r="C145" s="3" t="s">
        <v>13</v>
      </c>
      <c r="D145" s="3" t="s">
        <v>14</v>
      </c>
      <c r="E145" s="3" t="s">
        <v>15</v>
      </c>
      <c r="F145" s="3">
        <v>39384.117647058803</v>
      </c>
      <c r="G145" s="3" t="s">
        <v>16</v>
      </c>
      <c r="H145" s="3" t="s">
        <v>17</v>
      </c>
      <c r="I145" s="3">
        <f>IF(C145="India",1,IF(C145="USA",INDEX('Currency Master'!B:B,MATCH(DATE(N145,MONTH(DATEVALUE(O145&amp;" 1")),1),'Currency Master'!A:A,0)),IF(C145="Australia",INDEX('Currency Master'!T:T,MATCH(DATE(N145,MONTH(DATEVALUE(O145&amp;" 1")),1),'Currency Master'!A:A,0)),"")))</f>
        <v>1</v>
      </c>
      <c r="J145" s="3">
        <f t="shared" si="8"/>
        <v>39384.117647058803</v>
      </c>
      <c r="K145" s="3" t="str">
        <f t="shared" si="9"/>
        <v>₹/Candy</v>
      </c>
      <c r="L145" s="3">
        <v>-5.6528264132066103E-2</v>
      </c>
      <c r="M145" s="3">
        <v>-4.0203562340967003E-2</v>
      </c>
      <c r="N145" s="3">
        <f t="shared" si="10"/>
        <v>2014</v>
      </c>
      <c r="O145" s="3" t="str">
        <f t="shared" si="11"/>
        <v>July</v>
      </c>
      <c r="P145" s="3" t="s">
        <v>18</v>
      </c>
      <c r="Q145" s="3"/>
    </row>
    <row r="146" spans="1:17" hidden="1" x14ac:dyDescent="0.3">
      <c r="A146" s="2">
        <v>41791</v>
      </c>
      <c r="B146" s="3" t="s">
        <v>12</v>
      </c>
      <c r="C146" s="3" t="s">
        <v>13</v>
      </c>
      <c r="D146" s="3" t="s">
        <v>14</v>
      </c>
      <c r="E146" s="3" t="s">
        <v>15</v>
      </c>
      <c r="F146" s="3">
        <v>41743.823529411799</v>
      </c>
      <c r="G146" s="3" t="s">
        <v>16</v>
      </c>
      <c r="H146" s="3" t="s">
        <v>17</v>
      </c>
      <c r="I146" s="3">
        <f>IF(C146="India",1,IF(C146="USA",INDEX('Currency Master'!B:B,MATCH(DATE(N146,MONTH(DATEVALUE(O146&amp;" 1")),1),'Currency Master'!A:A,0)),IF(C146="Australia",INDEX('Currency Master'!T:T,MATCH(DATE(N146,MONTH(DATEVALUE(O146&amp;" 1")),1),'Currency Master'!A:A,0)),"")))</f>
        <v>1</v>
      </c>
      <c r="J146" s="3">
        <f t="shared" si="8"/>
        <v>41743.823529411799</v>
      </c>
      <c r="K146" s="3" t="str">
        <f t="shared" si="9"/>
        <v>₹/Candy</v>
      </c>
      <c r="L146" s="3">
        <v>3.0943785456421E-2</v>
      </c>
      <c r="M146" s="3">
        <v>3.41438178996381E-2</v>
      </c>
      <c r="N146" s="3">
        <f t="shared" si="10"/>
        <v>2014</v>
      </c>
      <c r="O146" s="3" t="str">
        <f t="shared" si="11"/>
        <v>June</v>
      </c>
      <c r="P146" s="3" t="s">
        <v>18</v>
      </c>
      <c r="Q146" s="3"/>
    </row>
    <row r="147" spans="1:17" hidden="1" x14ac:dyDescent="0.3">
      <c r="A147" s="2">
        <v>41760</v>
      </c>
      <c r="B147" s="3" t="s">
        <v>12</v>
      </c>
      <c r="C147" s="3" t="s">
        <v>13</v>
      </c>
      <c r="D147" s="3" t="s">
        <v>14</v>
      </c>
      <c r="E147" s="3" t="s">
        <v>15</v>
      </c>
      <c r="F147" s="3">
        <v>40490.882352941197</v>
      </c>
      <c r="G147" s="3" t="s">
        <v>16</v>
      </c>
      <c r="H147" s="3" t="s">
        <v>17</v>
      </c>
      <c r="I147" s="3">
        <f>IF(C147="India",1,IF(C147="USA",INDEX('Currency Master'!B:B,MATCH(DATE(N147,MONTH(DATEVALUE(O147&amp;" 1")),1),'Currency Master'!A:A,0)),IF(C147="Australia",INDEX('Currency Master'!T:T,MATCH(DATE(N147,MONTH(DATEVALUE(O147&amp;" 1")),1),'Currency Master'!A:A,0)),"")))</f>
        <v>1</v>
      </c>
      <c r="J147" s="3">
        <f t="shared" si="8"/>
        <v>40490.882352941197</v>
      </c>
      <c r="K147" s="3" t="str">
        <f t="shared" si="9"/>
        <v>₹/Candy</v>
      </c>
      <c r="L147" s="3">
        <v>-8.3215130023640602E-2</v>
      </c>
      <c r="M147" s="3">
        <v>5.1518438177874201E-2</v>
      </c>
      <c r="N147" s="3">
        <f t="shared" si="10"/>
        <v>2014</v>
      </c>
      <c r="O147" s="3" t="str">
        <f t="shared" si="11"/>
        <v>May</v>
      </c>
      <c r="P147" s="3" t="s">
        <v>18</v>
      </c>
      <c r="Q147" s="3"/>
    </row>
    <row r="148" spans="1:17" hidden="1" x14ac:dyDescent="0.3">
      <c r="A148" s="2">
        <v>41730</v>
      </c>
      <c r="B148" s="3" t="s">
        <v>12</v>
      </c>
      <c r="C148" s="3" t="s">
        <v>13</v>
      </c>
      <c r="D148" s="3" t="s">
        <v>14</v>
      </c>
      <c r="E148" s="3" t="s">
        <v>15</v>
      </c>
      <c r="F148" s="3">
        <v>44166.176470588201</v>
      </c>
      <c r="G148" s="3" t="s">
        <v>16</v>
      </c>
      <c r="H148" s="3" t="s">
        <v>17</v>
      </c>
      <c r="I148" s="3">
        <f>IF(C148="India",1,IF(C148="USA",INDEX('Currency Master'!B:B,MATCH(DATE(N148,MONTH(DATEVALUE(O148&amp;" 1")),1),'Currency Master'!A:A,0)),IF(C148="Australia",INDEX('Currency Master'!T:T,MATCH(DATE(N148,MONTH(DATEVALUE(O148&amp;" 1")),1),'Currency Master'!A:A,0)),"")))</f>
        <v>1</v>
      </c>
      <c r="J148" s="3">
        <f t="shared" si="8"/>
        <v>44166.176470588201</v>
      </c>
      <c r="K148" s="3" t="str">
        <f t="shared" si="9"/>
        <v>₹/Candy</v>
      </c>
      <c r="L148" s="3">
        <v>4.1358936484490197E-2</v>
      </c>
      <c r="M148" s="3">
        <v>0.17044825677919201</v>
      </c>
      <c r="N148" s="3">
        <f t="shared" si="10"/>
        <v>2014</v>
      </c>
      <c r="O148" s="3" t="str">
        <f t="shared" si="11"/>
        <v>April</v>
      </c>
      <c r="P148" s="3" t="s">
        <v>18</v>
      </c>
      <c r="Q148" s="3"/>
    </row>
    <row r="149" spans="1:17" hidden="1" x14ac:dyDescent="0.3">
      <c r="A149" s="2">
        <v>41699</v>
      </c>
      <c r="B149" s="3" t="s">
        <v>12</v>
      </c>
      <c r="C149" s="3" t="s">
        <v>13</v>
      </c>
      <c r="D149" s="3" t="s">
        <v>14</v>
      </c>
      <c r="E149" s="3" t="s">
        <v>15</v>
      </c>
      <c r="F149" s="3">
        <v>42412.058823529398</v>
      </c>
      <c r="G149" s="3" t="s">
        <v>16</v>
      </c>
      <c r="H149" s="3" t="s">
        <v>17</v>
      </c>
      <c r="I149" s="3">
        <f>IF(C149="India",1,IF(C149="USA",INDEX('Currency Master'!B:B,MATCH(DATE(N149,MONTH(DATEVALUE(O149&amp;" 1")),1),'Currency Master'!A:A,0)),IF(C149="Australia",INDEX('Currency Master'!T:T,MATCH(DATE(N149,MONTH(DATEVALUE(O149&amp;" 1")),1),'Currency Master'!A:A,0)),"")))</f>
        <v>1</v>
      </c>
      <c r="J149" s="3">
        <f t="shared" si="8"/>
        <v>42412.058823529398</v>
      </c>
      <c r="K149" s="3" t="str">
        <f t="shared" si="9"/>
        <v>₹/Candy</v>
      </c>
      <c r="L149" s="3">
        <v>6.4420218037661804E-3</v>
      </c>
      <c r="M149" s="3">
        <v>5.0698396275219902E-2</v>
      </c>
      <c r="N149" s="3">
        <f t="shared" si="10"/>
        <v>2014</v>
      </c>
      <c r="O149" s="3" t="str">
        <f t="shared" si="11"/>
        <v>March</v>
      </c>
      <c r="P149" s="3" t="s">
        <v>18</v>
      </c>
      <c r="Q149" s="3"/>
    </row>
    <row r="150" spans="1:17" hidden="1" x14ac:dyDescent="0.3">
      <c r="A150" s="2">
        <v>41671</v>
      </c>
      <c r="B150" s="3" t="s">
        <v>12</v>
      </c>
      <c r="C150" s="3" t="s">
        <v>13</v>
      </c>
      <c r="D150" s="3" t="s">
        <v>14</v>
      </c>
      <c r="E150" s="3" t="s">
        <v>15</v>
      </c>
      <c r="F150" s="3">
        <v>42140.588235294097</v>
      </c>
      <c r="G150" s="3" t="s">
        <v>16</v>
      </c>
      <c r="H150" s="3" t="s">
        <v>17</v>
      </c>
      <c r="I150" s="3">
        <f>IF(C150="India",1,IF(C150="USA",INDEX('Currency Master'!B:B,MATCH(DATE(N150,MONTH(DATEVALUE(O150&amp;" 1")),1),'Currency Master'!A:A,0)),IF(C150="Australia",INDEX('Currency Master'!T:T,MATCH(DATE(N150,MONTH(DATEVALUE(O150&amp;" 1")),1),'Currency Master'!A:A,0)),"")))</f>
        <v>1</v>
      </c>
      <c r="J150" s="3">
        <f t="shared" si="8"/>
        <v>42140.588235294097</v>
      </c>
      <c r="K150" s="3" t="str">
        <f t="shared" si="9"/>
        <v>₹/Candy</v>
      </c>
      <c r="L150" s="3">
        <v>-1.36852394916912E-2</v>
      </c>
      <c r="M150" s="3">
        <v>0.10273224043715901</v>
      </c>
      <c r="N150" s="3">
        <f t="shared" si="10"/>
        <v>2014</v>
      </c>
      <c r="O150" s="3" t="str">
        <f t="shared" si="11"/>
        <v>February</v>
      </c>
      <c r="P150" s="3" t="s">
        <v>18</v>
      </c>
      <c r="Q150" s="3"/>
    </row>
    <row r="151" spans="1:17" hidden="1" x14ac:dyDescent="0.3">
      <c r="A151" s="2">
        <v>41640</v>
      </c>
      <c r="B151" s="3" t="s">
        <v>12</v>
      </c>
      <c r="C151" s="3" t="s">
        <v>13</v>
      </c>
      <c r="D151" s="3" t="s">
        <v>14</v>
      </c>
      <c r="E151" s="3" t="s">
        <v>15</v>
      </c>
      <c r="F151" s="3">
        <v>42725.294117647099</v>
      </c>
      <c r="G151" s="3" t="s">
        <v>16</v>
      </c>
      <c r="H151" s="3" t="s">
        <v>17</v>
      </c>
      <c r="I151" s="3">
        <f>IF(C151="India",1,IF(C151="USA",INDEX('Currency Master'!B:B,MATCH(DATE(N151,MONTH(DATEVALUE(O151&amp;" 1")),1),'Currency Master'!A:A,0)),IF(C151="Australia",INDEX('Currency Master'!T:T,MATCH(DATE(N151,MONTH(DATEVALUE(O151&amp;" 1")),1),'Currency Master'!A:A,0)),"")))</f>
        <v>1</v>
      </c>
      <c r="J151" s="3">
        <f t="shared" si="8"/>
        <v>42725.294117647099</v>
      </c>
      <c r="K151" s="3" t="str">
        <f t="shared" si="9"/>
        <v>₹/Candy</v>
      </c>
      <c r="L151" s="3">
        <v>4.5477772100153399E-2</v>
      </c>
      <c r="M151" s="3">
        <v>0.24</v>
      </c>
      <c r="N151" s="3">
        <f t="shared" si="10"/>
        <v>2014</v>
      </c>
      <c r="O151" s="3" t="str">
        <f t="shared" si="11"/>
        <v>January</v>
      </c>
      <c r="P151" s="3" t="s">
        <v>18</v>
      </c>
      <c r="Q151" s="3"/>
    </row>
    <row r="152" spans="1:17" hidden="1" x14ac:dyDescent="0.3">
      <c r="A152" s="2">
        <v>41609</v>
      </c>
      <c r="B152" s="3" t="s">
        <v>12</v>
      </c>
      <c r="C152" s="3" t="s">
        <v>13</v>
      </c>
      <c r="D152" s="3" t="s">
        <v>14</v>
      </c>
      <c r="E152" s="3" t="s">
        <v>15</v>
      </c>
      <c r="F152" s="3">
        <v>40866.7647058824</v>
      </c>
      <c r="G152" s="3" t="s">
        <v>16</v>
      </c>
      <c r="H152" s="3" t="s">
        <v>17</v>
      </c>
      <c r="I152" s="3">
        <f>IF(C152="India",1,IF(C152="USA",INDEX('Currency Master'!B:B,MATCH(DATE(N152,MONTH(DATEVALUE(O152&amp;" 1")),1),'Currency Master'!A:A,0)),IF(C152="Australia",INDEX('Currency Master'!T:T,MATCH(DATE(N152,MONTH(DATEVALUE(O152&amp;" 1")),1),'Currency Master'!A:A,0)),"")))</f>
        <v>1</v>
      </c>
      <c r="J152" s="3">
        <f t="shared" si="8"/>
        <v>40866.7647058824</v>
      </c>
      <c r="K152" s="3" t="str">
        <f t="shared" si="9"/>
        <v>₹/Candy</v>
      </c>
      <c r="L152" s="3">
        <v>6.3586956521739305E-2</v>
      </c>
      <c r="M152" s="3">
        <v>0.19694189602446499</v>
      </c>
      <c r="N152" s="3">
        <f t="shared" si="10"/>
        <v>2013</v>
      </c>
      <c r="O152" s="3" t="str">
        <f t="shared" si="11"/>
        <v>December</v>
      </c>
      <c r="P152" s="3" t="s">
        <v>18</v>
      </c>
      <c r="Q152" s="3"/>
    </row>
    <row r="153" spans="1:17" hidden="1" x14ac:dyDescent="0.3">
      <c r="A153" s="2">
        <v>41579</v>
      </c>
      <c r="B153" s="3" t="s">
        <v>12</v>
      </c>
      <c r="C153" s="3" t="s">
        <v>13</v>
      </c>
      <c r="D153" s="3" t="s">
        <v>14</v>
      </c>
      <c r="E153" s="3" t="s">
        <v>15</v>
      </c>
      <c r="F153" s="3">
        <v>38423.529411764699</v>
      </c>
      <c r="G153" s="3" t="s">
        <v>16</v>
      </c>
      <c r="H153" s="3" t="s">
        <v>17</v>
      </c>
      <c r="I153" s="3">
        <f>IF(C153="India",1,IF(C153="USA",INDEX('Currency Master'!B:B,MATCH(DATE(N153,MONTH(DATEVALUE(O153&amp;" 1")),1),'Currency Master'!A:A,0)),IF(C153="Australia",INDEX('Currency Master'!T:T,MATCH(DATE(N153,MONTH(DATEVALUE(O153&amp;" 1")),1),'Currency Master'!A:A,0)),"")))</f>
        <v>1</v>
      </c>
      <c r="J153" s="3">
        <f t="shared" si="8"/>
        <v>38423.529411764699</v>
      </c>
      <c r="K153" s="3" t="str">
        <f t="shared" si="9"/>
        <v>₹/Candy</v>
      </c>
      <c r="L153" s="3">
        <v>-0.132484677039132</v>
      </c>
      <c r="M153" s="3">
        <v>0.14073155610663399</v>
      </c>
      <c r="N153" s="3">
        <f t="shared" si="10"/>
        <v>2013</v>
      </c>
      <c r="O153" s="3" t="str">
        <f t="shared" si="11"/>
        <v>November</v>
      </c>
      <c r="P153" s="3" t="s">
        <v>18</v>
      </c>
      <c r="Q153" s="3"/>
    </row>
    <row r="154" spans="1:17" hidden="1" x14ac:dyDescent="0.3">
      <c r="A154" s="2">
        <v>41548</v>
      </c>
      <c r="B154" s="3" t="s">
        <v>12</v>
      </c>
      <c r="C154" s="3" t="s">
        <v>13</v>
      </c>
      <c r="D154" s="3" t="s">
        <v>14</v>
      </c>
      <c r="E154" s="3" t="s">
        <v>15</v>
      </c>
      <c r="F154" s="3">
        <v>44291.470588235301</v>
      </c>
      <c r="G154" s="3" t="s">
        <v>16</v>
      </c>
      <c r="H154" s="3" t="s">
        <v>17</v>
      </c>
      <c r="I154" s="3">
        <f>IF(C154="India",1,IF(C154="USA",INDEX('Currency Master'!B:B,MATCH(DATE(N154,MONTH(DATEVALUE(O154&amp;" 1")),1),'Currency Master'!A:A,0)),IF(C154="Australia",INDEX('Currency Master'!T:T,MATCH(DATE(N154,MONTH(DATEVALUE(O154&amp;" 1")),1),'Currency Master'!A:A,0)),"")))</f>
        <v>1</v>
      </c>
      <c r="J154" s="3">
        <f t="shared" si="8"/>
        <v>44291.470588235301</v>
      </c>
      <c r="K154" s="3" t="str">
        <f t="shared" si="9"/>
        <v>₹/Candy</v>
      </c>
      <c r="L154" s="3">
        <v>-2.5275735294117599E-2</v>
      </c>
      <c r="M154" s="3">
        <v>0.32231920199501202</v>
      </c>
      <c r="N154" s="3">
        <f t="shared" si="10"/>
        <v>2013</v>
      </c>
      <c r="O154" s="3" t="str">
        <f t="shared" si="11"/>
        <v>October</v>
      </c>
      <c r="P154" s="3" t="s">
        <v>18</v>
      </c>
      <c r="Q154" s="3"/>
    </row>
    <row r="155" spans="1:17" hidden="1" x14ac:dyDescent="0.3">
      <c r="A155" s="2">
        <v>41518</v>
      </c>
      <c r="B155" s="3" t="s">
        <v>12</v>
      </c>
      <c r="C155" s="3" t="s">
        <v>13</v>
      </c>
      <c r="D155" s="3" t="s">
        <v>14</v>
      </c>
      <c r="E155" s="3" t="s">
        <v>15</v>
      </c>
      <c r="F155" s="3">
        <v>45440</v>
      </c>
      <c r="G155" s="3" t="s">
        <v>16</v>
      </c>
      <c r="H155" s="3" t="s">
        <v>17</v>
      </c>
      <c r="I155" s="3">
        <f>IF(C155="India",1,IF(C155="USA",INDEX('Currency Master'!B:B,MATCH(DATE(N155,MONTH(DATEVALUE(O155&amp;" 1")),1),'Currency Master'!A:A,0)),IF(C155="Australia",INDEX('Currency Master'!T:T,MATCH(DATE(N155,MONTH(DATEVALUE(O155&amp;" 1")),1),'Currency Master'!A:A,0)),"")))</f>
        <v>1</v>
      </c>
      <c r="J155" s="3">
        <f t="shared" si="8"/>
        <v>45440</v>
      </c>
      <c r="K155" s="3" t="str">
        <f t="shared" si="9"/>
        <v>₹/Candy</v>
      </c>
      <c r="L155" s="3">
        <v>-4.0987219039224303E-2</v>
      </c>
      <c r="M155" s="3">
        <v>0.35576323987538999</v>
      </c>
      <c r="N155" s="3">
        <f t="shared" si="10"/>
        <v>2013</v>
      </c>
      <c r="O155" s="3" t="str">
        <f t="shared" si="11"/>
        <v>September</v>
      </c>
      <c r="P155" s="3" t="s">
        <v>18</v>
      </c>
      <c r="Q155" s="3"/>
    </row>
    <row r="156" spans="1:17" hidden="1" x14ac:dyDescent="0.3">
      <c r="A156" s="2">
        <v>41487</v>
      </c>
      <c r="B156" s="3" t="s">
        <v>12</v>
      </c>
      <c r="C156" s="3" t="s">
        <v>13</v>
      </c>
      <c r="D156" s="3" t="s">
        <v>14</v>
      </c>
      <c r="E156" s="3" t="s">
        <v>15</v>
      </c>
      <c r="F156" s="3">
        <v>47382.058823529398</v>
      </c>
      <c r="G156" s="3" t="s">
        <v>16</v>
      </c>
      <c r="H156" s="3" t="s">
        <v>17</v>
      </c>
      <c r="I156" s="3">
        <f>IF(C156="India",1,IF(C156="USA",INDEX('Currency Master'!B:B,MATCH(DATE(N156,MONTH(DATEVALUE(O156&amp;" 1")),1),'Currency Master'!A:A,0)),IF(C156="Australia",INDEX('Currency Master'!T:T,MATCH(DATE(N156,MONTH(DATEVALUE(O156&amp;" 1")),1),'Currency Master'!A:A,0)),"")))</f>
        <v>1</v>
      </c>
      <c r="J156" s="3">
        <f t="shared" si="8"/>
        <v>47382.058823529398</v>
      </c>
      <c r="K156" s="3" t="str">
        <f t="shared" si="9"/>
        <v>₹/Candy</v>
      </c>
      <c r="L156" s="3">
        <v>0.15470737913485999</v>
      </c>
      <c r="M156" s="3">
        <v>0.279030439684329</v>
      </c>
      <c r="N156" s="3">
        <f t="shared" si="10"/>
        <v>2013</v>
      </c>
      <c r="O156" s="3" t="str">
        <f t="shared" si="11"/>
        <v>August</v>
      </c>
      <c r="P156" s="3" t="s">
        <v>18</v>
      </c>
      <c r="Q156" s="3"/>
    </row>
    <row r="157" spans="1:17" hidden="1" x14ac:dyDescent="0.3">
      <c r="A157" s="2">
        <v>41456</v>
      </c>
      <c r="B157" s="3" t="s">
        <v>12</v>
      </c>
      <c r="C157" s="3" t="s">
        <v>13</v>
      </c>
      <c r="D157" s="3" t="s">
        <v>14</v>
      </c>
      <c r="E157" s="3" t="s">
        <v>15</v>
      </c>
      <c r="F157" s="3">
        <v>41033.823529411799</v>
      </c>
      <c r="G157" s="3" t="s">
        <v>16</v>
      </c>
      <c r="H157" s="3" t="s">
        <v>17</v>
      </c>
      <c r="I157" s="3">
        <f>IF(C157="India",1,IF(C157="USA",INDEX('Currency Master'!B:B,MATCH(DATE(N157,MONTH(DATEVALUE(O157&amp;" 1")),1),'Currency Master'!A:A,0)),IF(C157="Australia",INDEX('Currency Master'!T:T,MATCH(DATE(N157,MONTH(DATEVALUE(O157&amp;" 1")),1),'Currency Master'!A:A,0)),"")))</f>
        <v>1</v>
      </c>
      <c r="J157" s="3">
        <f t="shared" si="8"/>
        <v>41033.823529411799</v>
      </c>
      <c r="K157" s="3" t="str">
        <f t="shared" si="9"/>
        <v>₹/Candy</v>
      </c>
      <c r="L157" s="3">
        <v>1.65545783755821E-2</v>
      </c>
      <c r="M157" s="3">
        <v>0.141114982578397</v>
      </c>
      <c r="N157" s="3">
        <f t="shared" si="10"/>
        <v>2013</v>
      </c>
      <c r="O157" s="3" t="str">
        <f t="shared" si="11"/>
        <v>July</v>
      </c>
      <c r="P157" s="3" t="s">
        <v>18</v>
      </c>
      <c r="Q157" s="3"/>
    </row>
    <row r="158" spans="1:17" hidden="1" x14ac:dyDescent="0.3">
      <c r="A158" s="2">
        <v>41426</v>
      </c>
      <c r="B158" s="3" t="s">
        <v>12</v>
      </c>
      <c r="C158" s="3" t="s">
        <v>13</v>
      </c>
      <c r="D158" s="3" t="s">
        <v>14</v>
      </c>
      <c r="E158" s="3" t="s">
        <v>15</v>
      </c>
      <c r="F158" s="3">
        <v>40365.588235294097</v>
      </c>
      <c r="G158" s="3" t="s">
        <v>16</v>
      </c>
      <c r="H158" s="3" t="s">
        <v>17</v>
      </c>
      <c r="I158" s="3">
        <f>IF(C158="India",1,IF(C158="USA",INDEX('Currency Master'!B:B,MATCH(DATE(N158,MONTH(DATEVALUE(O158&amp;" 1")),1),'Currency Master'!A:A,0)),IF(C158="Australia",INDEX('Currency Master'!T:T,MATCH(DATE(N158,MONTH(DATEVALUE(O158&amp;" 1")),1),'Currency Master'!A:A,0)),"")))</f>
        <v>1</v>
      </c>
      <c r="J158" s="3">
        <f t="shared" si="8"/>
        <v>40365.588235294097</v>
      </c>
      <c r="K158" s="3" t="str">
        <f t="shared" si="9"/>
        <v>₹/Candy</v>
      </c>
      <c r="L158" s="3">
        <v>4.8264642082429497E-2</v>
      </c>
      <c r="M158" s="3">
        <v>0.176506390748631</v>
      </c>
      <c r="N158" s="3">
        <f t="shared" si="10"/>
        <v>2013</v>
      </c>
      <c r="O158" s="3" t="str">
        <f t="shared" si="11"/>
        <v>June</v>
      </c>
      <c r="P158" s="3" t="s">
        <v>18</v>
      </c>
      <c r="Q158" s="3"/>
    </row>
    <row r="159" spans="1:17" hidden="1" x14ac:dyDescent="0.3">
      <c r="A159" s="2">
        <v>41395</v>
      </c>
      <c r="B159" s="3" t="s">
        <v>12</v>
      </c>
      <c r="C159" s="3" t="s">
        <v>13</v>
      </c>
      <c r="D159" s="3" t="s">
        <v>14</v>
      </c>
      <c r="E159" s="3" t="s">
        <v>15</v>
      </c>
      <c r="F159" s="3">
        <v>38507.058823529398</v>
      </c>
      <c r="G159" s="3" t="s">
        <v>16</v>
      </c>
      <c r="H159" s="3" t="s">
        <v>17</v>
      </c>
      <c r="I159" s="3">
        <f>IF(C159="India",1,IF(C159="USA",INDEX('Currency Master'!B:B,MATCH(DATE(N159,MONTH(DATEVALUE(O159&amp;" 1")),1),'Currency Master'!A:A,0)),IF(C159="Australia",INDEX('Currency Master'!T:T,MATCH(DATE(N159,MONTH(DATEVALUE(O159&amp;" 1")),1),'Currency Master'!A:A,0)),"")))</f>
        <v>1</v>
      </c>
      <c r="J159" s="3">
        <f t="shared" si="8"/>
        <v>38507.058823529398</v>
      </c>
      <c r="K159" s="3" t="str">
        <f t="shared" si="9"/>
        <v>₹/Candy</v>
      </c>
      <c r="L159" s="3">
        <v>2.0475926950747101E-2</v>
      </c>
      <c r="M159" s="3">
        <v>0.173027989821883</v>
      </c>
      <c r="N159" s="3">
        <f t="shared" si="10"/>
        <v>2013</v>
      </c>
      <c r="O159" s="3" t="str">
        <f t="shared" si="11"/>
        <v>May</v>
      </c>
      <c r="P159" s="3" t="s">
        <v>18</v>
      </c>
      <c r="Q159" s="3"/>
    </row>
    <row r="160" spans="1:17" hidden="1" x14ac:dyDescent="0.3">
      <c r="A160" s="2">
        <v>41365</v>
      </c>
      <c r="B160" s="3" t="s">
        <v>12</v>
      </c>
      <c r="C160" s="3" t="s">
        <v>13</v>
      </c>
      <c r="D160" s="3" t="s">
        <v>14</v>
      </c>
      <c r="E160" s="3" t="s">
        <v>15</v>
      </c>
      <c r="F160" s="3">
        <v>37734.411764705903</v>
      </c>
      <c r="G160" s="3" t="s">
        <v>16</v>
      </c>
      <c r="H160" s="3" t="s">
        <v>17</v>
      </c>
      <c r="I160" s="3">
        <f>IF(C160="India",1,IF(C160="USA",INDEX('Currency Master'!B:B,MATCH(DATE(N160,MONTH(DATEVALUE(O160&amp;" 1")),1),'Currency Master'!A:A,0)),IF(C160="Australia",INDEX('Currency Master'!T:T,MATCH(DATE(N160,MONTH(DATEVALUE(O160&amp;" 1")),1),'Currency Master'!A:A,0)),"")))</f>
        <v>1</v>
      </c>
      <c r="J160" s="3">
        <f t="shared" si="8"/>
        <v>37734.411764705903</v>
      </c>
      <c r="K160" s="3" t="str">
        <f t="shared" si="9"/>
        <v>₹/Candy</v>
      </c>
      <c r="L160" s="3">
        <v>-6.5183652353854094E-2</v>
      </c>
      <c r="M160" s="3">
        <v>3.6123853211009103E-2</v>
      </c>
      <c r="N160" s="3">
        <f t="shared" si="10"/>
        <v>2013</v>
      </c>
      <c r="O160" s="3" t="str">
        <f t="shared" si="11"/>
        <v>April</v>
      </c>
      <c r="P160" s="3" t="s">
        <v>18</v>
      </c>
      <c r="Q160" s="3"/>
    </row>
    <row r="161" spans="1:17" hidden="1" x14ac:dyDescent="0.3">
      <c r="A161" s="2">
        <v>41334</v>
      </c>
      <c r="B161" s="3" t="s">
        <v>12</v>
      </c>
      <c r="C161" s="3" t="s">
        <v>13</v>
      </c>
      <c r="D161" s="3" t="s">
        <v>14</v>
      </c>
      <c r="E161" s="3" t="s">
        <v>15</v>
      </c>
      <c r="F161" s="3">
        <v>40365.588235294097</v>
      </c>
      <c r="G161" s="3" t="s">
        <v>16</v>
      </c>
      <c r="H161" s="3" t="s">
        <v>17</v>
      </c>
      <c r="I161" s="3">
        <f>IF(C161="India",1,IF(C161="USA",INDEX('Currency Master'!B:B,MATCH(DATE(N161,MONTH(DATEVALUE(O161&amp;" 1")),1),'Currency Master'!A:A,0)),IF(C161="Australia",INDEX('Currency Master'!T:T,MATCH(DATE(N161,MONTH(DATEVALUE(O161&amp;" 1")),1),'Currency Master'!A:A,0)),"")))</f>
        <v>1</v>
      </c>
      <c r="J161" s="3">
        <f t="shared" si="8"/>
        <v>40365.588235294097</v>
      </c>
      <c r="K161" s="3" t="str">
        <f t="shared" si="9"/>
        <v>₹/Candy</v>
      </c>
      <c r="L161" s="3">
        <v>5.6284153005464702E-2</v>
      </c>
      <c r="M161" s="3">
        <v>0.10205245153933901</v>
      </c>
      <c r="N161" s="3">
        <f t="shared" si="10"/>
        <v>2013</v>
      </c>
      <c r="O161" s="3" t="str">
        <f t="shared" si="11"/>
        <v>March</v>
      </c>
      <c r="P161" s="3" t="s">
        <v>18</v>
      </c>
      <c r="Q161" s="3"/>
    </row>
    <row r="162" spans="1:17" hidden="1" x14ac:dyDescent="0.3">
      <c r="A162" s="2">
        <v>41306</v>
      </c>
      <c r="B162" s="3" t="s">
        <v>12</v>
      </c>
      <c r="C162" s="3" t="s">
        <v>13</v>
      </c>
      <c r="D162" s="3" t="s">
        <v>14</v>
      </c>
      <c r="E162" s="3" t="s">
        <v>15</v>
      </c>
      <c r="F162" s="3">
        <v>38214.705882352901</v>
      </c>
      <c r="G162" s="3" t="s">
        <v>16</v>
      </c>
      <c r="H162" s="3" t="s">
        <v>17</v>
      </c>
      <c r="I162" s="3">
        <f>IF(C162="India",1,IF(C162="USA",INDEX('Currency Master'!B:B,MATCH(DATE(N162,MONTH(DATEVALUE(O162&amp;" 1")),1),'Currency Master'!A:A,0)),IF(C162="Australia",INDEX('Currency Master'!T:T,MATCH(DATE(N162,MONTH(DATEVALUE(O162&amp;" 1")),1),'Currency Master'!A:A,0)),"")))</f>
        <v>1</v>
      </c>
      <c r="J162" s="3">
        <f t="shared" si="8"/>
        <v>38214.705882352901</v>
      </c>
      <c r="K162" s="3" t="str">
        <f t="shared" si="9"/>
        <v>₹/Candy</v>
      </c>
      <c r="L162" s="3">
        <v>0.109090909090909</v>
      </c>
      <c r="M162" s="3">
        <v>7.1428571428571203E-2</v>
      </c>
      <c r="N162" s="3">
        <f t="shared" si="10"/>
        <v>2013</v>
      </c>
      <c r="O162" s="3" t="str">
        <f t="shared" si="11"/>
        <v>February</v>
      </c>
      <c r="P162" s="3" t="s">
        <v>18</v>
      </c>
      <c r="Q162" s="3"/>
    </row>
    <row r="163" spans="1:17" hidden="1" x14ac:dyDescent="0.3">
      <c r="A163" s="2">
        <v>41275</v>
      </c>
      <c r="B163" s="3" t="s">
        <v>12</v>
      </c>
      <c r="C163" s="3" t="s">
        <v>13</v>
      </c>
      <c r="D163" s="3" t="s">
        <v>14</v>
      </c>
      <c r="E163" s="3" t="s">
        <v>15</v>
      </c>
      <c r="F163" s="3">
        <v>34455.882352941197</v>
      </c>
      <c r="G163" s="3" t="s">
        <v>16</v>
      </c>
      <c r="H163" s="3" t="s">
        <v>17</v>
      </c>
      <c r="I163" s="3">
        <f>IF(C163="India",1,IF(C163="USA",INDEX('Currency Master'!B:B,MATCH(DATE(N163,MONTH(DATEVALUE(O163&amp;" 1")),1),'Currency Master'!A:A,0)),IF(C163="Australia",INDEX('Currency Master'!T:T,MATCH(DATE(N163,MONTH(DATEVALUE(O163&amp;" 1")),1),'Currency Master'!A:A,0)),"")))</f>
        <v>1</v>
      </c>
      <c r="J163" s="3">
        <f t="shared" si="8"/>
        <v>34455.882352941197</v>
      </c>
      <c r="K163" s="3" t="str">
        <f t="shared" si="9"/>
        <v>₹/Candy</v>
      </c>
      <c r="L163" s="3">
        <v>9.1743119266054496E-3</v>
      </c>
      <c r="M163" s="3">
        <v>-5.28128587830081E-2</v>
      </c>
      <c r="N163" s="3">
        <f t="shared" si="10"/>
        <v>2013</v>
      </c>
      <c r="O163" s="3" t="str">
        <f t="shared" si="11"/>
        <v>January</v>
      </c>
      <c r="P163" s="3" t="s">
        <v>18</v>
      </c>
      <c r="Q163" s="3"/>
    </row>
    <row r="164" spans="1:17" hidden="1" x14ac:dyDescent="0.3">
      <c r="A164" s="2">
        <v>41244</v>
      </c>
      <c r="B164" s="3" t="s">
        <v>12</v>
      </c>
      <c r="C164" s="3" t="s">
        <v>13</v>
      </c>
      <c r="D164" s="3" t="s">
        <v>14</v>
      </c>
      <c r="E164" s="3" t="s">
        <v>15</v>
      </c>
      <c r="F164" s="3">
        <v>34142.647058823502</v>
      </c>
      <c r="G164" s="3" t="s">
        <v>16</v>
      </c>
      <c r="H164" s="3" t="s">
        <v>17</v>
      </c>
      <c r="I164" s="3">
        <f>IF(C164="India",1,IF(C164="USA",INDEX('Currency Master'!B:B,MATCH(DATE(N164,MONTH(DATEVALUE(O164&amp;" 1")),1),'Currency Master'!A:A,0)),IF(C164="Australia",INDEX('Currency Master'!T:T,MATCH(DATE(N164,MONTH(DATEVALUE(O164&amp;" 1")),1),'Currency Master'!A:A,0)),"")))</f>
        <v>1</v>
      </c>
      <c r="J164" s="3">
        <f t="shared" si="8"/>
        <v>34142.647058823502</v>
      </c>
      <c r="K164" s="3" t="str">
        <f t="shared" si="9"/>
        <v>₹/Candy</v>
      </c>
      <c r="L164" s="3">
        <v>1.3639181649101301E-2</v>
      </c>
      <c r="M164" s="3">
        <v>-2.6206075044669298E-2</v>
      </c>
      <c r="N164" s="3">
        <f t="shared" si="10"/>
        <v>2012</v>
      </c>
      <c r="O164" s="3" t="str">
        <f t="shared" si="11"/>
        <v>December</v>
      </c>
      <c r="P164" s="3" t="s">
        <v>18</v>
      </c>
      <c r="Q164" s="3"/>
    </row>
    <row r="165" spans="1:17" hidden="1" x14ac:dyDescent="0.3">
      <c r="A165" s="2">
        <v>41214</v>
      </c>
      <c r="B165" s="3" t="s">
        <v>12</v>
      </c>
      <c r="C165" s="3" t="s">
        <v>13</v>
      </c>
      <c r="D165" s="3" t="s">
        <v>14</v>
      </c>
      <c r="E165" s="3" t="s">
        <v>15</v>
      </c>
      <c r="F165" s="3">
        <v>33683.2352941176</v>
      </c>
      <c r="G165" s="3" t="s">
        <v>16</v>
      </c>
      <c r="H165" s="3" t="s">
        <v>17</v>
      </c>
      <c r="I165" s="3">
        <f>IF(C165="India",1,IF(C165="USA",INDEX('Currency Master'!B:B,MATCH(DATE(N165,MONTH(DATEVALUE(O165&amp;" 1")),1),'Currency Master'!A:A,0)),IF(C165="Australia",INDEX('Currency Master'!T:T,MATCH(DATE(N165,MONTH(DATEVALUE(O165&amp;" 1")),1),'Currency Master'!A:A,0)),"")))</f>
        <v>1</v>
      </c>
      <c r="J165" s="3">
        <f t="shared" si="8"/>
        <v>33683.2352941176</v>
      </c>
      <c r="K165" s="3" t="str">
        <f t="shared" si="9"/>
        <v>₹/Candy</v>
      </c>
      <c r="L165" s="3">
        <v>5.6109725685782302E-3</v>
      </c>
      <c r="M165" s="3">
        <v>-3.4709754637941501E-2</v>
      </c>
      <c r="N165" s="3">
        <f t="shared" si="10"/>
        <v>2012</v>
      </c>
      <c r="O165" s="3" t="str">
        <f t="shared" si="11"/>
        <v>November</v>
      </c>
      <c r="P165" s="3" t="s">
        <v>18</v>
      </c>
      <c r="Q165" s="3"/>
    </row>
    <row r="166" spans="1:17" hidden="1" x14ac:dyDescent="0.3">
      <c r="A166" s="2">
        <v>41183</v>
      </c>
      <c r="B166" s="3" t="s">
        <v>12</v>
      </c>
      <c r="C166" s="3" t="s">
        <v>13</v>
      </c>
      <c r="D166" s="3" t="s">
        <v>14</v>
      </c>
      <c r="E166" s="3" t="s">
        <v>15</v>
      </c>
      <c r="F166" s="3">
        <v>33495.294117647099</v>
      </c>
      <c r="G166" s="3" t="s">
        <v>16</v>
      </c>
      <c r="H166" s="3" t="s">
        <v>17</v>
      </c>
      <c r="I166" s="3">
        <f>IF(C166="India",1,IF(C166="USA",INDEX('Currency Master'!B:B,MATCH(DATE(N166,MONTH(DATEVALUE(O166&amp;" 1")),1),'Currency Master'!A:A,0)),IF(C166="Australia",INDEX('Currency Master'!T:T,MATCH(DATE(N166,MONTH(DATEVALUE(O166&amp;" 1")),1),'Currency Master'!A:A,0)),"")))</f>
        <v>1</v>
      </c>
      <c r="J166" s="3">
        <f t="shared" si="8"/>
        <v>33495.294117647099</v>
      </c>
      <c r="K166" s="3" t="str">
        <f t="shared" si="9"/>
        <v>₹/Candy</v>
      </c>
      <c r="L166" s="3">
        <v>-6.2305295950126904E-4</v>
      </c>
      <c r="M166" s="3">
        <v>-0.16934230968410099</v>
      </c>
      <c r="N166" s="3">
        <f t="shared" si="10"/>
        <v>2012</v>
      </c>
      <c r="O166" s="3" t="str">
        <f t="shared" si="11"/>
        <v>October</v>
      </c>
      <c r="P166" s="3" t="s">
        <v>18</v>
      </c>
      <c r="Q166" s="3"/>
    </row>
    <row r="167" spans="1:17" hidden="1" x14ac:dyDescent="0.3">
      <c r="A167" s="2">
        <v>41153</v>
      </c>
      <c r="B167" s="3" t="s">
        <v>12</v>
      </c>
      <c r="C167" s="3" t="s">
        <v>13</v>
      </c>
      <c r="D167" s="3" t="s">
        <v>14</v>
      </c>
      <c r="E167" s="3" t="s">
        <v>15</v>
      </c>
      <c r="F167" s="3">
        <v>33516.176470588201</v>
      </c>
      <c r="G167" s="3" t="s">
        <v>16</v>
      </c>
      <c r="H167" s="3" t="s">
        <v>17</v>
      </c>
      <c r="I167" s="3">
        <f>IF(C167="India",1,IF(C167="USA",INDEX('Currency Master'!B:B,MATCH(DATE(N167,MONTH(DATEVALUE(O167&amp;" 1")),1),'Currency Master'!A:A,0)),IF(C167="Australia",INDEX('Currency Master'!T:T,MATCH(DATE(N167,MONTH(DATEVALUE(O167&amp;" 1")),1),'Currency Master'!A:A,0)),"")))</f>
        <v>1</v>
      </c>
      <c r="J167" s="3">
        <f t="shared" si="8"/>
        <v>33516.176470588201</v>
      </c>
      <c r="K167" s="3" t="str">
        <f t="shared" si="9"/>
        <v>₹/Candy</v>
      </c>
      <c r="L167" s="3">
        <v>-9.5264937993235904E-2</v>
      </c>
      <c r="M167" s="3">
        <v>-0.235451006012426</v>
      </c>
      <c r="N167" s="3">
        <f t="shared" si="10"/>
        <v>2012</v>
      </c>
      <c r="O167" s="3" t="str">
        <f t="shared" si="11"/>
        <v>September</v>
      </c>
      <c r="P167" s="3" t="s">
        <v>18</v>
      </c>
      <c r="Q167" s="3"/>
    </row>
    <row r="168" spans="1:17" hidden="1" x14ac:dyDescent="0.3">
      <c r="A168" s="2">
        <v>41122</v>
      </c>
      <c r="B168" s="3" t="s">
        <v>12</v>
      </c>
      <c r="C168" s="3" t="s">
        <v>13</v>
      </c>
      <c r="D168" s="3" t="s">
        <v>14</v>
      </c>
      <c r="E168" s="3" t="s">
        <v>15</v>
      </c>
      <c r="F168" s="3">
        <v>37045.294117647099</v>
      </c>
      <c r="G168" s="3" t="s">
        <v>16</v>
      </c>
      <c r="H168" s="3" t="s">
        <v>17</v>
      </c>
      <c r="I168" s="3">
        <f>IF(C168="India",1,IF(C168="USA",INDEX('Currency Master'!B:B,MATCH(DATE(N168,MONTH(DATEVALUE(O168&amp;" 1")),1),'Currency Master'!A:A,0)),IF(C168="Australia",INDEX('Currency Master'!T:T,MATCH(DATE(N168,MONTH(DATEVALUE(O168&amp;" 1")),1),'Currency Master'!A:A,0)),"")))</f>
        <v>1</v>
      </c>
      <c r="J168" s="3">
        <f t="shared" si="8"/>
        <v>37045.294117647099</v>
      </c>
      <c r="K168" s="3" t="str">
        <f t="shared" si="9"/>
        <v>₹/Candy</v>
      </c>
      <c r="L168" s="3">
        <v>3.01974448315914E-2</v>
      </c>
      <c r="M168" s="3">
        <v>-8.7994610541534998E-2</v>
      </c>
      <c r="N168" s="3">
        <f t="shared" si="10"/>
        <v>2012</v>
      </c>
      <c r="O168" s="3" t="str">
        <f t="shared" si="11"/>
        <v>August</v>
      </c>
      <c r="P168" s="3" t="s">
        <v>18</v>
      </c>
      <c r="Q168" s="3"/>
    </row>
    <row r="169" spans="1:17" hidden="1" x14ac:dyDescent="0.3">
      <c r="A169" s="2">
        <v>41091</v>
      </c>
      <c r="B169" s="3" t="s">
        <v>12</v>
      </c>
      <c r="C169" s="3" t="s">
        <v>13</v>
      </c>
      <c r="D169" s="3" t="s">
        <v>14</v>
      </c>
      <c r="E169" s="3" t="s">
        <v>15</v>
      </c>
      <c r="F169" s="3">
        <v>35959.411764705903</v>
      </c>
      <c r="G169" s="3" t="s">
        <v>16</v>
      </c>
      <c r="H169" s="3" t="s">
        <v>17</v>
      </c>
      <c r="I169" s="3">
        <f>IF(C169="India",1,IF(C169="USA",INDEX('Currency Master'!B:B,MATCH(DATE(N169,MONTH(DATEVALUE(O169&amp;" 1")),1),'Currency Master'!A:A,0)),IF(C169="Australia",INDEX('Currency Master'!T:T,MATCH(DATE(N169,MONTH(DATEVALUE(O169&amp;" 1")),1),'Currency Master'!A:A,0)),"")))</f>
        <v>1</v>
      </c>
      <c r="J169" s="3">
        <f t="shared" si="8"/>
        <v>35959.411764705903</v>
      </c>
      <c r="K169" s="3" t="str">
        <f t="shared" si="9"/>
        <v>₹/Candy</v>
      </c>
      <c r="L169" s="3">
        <v>4.8082775410833903E-2</v>
      </c>
      <c r="M169" s="3">
        <v>-0.15459002670970601</v>
      </c>
      <c r="N169" s="3">
        <f t="shared" si="10"/>
        <v>2012</v>
      </c>
      <c r="O169" s="3" t="str">
        <f t="shared" si="11"/>
        <v>July</v>
      </c>
      <c r="P169" s="3" t="s">
        <v>18</v>
      </c>
      <c r="Q169" s="3"/>
    </row>
    <row r="170" spans="1:17" hidden="1" x14ac:dyDescent="0.3">
      <c r="A170" s="2">
        <v>41061</v>
      </c>
      <c r="B170" s="3" t="s">
        <v>12</v>
      </c>
      <c r="C170" s="3" t="s">
        <v>13</v>
      </c>
      <c r="D170" s="3" t="s">
        <v>14</v>
      </c>
      <c r="E170" s="3" t="s">
        <v>15</v>
      </c>
      <c r="F170" s="3">
        <v>34309.705882352901</v>
      </c>
      <c r="G170" s="3" t="s">
        <v>16</v>
      </c>
      <c r="H170" s="3" t="s">
        <v>17</v>
      </c>
      <c r="I170" s="3">
        <f>IF(C170="India",1,IF(C170="USA",INDEX('Currency Master'!B:B,MATCH(DATE(N170,MONTH(DATEVALUE(O170&amp;" 1")),1),'Currency Master'!A:A,0)),IF(C170="Australia",INDEX('Currency Master'!T:T,MATCH(DATE(N170,MONTH(DATEVALUE(O170&amp;" 1")),1),'Currency Master'!A:A,0)),"")))</f>
        <v>1</v>
      </c>
      <c r="J170" s="3">
        <f t="shared" si="8"/>
        <v>34309.705882352901</v>
      </c>
      <c r="K170" s="3" t="str">
        <f t="shared" si="9"/>
        <v>₹/Candy</v>
      </c>
      <c r="L170" s="3">
        <v>4.5165394402035403E-2</v>
      </c>
      <c r="M170" s="3">
        <v>-0.32429658331896399</v>
      </c>
      <c r="N170" s="3">
        <f t="shared" si="10"/>
        <v>2012</v>
      </c>
      <c r="O170" s="3" t="str">
        <f t="shared" si="11"/>
        <v>June</v>
      </c>
      <c r="P170" s="3" t="s">
        <v>18</v>
      </c>
      <c r="Q170" s="3"/>
    </row>
    <row r="171" spans="1:17" hidden="1" x14ac:dyDescent="0.3">
      <c r="A171" s="2">
        <v>41030</v>
      </c>
      <c r="B171" s="3" t="s">
        <v>12</v>
      </c>
      <c r="C171" s="3" t="s">
        <v>13</v>
      </c>
      <c r="D171" s="3" t="s">
        <v>14</v>
      </c>
      <c r="E171" s="3" t="s">
        <v>15</v>
      </c>
      <c r="F171" s="3">
        <v>32827.058823529398</v>
      </c>
      <c r="G171" s="3" t="s">
        <v>16</v>
      </c>
      <c r="H171" s="3" t="s">
        <v>17</v>
      </c>
      <c r="I171" s="3">
        <f>IF(C171="India",1,IF(C171="USA",INDEX('Currency Master'!B:B,MATCH(DATE(N171,MONTH(DATEVALUE(O171&amp;" 1")),1),'Currency Master'!A:A,0)),IF(C171="Australia",INDEX('Currency Master'!T:T,MATCH(DATE(N171,MONTH(DATEVALUE(O171&amp;" 1")),1),'Currency Master'!A:A,0)),"")))</f>
        <v>1</v>
      </c>
      <c r="J171" s="3">
        <f t="shared" si="8"/>
        <v>32827.058823529398</v>
      </c>
      <c r="K171" s="3" t="str">
        <f t="shared" si="9"/>
        <v>₹/Candy</v>
      </c>
      <c r="L171" s="3">
        <v>-9.8623853211009305E-2</v>
      </c>
      <c r="M171" s="3">
        <v>-0.43729273575433802</v>
      </c>
      <c r="N171" s="3">
        <f t="shared" si="10"/>
        <v>2012</v>
      </c>
      <c r="O171" s="3" t="str">
        <f t="shared" si="11"/>
        <v>May</v>
      </c>
      <c r="P171" s="3" t="s">
        <v>18</v>
      </c>
      <c r="Q171" s="3"/>
    </row>
    <row r="172" spans="1:17" hidden="1" x14ac:dyDescent="0.3">
      <c r="A172" s="2">
        <v>41000</v>
      </c>
      <c r="B172" s="3" t="s">
        <v>12</v>
      </c>
      <c r="C172" s="3" t="s">
        <v>13</v>
      </c>
      <c r="D172" s="3" t="s">
        <v>14</v>
      </c>
      <c r="E172" s="3" t="s">
        <v>15</v>
      </c>
      <c r="F172" s="3">
        <v>36418.823529411799</v>
      </c>
      <c r="G172" s="3" t="s">
        <v>16</v>
      </c>
      <c r="H172" s="3" t="s">
        <v>17</v>
      </c>
      <c r="I172" s="3">
        <f>IF(C172="India",1,IF(C172="USA",INDEX('Currency Master'!B:B,MATCH(DATE(N172,MONTH(DATEVALUE(O172&amp;" 1")),1),'Currency Master'!A:A,0)),IF(C172="Australia",INDEX('Currency Master'!T:T,MATCH(DATE(N172,MONTH(DATEVALUE(O172&amp;" 1")),1),'Currency Master'!A:A,0)),"")))</f>
        <v>1</v>
      </c>
      <c r="J172" s="3">
        <f t="shared" si="8"/>
        <v>36418.823529411799</v>
      </c>
      <c r="K172" s="3" t="str">
        <f t="shared" si="9"/>
        <v>₹/Candy</v>
      </c>
      <c r="L172" s="3">
        <v>-5.70125427594059E-3</v>
      </c>
      <c r="M172" s="3">
        <v>-0.517816430553105</v>
      </c>
      <c r="N172" s="3">
        <f t="shared" si="10"/>
        <v>2012</v>
      </c>
      <c r="O172" s="3" t="str">
        <f t="shared" si="11"/>
        <v>April</v>
      </c>
      <c r="P172" s="3" t="s">
        <v>18</v>
      </c>
      <c r="Q172" s="3"/>
    </row>
    <row r="173" spans="1:17" hidden="1" x14ac:dyDescent="0.3">
      <c r="A173" s="2">
        <v>40969</v>
      </c>
      <c r="B173" s="3" t="s">
        <v>12</v>
      </c>
      <c r="C173" s="3" t="s">
        <v>13</v>
      </c>
      <c r="D173" s="3" t="s">
        <v>14</v>
      </c>
      <c r="E173" s="3" t="s">
        <v>15</v>
      </c>
      <c r="F173" s="3">
        <v>36627.647058823502</v>
      </c>
      <c r="G173" s="3" t="s">
        <v>16</v>
      </c>
      <c r="H173" s="3" t="s">
        <v>17</v>
      </c>
      <c r="I173" s="3">
        <f>IF(C173="India",1,IF(C173="USA",INDEX('Currency Master'!B:B,MATCH(DATE(N173,MONTH(DATEVALUE(O173&amp;" 1")),1),'Currency Master'!A:A,0)),IF(C173="Australia",INDEX('Currency Master'!T:T,MATCH(DATE(N173,MONTH(DATEVALUE(O173&amp;" 1")),1),'Currency Master'!A:A,0)),"")))</f>
        <v>1</v>
      </c>
      <c r="J173" s="3">
        <f t="shared" si="8"/>
        <v>36627.647058823502</v>
      </c>
      <c r="K173" s="3" t="str">
        <f t="shared" si="9"/>
        <v>₹/Candy</v>
      </c>
      <c r="L173" s="3">
        <v>2.6932084309133599E-2</v>
      </c>
      <c r="M173" s="3">
        <v>-0.54804898290516502</v>
      </c>
      <c r="N173" s="3">
        <f t="shared" si="10"/>
        <v>2012</v>
      </c>
      <c r="O173" s="3" t="str">
        <f t="shared" si="11"/>
        <v>March</v>
      </c>
      <c r="P173" s="3" t="s">
        <v>18</v>
      </c>
      <c r="Q173" s="3"/>
    </row>
    <row r="174" spans="1:17" hidden="1" x14ac:dyDescent="0.3">
      <c r="A174" s="2">
        <v>40940</v>
      </c>
      <c r="B174" s="3" t="s">
        <v>12</v>
      </c>
      <c r="C174" s="3" t="s">
        <v>13</v>
      </c>
      <c r="D174" s="3" t="s">
        <v>14</v>
      </c>
      <c r="E174" s="3" t="s">
        <v>15</v>
      </c>
      <c r="F174" s="3">
        <v>35667.058823529398</v>
      </c>
      <c r="G174" s="3" t="s">
        <v>16</v>
      </c>
      <c r="H174" s="3" t="s">
        <v>17</v>
      </c>
      <c r="I174" s="3">
        <f>IF(C174="India",1,IF(C174="USA",INDEX('Currency Master'!B:B,MATCH(DATE(N174,MONTH(DATEVALUE(O174&amp;" 1")),1),'Currency Master'!A:A,0)),IF(C174="Australia",INDEX('Currency Master'!T:T,MATCH(DATE(N174,MONTH(DATEVALUE(O174&amp;" 1")),1),'Currency Master'!A:A,0)),"")))</f>
        <v>1</v>
      </c>
      <c r="J174" s="3">
        <f t="shared" si="8"/>
        <v>35667.058823529398</v>
      </c>
      <c r="K174" s="3" t="str">
        <f t="shared" si="9"/>
        <v>₹/Candy</v>
      </c>
      <c r="L174" s="3">
        <v>-1.95177956371986E-2</v>
      </c>
      <c r="M174" s="3">
        <v>-0.53104115576753297</v>
      </c>
      <c r="N174" s="3">
        <f t="shared" si="10"/>
        <v>2012</v>
      </c>
      <c r="O174" s="3" t="str">
        <f t="shared" si="11"/>
        <v>February</v>
      </c>
      <c r="P174" s="3" t="s">
        <v>18</v>
      </c>
      <c r="Q174" s="3"/>
    </row>
    <row r="175" spans="1:17" hidden="1" x14ac:dyDescent="0.3">
      <c r="A175" s="2">
        <v>40909</v>
      </c>
      <c r="B175" s="3" t="s">
        <v>12</v>
      </c>
      <c r="C175" s="3" t="s">
        <v>13</v>
      </c>
      <c r="D175" s="3" t="s">
        <v>14</v>
      </c>
      <c r="E175" s="3" t="s">
        <v>15</v>
      </c>
      <c r="F175" s="3">
        <v>36377.058823529398</v>
      </c>
      <c r="G175" s="3" t="s">
        <v>16</v>
      </c>
      <c r="H175" s="3" t="s">
        <v>17</v>
      </c>
      <c r="I175" s="3">
        <f>IF(C175="India",1,IF(C175="USA",INDEX('Currency Master'!B:B,MATCH(DATE(N175,MONTH(DATEVALUE(O175&amp;" 1")),1),'Currency Master'!A:A,0)),IF(C175="Australia",INDEX('Currency Master'!T:T,MATCH(DATE(N175,MONTH(DATEVALUE(O175&amp;" 1")),1),'Currency Master'!A:A,0)),"")))</f>
        <v>1</v>
      </c>
      <c r="J175" s="3">
        <f t="shared" si="8"/>
        <v>36377.058823529398</v>
      </c>
      <c r="K175" s="3" t="str">
        <f t="shared" si="9"/>
        <v>₹/Candy</v>
      </c>
      <c r="L175" s="3">
        <v>3.7522334723049597E-2</v>
      </c>
      <c r="M175" s="3">
        <v>-0.42854007323809601</v>
      </c>
      <c r="N175" s="3">
        <f t="shared" si="10"/>
        <v>2012</v>
      </c>
      <c r="O175" s="3" t="str">
        <f t="shared" si="11"/>
        <v>January</v>
      </c>
      <c r="P175" s="3" t="s">
        <v>18</v>
      </c>
      <c r="Q175" s="3"/>
    </row>
    <row r="176" spans="1:17" hidden="1" x14ac:dyDescent="0.3">
      <c r="A176" s="2">
        <v>40878</v>
      </c>
      <c r="B176" s="3" t="s">
        <v>12</v>
      </c>
      <c r="C176" s="3" t="s">
        <v>13</v>
      </c>
      <c r="D176" s="3" t="s">
        <v>14</v>
      </c>
      <c r="E176" s="3" t="s">
        <v>15</v>
      </c>
      <c r="F176" s="3">
        <v>35061.470588235301</v>
      </c>
      <c r="G176" s="3" t="s">
        <v>16</v>
      </c>
      <c r="H176" s="3" t="s">
        <v>17</v>
      </c>
      <c r="I176" s="3">
        <f>IF(C176="India",1,IF(C176="USA",INDEX('Currency Master'!B:B,MATCH(DATE(N176,MONTH(DATEVALUE(O176&amp;" 1")),1),'Currency Master'!A:A,0)),IF(C176="Australia",INDEX('Currency Master'!T:T,MATCH(DATE(N176,MONTH(DATEVALUE(O176&amp;" 1")),1),'Currency Master'!A:A,0)),"")))</f>
        <v>1</v>
      </c>
      <c r="J176" s="3">
        <f t="shared" si="8"/>
        <v>35061.470588235301</v>
      </c>
      <c r="K176" s="3" t="str">
        <f t="shared" si="9"/>
        <v>₹/Candy</v>
      </c>
      <c r="L176" s="3">
        <v>4.7875523638540897E-3</v>
      </c>
      <c r="M176" s="3">
        <v>-0.410714551946119</v>
      </c>
      <c r="N176" s="3">
        <f t="shared" si="10"/>
        <v>2011</v>
      </c>
      <c r="O176" s="3" t="str">
        <f t="shared" si="11"/>
        <v>December</v>
      </c>
      <c r="P176" s="3" t="s">
        <v>18</v>
      </c>
      <c r="Q176" s="3"/>
    </row>
    <row r="177" spans="1:17" hidden="1" x14ac:dyDescent="0.3">
      <c r="A177" s="2">
        <v>40848</v>
      </c>
      <c r="B177" s="3" t="s">
        <v>12</v>
      </c>
      <c r="C177" s="3" t="s">
        <v>13</v>
      </c>
      <c r="D177" s="3" t="s">
        <v>14</v>
      </c>
      <c r="E177" s="3" t="s">
        <v>15</v>
      </c>
      <c r="F177" s="3">
        <v>34894.411764705903</v>
      </c>
      <c r="G177" s="3" t="s">
        <v>16</v>
      </c>
      <c r="H177" s="3" t="s">
        <v>17</v>
      </c>
      <c r="I177" s="3">
        <f>IF(C177="India",1,IF(C177="USA",INDEX('Currency Master'!B:B,MATCH(DATE(N177,MONTH(DATEVALUE(O177&amp;" 1")),1),'Currency Master'!A:A,0)),IF(C177="Australia",INDEX('Currency Master'!T:T,MATCH(DATE(N177,MONTH(DATEVALUE(O177&amp;" 1")),1),'Currency Master'!A:A,0)),"")))</f>
        <v>1</v>
      </c>
      <c r="J177" s="3">
        <f t="shared" si="8"/>
        <v>34894.411764705903</v>
      </c>
      <c r="K177" s="3" t="str">
        <f t="shared" si="9"/>
        <v>₹/Candy</v>
      </c>
      <c r="L177" s="3">
        <v>-0.13464526152252701</v>
      </c>
      <c r="M177" s="3">
        <v>-0.35948499918305898</v>
      </c>
      <c r="N177" s="3">
        <f t="shared" si="10"/>
        <v>2011</v>
      </c>
      <c r="O177" s="3" t="str">
        <f t="shared" si="11"/>
        <v>November</v>
      </c>
      <c r="P177" s="3" t="s">
        <v>18</v>
      </c>
      <c r="Q177" s="3"/>
    </row>
    <row r="178" spans="1:17" hidden="1" x14ac:dyDescent="0.3">
      <c r="A178" s="2">
        <v>40817</v>
      </c>
      <c r="B178" s="3" t="s">
        <v>12</v>
      </c>
      <c r="C178" s="3" t="s">
        <v>13</v>
      </c>
      <c r="D178" s="3" t="s">
        <v>14</v>
      </c>
      <c r="E178" s="3" t="s">
        <v>15</v>
      </c>
      <c r="F178" s="3">
        <v>40323.823529411799</v>
      </c>
      <c r="G178" s="3" t="s">
        <v>16</v>
      </c>
      <c r="H178" s="3" t="s">
        <v>17</v>
      </c>
      <c r="I178" s="3">
        <f>IF(C178="India",1,IF(C178="USA",INDEX('Currency Master'!B:B,MATCH(DATE(N178,MONTH(DATEVALUE(O178&amp;" 1")),1),'Currency Master'!A:A,0)),IF(C178="Australia",INDEX('Currency Master'!T:T,MATCH(DATE(N178,MONTH(DATEVALUE(O178&amp;" 1")),1),'Currency Master'!A:A,0)),"")))</f>
        <v>1</v>
      </c>
      <c r="J178" s="3">
        <f t="shared" si="8"/>
        <v>40323.823529411799</v>
      </c>
      <c r="K178" s="3" t="str">
        <f t="shared" si="9"/>
        <v>₹/Candy</v>
      </c>
      <c r="L178" s="3">
        <v>-8.0159434647971595E-2</v>
      </c>
      <c r="M178" s="3">
        <v>-8.5949263900510206E-2</v>
      </c>
      <c r="N178" s="3">
        <f t="shared" si="10"/>
        <v>2011</v>
      </c>
      <c r="O178" s="3" t="str">
        <f t="shared" si="11"/>
        <v>October</v>
      </c>
      <c r="P178" s="3" t="s">
        <v>18</v>
      </c>
      <c r="Q178" s="3"/>
    </row>
    <row r="179" spans="1:17" hidden="1" x14ac:dyDescent="0.3">
      <c r="A179" s="2">
        <v>40787</v>
      </c>
      <c r="B179" s="3" t="s">
        <v>12</v>
      </c>
      <c r="C179" s="3" t="s">
        <v>13</v>
      </c>
      <c r="D179" s="3" t="s">
        <v>14</v>
      </c>
      <c r="E179" s="3" t="s">
        <v>15</v>
      </c>
      <c r="F179" s="3">
        <v>43837.84</v>
      </c>
      <c r="G179" s="3" t="s">
        <v>16</v>
      </c>
      <c r="H179" s="3" t="s">
        <v>17</v>
      </c>
      <c r="I179" s="3">
        <f>IF(C179="India",1,IF(C179="USA",INDEX('Currency Master'!B:B,MATCH(DATE(N179,MONTH(DATEVALUE(O179&amp;" 1")),1),'Currency Master'!A:A,0)),IF(C179="Australia",INDEX('Currency Master'!T:T,MATCH(DATE(N179,MONTH(DATEVALUE(O179&amp;" 1")),1),'Currency Master'!A:A,0)),"")))</f>
        <v>1</v>
      </c>
      <c r="J179" s="3">
        <f t="shared" si="8"/>
        <v>43837.84</v>
      </c>
      <c r="K179" s="3" t="str">
        <f t="shared" si="9"/>
        <v>₹/Candy</v>
      </c>
      <c r="L179" s="3">
        <v>7.9228746713409404E-2</v>
      </c>
      <c r="M179" s="3">
        <v>0.157874941231782</v>
      </c>
      <c r="N179" s="3">
        <f t="shared" si="10"/>
        <v>2011</v>
      </c>
      <c r="O179" s="3" t="str">
        <f t="shared" si="11"/>
        <v>September</v>
      </c>
      <c r="P179" s="3" t="s">
        <v>18</v>
      </c>
      <c r="Q179" s="3"/>
    </row>
    <row r="180" spans="1:17" hidden="1" x14ac:dyDescent="0.3">
      <c r="A180" s="2">
        <v>40756</v>
      </c>
      <c r="B180" s="3" t="s">
        <v>12</v>
      </c>
      <c r="C180" s="3" t="s">
        <v>13</v>
      </c>
      <c r="D180" s="3" t="s">
        <v>14</v>
      </c>
      <c r="E180" s="3" t="s">
        <v>15</v>
      </c>
      <c r="F180" s="3">
        <v>40619.599999999999</v>
      </c>
      <c r="G180" s="3" t="s">
        <v>16</v>
      </c>
      <c r="H180" s="3" t="s">
        <v>17</v>
      </c>
      <c r="I180" s="3">
        <f>IF(C180="India",1,IF(C180="USA",INDEX('Currency Master'!B:B,MATCH(DATE(N180,MONTH(DATEVALUE(O180&amp;" 1")),1),'Currency Master'!A:A,0)),IF(C180="Australia",INDEX('Currency Master'!T:T,MATCH(DATE(N180,MONTH(DATEVALUE(O180&amp;" 1")),1),'Currency Master'!A:A,0)),"")))</f>
        <v>1</v>
      </c>
      <c r="J180" s="3">
        <f t="shared" si="8"/>
        <v>40619.599999999999</v>
      </c>
      <c r="K180" s="3" t="str">
        <f t="shared" si="9"/>
        <v>₹/Candy</v>
      </c>
      <c r="L180" s="3">
        <v>-4.5028456645463802E-2</v>
      </c>
      <c r="M180" s="3">
        <v>0.23125067443617101</v>
      </c>
      <c r="N180" s="3">
        <f t="shared" si="10"/>
        <v>2011</v>
      </c>
      <c r="O180" s="3" t="str">
        <f t="shared" si="11"/>
        <v>August</v>
      </c>
      <c r="P180" s="3" t="s">
        <v>18</v>
      </c>
      <c r="Q180" s="3"/>
    </row>
    <row r="181" spans="1:17" hidden="1" x14ac:dyDescent="0.3">
      <c r="A181" s="2">
        <v>40725</v>
      </c>
      <c r="B181" s="3" t="s">
        <v>12</v>
      </c>
      <c r="C181" s="3" t="s">
        <v>13</v>
      </c>
      <c r="D181" s="3" t="s">
        <v>14</v>
      </c>
      <c r="E181" s="3" t="s">
        <v>15</v>
      </c>
      <c r="F181" s="3">
        <v>42534.879999999997</v>
      </c>
      <c r="G181" s="3" t="s">
        <v>16</v>
      </c>
      <c r="H181" s="3" t="s">
        <v>17</v>
      </c>
      <c r="I181" s="3">
        <f>IF(C181="India",1,IF(C181="USA",INDEX('Currency Master'!B:B,MATCH(DATE(N181,MONTH(DATEVALUE(O181&amp;" 1")),1),'Currency Master'!A:A,0)),IF(C181="Australia",INDEX('Currency Master'!T:T,MATCH(DATE(N181,MONTH(DATEVALUE(O181&amp;" 1")),1),'Currency Master'!A:A,0)),"")))</f>
        <v>1</v>
      </c>
      <c r="J181" s="3">
        <f t="shared" si="8"/>
        <v>42534.879999999997</v>
      </c>
      <c r="K181" s="3" t="str">
        <f t="shared" si="9"/>
        <v>₹/Candy</v>
      </c>
      <c r="L181" s="3">
        <v>-0.16230806983103099</v>
      </c>
      <c r="M181" s="3">
        <v>0.37049782060105502</v>
      </c>
      <c r="N181" s="3">
        <f t="shared" si="10"/>
        <v>2011</v>
      </c>
      <c r="O181" s="3" t="str">
        <f t="shared" si="11"/>
        <v>July</v>
      </c>
      <c r="P181" s="3" t="s">
        <v>18</v>
      </c>
      <c r="Q181" s="3"/>
    </row>
    <row r="182" spans="1:17" hidden="1" x14ac:dyDescent="0.3">
      <c r="A182" s="2">
        <v>40695</v>
      </c>
      <c r="B182" s="3" t="s">
        <v>12</v>
      </c>
      <c r="C182" s="3" t="s">
        <v>13</v>
      </c>
      <c r="D182" s="3" t="s">
        <v>14</v>
      </c>
      <c r="E182" s="3" t="s">
        <v>15</v>
      </c>
      <c r="F182" s="3">
        <v>50776.28</v>
      </c>
      <c r="G182" s="3" t="s">
        <v>16</v>
      </c>
      <c r="H182" s="3" t="s">
        <v>17</v>
      </c>
      <c r="I182" s="3">
        <f>IF(C182="India",1,IF(C182="USA",INDEX('Currency Master'!B:B,MATCH(DATE(N182,MONTH(DATEVALUE(O182&amp;" 1")),1),'Currency Master'!A:A,0)),IF(C182="Australia",INDEX('Currency Master'!T:T,MATCH(DATE(N182,MONTH(DATEVALUE(O182&amp;" 1")),1),'Currency Master'!A:A,0)),"")))</f>
        <v>1</v>
      </c>
      <c r="J182" s="3">
        <f t="shared" si="8"/>
        <v>50776.28</v>
      </c>
      <c r="K182" s="3" t="str">
        <f t="shared" si="9"/>
        <v>₹/Candy</v>
      </c>
      <c r="L182" s="3">
        <v>-0.12961493867089799</v>
      </c>
      <c r="M182" s="3">
        <v>0.49413366855227298</v>
      </c>
      <c r="N182" s="3">
        <f t="shared" si="10"/>
        <v>2011</v>
      </c>
      <c r="O182" s="3" t="str">
        <f t="shared" si="11"/>
        <v>June</v>
      </c>
      <c r="P182" s="3" t="s">
        <v>18</v>
      </c>
      <c r="Q182" s="3"/>
    </row>
    <row r="183" spans="1:17" hidden="1" x14ac:dyDescent="0.3">
      <c r="A183" s="2">
        <v>40664</v>
      </c>
      <c r="B183" s="3" t="s">
        <v>12</v>
      </c>
      <c r="C183" s="3" t="s">
        <v>13</v>
      </c>
      <c r="D183" s="3" t="s">
        <v>14</v>
      </c>
      <c r="E183" s="3" t="s">
        <v>15</v>
      </c>
      <c r="F183" s="3">
        <v>58337.72</v>
      </c>
      <c r="G183" s="3" t="s">
        <v>16</v>
      </c>
      <c r="H183" s="3" t="s">
        <v>17</v>
      </c>
      <c r="I183" s="3">
        <f>IF(C183="India",1,IF(C183="USA",INDEX('Currency Master'!B:B,MATCH(DATE(N183,MONTH(DATEVALUE(O183&amp;" 1")),1),'Currency Master'!A:A,0)),IF(C183="Australia",INDEX('Currency Master'!T:T,MATCH(DATE(N183,MONTH(DATEVALUE(O183&amp;" 1")),1),'Currency Master'!A:A,0)),"")))</f>
        <v>1</v>
      </c>
      <c r="J183" s="3">
        <f t="shared" si="8"/>
        <v>58337.72</v>
      </c>
      <c r="K183" s="3" t="str">
        <f t="shared" si="9"/>
        <v>₹/Candy</v>
      </c>
      <c r="L183" s="3">
        <v>-0.22761123680241299</v>
      </c>
      <c r="M183" s="3">
        <v>0.79918752744839705</v>
      </c>
      <c r="N183" s="3">
        <f t="shared" si="10"/>
        <v>2011</v>
      </c>
      <c r="O183" s="3" t="str">
        <f t="shared" si="11"/>
        <v>May</v>
      </c>
      <c r="P183" s="3" t="s">
        <v>18</v>
      </c>
      <c r="Q183" s="3"/>
    </row>
    <row r="184" spans="1:17" hidden="1" x14ac:dyDescent="0.3">
      <c r="A184" s="2">
        <v>40634</v>
      </c>
      <c r="B184" s="3" t="s">
        <v>12</v>
      </c>
      <c r="C184" s="3" t="s">
        <v>13</v>
      </c>
      <c r="D184" s="3" t="s">
        <v>14</v>
      </c>
      <c r="E184" s="3" t="s">
        <v>15</v>
      </c>
      <c r="F184" s="3">
        <v>75528.960000000006</v>
      </c>
      <c r="G184" s="3" t="s">
        <v>16</v>
      </c>
      <c r="H184" s="3" t="s">
        <v>17</v>
      </c>
      <c r="I184" s="3">
        <f>IF(C184="India",1,IF(C184="USA",INDEX('Currency Master'!B:B,MATCH(DATE(N184,MONTH(DATEVALUE(O184&amp;" 1")),1),'Currency Master'!A:A,0)),IF(C184="Australia",INDEX('Currency Master'!T:T,MATCH(DATE(N184,MONTH(DATEVALUE(O184&amp;" 1")),1),'Currency Master'!A:A,0)),"")))</f>
        <v>1</v>
      </c>
      <c r="J184" s="3">
        <f t="shared" si="8"/>
        <v>75528.960000000006</v>
      </c>
      <c r="K184" s="3" t="str">
        <f t="shared" si="9"/>
        <v>₹/Candy</v>
      </c>
      <c r="L184" s="3">
        <v>-6.8043048539424805E-2</v>
      </c>
      <c r="M184" s="3">
        <v>1.45754662342175</v>
      </c>
      <c r="N184" s="3">
        <f t="shared" si="10"/>
        <v>2011</v>
      </c>
      <c r="O184" s="3" t="str">
        <f t="shared" si="11"/>
        <v>April</v>
      </c>
      <c r="P184" s="3" t="s">
        <v>18</v>
      </c>
      <c r="Q184" s="3"/>
    </row>
    <row r="185" spans="1:17" hidden="1" x14ac:dyDescent="0.3">
      <c r="A185" s="2">
        <v>40603</v>
      </c>
      <c r="B185" s="3" t="s">
        <v>12</v>
      </c>
      <c r="C185" s="3" t="s">
        <v>13</v>
      </c>
      <c r="D185" s="3" t="s">
        <v>14</v>
      </c>
      <c r="E185" s="3" t="s">
        <v>15</v>
      </c>
      <c r="F185" s="3">
        <v>81043.399999999994</v>
      </c>
      <c r="G185" s="3" t="s">
        <v>16</v>
      </c>
      <c r="H185" s="3" t="s">
        <v>17</v>
      </c>
      <c r="I185" s="3">
        <f>IF(C185="India",1,IF(C185="USA",INDEX('Currency Master'!B:B,MATCH(DATE(N185,MONTH(DATEVALUE(O185&amp;" 1")),1),'Currency Master'!A:A,0)),IF(C185="Australia",INDEX('Currency Master'!T:T,MATCH(DATE(N185,MONTH(DATEVALUE(O185&amp;" 1")),1),'Currency Master'!A:A,0)),"")))</f>
        <v>1</v>
      </c>
      <c r="J185" s="3">
        <f t="shared" si="8"/>
        <v>81043.399999999994</v>
      </c>
      <c r="K185" s="3" t="str">
        <f t="shared" si="9"/>
        <v>₹/Candy</v>
      </c>
      <c r="L185" s="3">
        <v>6.5577607189665002E-2</v>
      </c>
      <c r="M185" s="3">
        <v>1.64740086056518</v>
      </c>
      <c r="N185" s="3">
        <f t="shared" si="10"/>
        <v>2011</v>
      </c>
      <c r="O185" s="3" t="str">
        <f t="shared" si="11"/>
        <v>March</v>
      </c>
      <c r="P185" s="3" t="s">
        <v>18</v>
      </c>
      <c r="Q185" s="3"/>
    </row>
    <row r="186" spans="1:17" hidden="1" x14ac:dyDescent="0.3">
      <c r="A186" s="2">
        <v>40575</v>
      </c>
      <c r="B186" s="3" t="s">
        <v>12</v>
      </c>
      <c r="C186" s="3" t="s">
        <v>13</v>
      </c>
      <c r="D186" s="3" t="s">
        <v>14</v>
      </c>
      <c r="E186" s="3" t="s">
        <v>15</v>
      </c>
      <c r="F186" s="3">
        <v>76055.839999999997</v>
      </c>
      <c r="G186" s="3" t="s">
        <v>16</v>
      </c>
      <c r="H186" s="3" t="s">
        <v>17</v>
      </c>
      <c r="I186" s="3">
        <f>IF(C186="India",1,IF(C186="USA",INDEX('Currency Master'!B:B,MATCH(DATE(N186,MONTH(DATEVALUE(O186&amp;" 1")),1),'Currency Master'!A:A,0)),IF(C186="Australia",INDEX('Currency Master'!T:T,MATCH(DATE(N186,MONTH(DATEVALUE(O186&amp;" 1")),1),'Currency Master'!A:A,0)),"")))</f>
        <v>1</v>
      </c>
      <c r="J186" s="3">
        <f t="shared" si="8"/>
        <v>76055.839999999997</v>
      </c>
      <c r="K186" s="3" t="str">
        <f t="shared" si="9"/>
        <v>₹/Candy</v>
      </c>
      <c r="L186" s="3">
        <v>0.19478776354790001</v>
      </c>
      <c r="M186" s="3">
        <v>1.62038513430639</v>
      </c>
      <c r="N186" s="3">
        <f t="shared" si="10"/>
        <v>2011</v>
      </c>
      <c r="O186" s="3" t="str">
        <f t="shared" si="11"/>
        <v>February</v>
      </c>
      <c r="P186" s="3" t="s">
        <v>18</v>
      </c>
      <c r="Q186" s="3"/>
    </row>
    <row r="187" spans="1:17" hidden="1" x14ac:dyDescent="0.3">
      <c r="A187" s="2">
        <v>40544</v>
      </c>
      <c r="B187" s="3" t="s">
        <v>12</v>
      </c>
      <c r="C187" s="3" t="s">
        <v>13</v>
      </c>
      <c r="D187" s="3" t="s">
        <v>14</v>
      </c>
      <c r="E187" s="3" t="s">
        <v>15</v>
      </c>
      <c r="F187" s="3">
        <v>63656.36</v>
      </c>
      <c r="G187" s="3" t="s">
        <v>16</v>
      </c>
      <c r="H187" s="3" t="s">
        <v>17</v>
      </c>
      <c r="I187" s="3">
        <f>IF(C187="India",1,IF(C187="USA",INDEX('Currency Master'!B:B,MATCH(DATE(N187,MONTH(DATEVALUE(O187&amp;" 1")),1),'Currency Master'!A:A,0)),IF(C187="Australia",INDEX('Currency Master'!T:T,MATCH(DATE(N187,MONTH(DATEVALUE(O187&amp;" 1")),1),'Currency Master'!A:A,0)),"")))</f>
        <v>1</v>
      </c>
      <c r="J187" s="3">
        <f t="shared" si="8"/>
        <v>63656.36</v>
      </c>
      <c r="K187" s="3" t="str">
        <f t="shared" si="9"/>
        <v>₹/Candy</v>
      </c>
      <c r="L187" s="3">
        <v>6.9885717704780706E-2</v>
      </c>
      <c r="M187" s="3">
        <v>1.2769642174964999</v>
      </c>
      <c r="N187" s="3">
        <f t="shared" si="10"/>
        <v>2011</v>
      </c>
      <c r="O187" s="3" t="str">
        <f t="shared" si="11"/>
        <v>January</v>
      </c>
      <c r="P187" s="3" t="s">
        <v>18</v>
      </c>
      <c r="Q187" s="3"/>
    </row>
    <row r="188" spans="1:17" hidden="1" x14ac:dyDescent="0.3">
      <c r="A188" s="2">
        <v>40513</v>
      </c>
      <c r="B188" s="3" t="s">
        <v>12</v>
      </c>
      <c r="C188" s="3" t="s">
        <v>13</v>
      </c>
      <c r="D188" s="3" t="s">
        <v>14</v>
      </c>
      <c r="E188" s="3" t="s">
        <v>15</v>
      </c>
      <c r="F188" s="3">
        <v>59498.28</v>
      </c>
      <c r="G188" s="3" t="s">
        <v>16</v>
      </c>
      <c r="H188" s="3" t="s">
        <v>17</v>
      </c>
      <c r="I188" s="3">
        <f>IF(C188="India",1,IF(C188="USA",INDEX('Currency Master'!B:B,MATCH(DATE(N188,MONTH(DATEVALUE(O188&amp;" 1")),1),'Currency Master'!A:A,0)),IF(C188="Australia",INDEX('Currency Master'!T:T,MATCH(DATE(N188,MONTH(DATEVALUE(O188&amp;" 1")),1),'Currency Master'!A:A,0)),"")))</f>
        <v>1</v>
      </c>
      <c r="J188" s="3">
        <f t="shared" si="8"/>
        <v>59498.28</v>
      </c>
      <c r="K188" s="3" t="str">
        <f t="shared" si="9"/>
        <v>₹/Candy</v>
      </c>
      <c r="L188" s="3">
        <v>9.2138796314448199E-2</v>
      </c>
      <c r="M188" s="3">
        <v>1.13339290273168</v>
      </c>
      <c r="N188" s="3">
        <f t="shared" si="10"/>
        <v>2010</v>
      </c>
      <c r="O188" s="3" t="str">
        <f t="shared" si="11"/>
        <v>December</v>
      </c>
      <c r="P188" s="3" t="s">
        <v>18</v>
      </c>
      <c r="Q188" s="3"/>
    </row>
    <row r="189" spans="1:17" hidden="1" x14ac:dyDescent="0.3">
      <c r="A189" s="2">
        <v>40483</v>
      </c>
      <c r="B189" s="3" t="s">
        <v>12</v>
      </c>
      <c r="C189" s="3" t="s">
        <v>13</v>
      </c>
      <c r="D189" s="3" t="s">
        <v>14</v>
      </c>
      <c r="E189" s="3" t="s">
        <v>15</v>
      </c>
      <c r="F189" s="3">
        <v>54478.68</v>
      </c>
      <c r="G189" s="3" t="s">
        <v>16</v>
      </c>
      <c r="H189" s="3" t="s">
        <v>17</v>
      </c>
      <c r="I189" s="3">
        <f>IF(C189="India",1,IF(C189="USA",INDEX('Currency Master'!B:B,MATCH(DATE(N189,MONTH(DATEVALUE(O189&amp;" 1")),1),'Currency Master'!A:A,0)),IF(C189="Australia",INDEX('Currency Master'!T:T,MATCH(DATE(N189,MONTH(DATEVALUE(O189&amp;" 1")),1),'Currency Master'!A:A,0)),"")))</f>
        <v>1</v>
      </c>
      <c r="J189" s="3">
        <f t="shared" si="8"/>
        <v>54478.68</v>
      </c>
      <c r="K189" s="3" t="str">
        <f t="shared" si="9"/>
        <v>₹/Candy</v>
      </c>
      <c r="L189" s="3">
        <v>0.23490961910910199</v>
      </c>
      <c r="M189" s="3">
        <v>1.0797771133460199</v>
      </c>
      <c r="N189" s="3">
        <f t="shared" si="10"/>
        <v>2010</v>
      </c>
      <c r="O189" s="3" t="str">
        <f t="shared" si="11"/>
        <v>November</v>
      </c>
      <c r="P189" s="3" t="s">
        <v>18</v>
      </c>
      <c r="Q189" s="3"/>
    </row>
    <row r="190" spans="1:17" hidden="1" x14ac:dyDescent="0.3">
      <c r="A190" s="2">
        <v>40452</v>
      </c>
      <c r="B190" s="3" t="s">
        <v>12</v>
      </c>
      <c r="C190" s="3" t="s">
        <v>13</v>
      </c>
      <c r="D190" s="3" t="s">
        <v>14</v>
      </c>
      <c r="E190" s="3" t="s">
        <v>15</v>
      </c>
      <c r="F190" s="3">
        <v>44115.519999999997</v>
      </c>
      <c r="G190" s="3" t="s">
        <v>16</v>
      </c>
      <c r="H190" s="3" t="s">
        <v>17</v>
      </c>
      <c r="I190" s="3">
        <f>IF(C190="India",1,IF(C190="USA",INDEX('Currency Master'!B:B,MATCH(DATE(N190,MONTH(DATEVALUE(O190&amp;" 1")),1),'Currency Master'!A:A,0)),IF(C190="Australia",INDEX('Currency Master'!T:T,MATCH(DATE(N190,MONTH(DATEVALUE(O190&amp;" 1")),1),'Currency Master'!A:A,0)),"")))</f>
        <v>1</v>
      </c>
      <c r="J190" s="3">
        <f t="shared" si="8"/>
        <v>44115.519999999997</v>
      </c>
      <c r="K190" s="3" t="str">
        <f t="shared" si="9"/>
        <v>₹/Candy</v>
      </c>
      <c r="L190" s="3">
        <v>0.165209214856606</v>
      </c>
      <c r="M190" s="3">
        <v>0.80430984274898099</v>
      </c>
      <c r="N190" s="3">
        <f t="shared" si="10"/>
        <v>2010</v>
      </c>
      <c r="O190" s="3" t="str">
        <f t="shared" si="11"/>
        <v>October</v>
      </c>
      <c r="P190" s="3" t="s">
        <v>18</v>
      </c>
      <c r="Q190" s="3"/>
    </row>
    <row r="191" spans="1:17" hidden="1" x14ac:dyDescent="0.3">
      <c r="A191" s="2">
        <v>40422</v>
      </c>
      <c r="B191" s="3" t="s">
        <v>12</v>
      </c>
      <c r="C191" s="3" t="s">
        <v>13</v>
      </c>
      <c r="D191" s="3" t="s">
        <v>14</v>
      </c>
      <c r="E191" s="3" t="s">
        <v>15</v>
      </c>
      <c r="F191" s="3">
        <v>37860.6</v>
      </c>
      <c r="G191" s="3" t="s">
        <v>16</v>
      </c>
      <c r="H191" s="3" t="s">
        <v>17</v>
      </c>
      <c r="I191" s="3">
        <f>IF(C191="India",1,IF(C191="USA",INDEX('Currency Master'!B:B,MATCH(DATE(N191,MONTH(DATEVALUE(O191&amp;" 1")),1),'Currency Master'!A:A,0)),IF(C191="Australia",INDEX('Currency Master'!T:T,MATCH(DATE(N191,MONTH(DATEVALUE(O191&amp;" 1")),1),'Currency Master'!A:A,0)),"")))</f>
        <v>1</v>
      </c>
      <c r="J191" s="3">
        <f t="shared" si="8"/>
        <v>37860.6</v>
      </c>
      <c r="K191" s="3" t="str">
        <f t="shared" si="9"/>
        <v>₹/Candy</v>
      </c>
      <c r="L191" s="3">
        <v>0.14762058918743901</v>
      </c>
      <c r="M191" s="3">
        <v>0.55710102489018998</v>
      </c>
      <c r="N191" s="3">
        <f t="shared" si="10"/>
        <v>2010</v>
      </c>
      <c r="O191" s="3" t="str">
        <f t="shared" si="11"/>
        <v>September</v>
      </c>
      <c r="P191" s="3" t="s">
        <v>18</v>
      </c>
      <c r="Q191" s="3"/>
    </row>
    <row r="192" spans="1:17" hidden="1" x14ac:dyDescent="0.3">
      <c r="A192" s="2">
        <v>40391</v>
      </c>
      <c r="B192" s="3" t="s">
        <v>12</v>
      </c>
      <c r="C192" s="3" t="s">
        <v>13</v>
      </c>
      <c r="D192" s="3" t="s">
        <v>14</v>
      </c>
      <c r="E192" s="3" t="s">
        <v>15</v>
      </c>
      <c r="F192" s="3">
        <v>32990.519999999997</v>
      </c>
      <c r="G192" s="3" t="s">
        <v>16</v>
      </c>
      <c r="H192" s="3" t="s">
        <v>17</v>
      </c>
      <c r="I192" s="3">
        <f>IF(C192="India",1,IF(C192="USA",INDEX('Currency Master'!B:B,MATCH(DATE(N192,MONTH(DATEVALUE(O192&amp;" 1")),1),'Currency Master'!A:A,0)),IF(C192="Australia",INDEX('Currency Master'!T:T,MATCH(DATE(N192,MONTH(DATEVALUE(O192&amp;" 1")),1),'Currency Master'!A:A,0)),"")))</f>
        <v>1</v>
      </c>
      <c r="J192" s="3">
        <f t="shared" si="8"/>
        <v>32990.519999999997</v>
      </c>
      <c r="K192" s="3" t="str">
        <f t="shared" si="9"/>
        <v>₹/Candy</v>
      </c>
      <c r="L192" s="3">
        <v>6.2973158981417796E-2</v>
      </c>
      <c r="M192" s="3">
        <v>0.35067774376913002</v>
      </c>
      <c r="N192" s="3">
        <f t="shared" si="10"/>
        <v>2010</v>
      </c>
      <c r="O192" s="3" t="str">
        <f t="shared" si="11"/>
        <v>August</v>
      </c>
      <c r="P192" s="3" t="s">
        <v>18</v>
      </c>
      <c r="Q192" s="3"/>
    </row>
    <row r="193" spans="1:17" hidden="1" x14ac:dyDescent="0.3">
      <c r="A193" s="2">
        <v>40360</v>
      </c>
      <c r="B193" s="3" t="s">
        <v>12</v>
      </c>
      <c r="C193" s="3" t="s">
        <v>13</v>
      </c>
      <c r="D193" s="3" t="s">
        <v>14</v>
      </c>
      <c r="E193" s="3" t="s">
        <v>15</v>
      </c>
      <c r="F193" s="3">
        <v>31036.080000000002</v>
      </c>
      <c r="G193" s="3" t="s">
        <v>16</v>
      </c>
      <c r="H193" s="3" t="s">
        <v>17</v>
      </c>
      <c r="I193" s="3">
        <f>IF(C193="India",1,IF(C193="USA",INDEX('Currency Master'!B:B,MATCH(DATE(N193,MONTH(DATEVALUE(O193&amp;" 1")),1),'Currency Master'!A:A,0)),IF(C193="Australia",INDEX('Currency Master'!T:T,MATCH(DATE(N193,MONTH(DATEVALUE(O193&amp;" 1")),1),'Currency Master'!A:A,0)),"")))</f>
        <v>1</v>
      </c>
      <c r="J193" s="3">
        <f t="shared" si="8"/>
        <v>31036.080000000002</v>
      </c>
      <c r="K193" s="3" t="str">
        <f t="shared" si="9"/>
        <v>₹/Candy</v>
      </c>
      <c r="L193" s="3">
        <v>-8.6737900691388897E-2</v>
      </c>
      <c r="M193" s="3">
        <v>0.25673922444860903</v>
      </c>
      <c r="N193" s="3">
        <f t="shared" si="10"/>
        <v>2010</v>
      </c>
      <c r="O193" s="3" t="str">
        <f t="shared" si="11"/>
        <v>July</v>
      </c>
      <c r="P193" s="3" t="s">
        <v>18</v>
      </c>
      <c r="Q193" s="3"/>
    </row>
    <row r="194" spans="1:17" hidden="1" x14ac:dyDescent="0.3">
      <c r="A194" s="2">
        <v>40330</v>
      </c>
      <c r="B194" s="3" t="s">
        <v>12</v>
      </c>
      <c r="C194" s="3" t="s">
        <v>13</v>
      </c>
      <c r="D194" s="3" t="s">
        <v>14</v>
      </c>
      <c r="E194" s="3" t="s">
        <v>15</v>
      </c>
      <c r="F194" s="3">
        <v>33983.760000000002</v>
      </c>
      <c r="G194" s="3" t="s">
        <v>16</v>
      </c>
      <c r="H194" s="3" t="s">
        <v>17</v>
      </c>
      <c r="I194" s="3">
        <f>IF(C194="India",1,IF(C194="USA",INDEX('Currency Master'!B:B,MATCH(DATE(N194,MONTH(DATEVALUE(O194&amp;" 1")),1),'Currency Master'!A:A,0)),IF(C194="Australia",INDEX('Currency Master'!T:T,MATCH(DATE(N194,MONTH(DATEVALUE(O194&amp;" 1")),1),'Currency Master'!A:A,0)),"")))</f>
        <v>1</v>
      </c>
      <c r="J194" s="3">
        <f t="shared" si="8"/>
        <v>33983.760000000002</v>
      </c>
      <c r="K194" s="3" t="str">
        <f t="shared" si="9"/>
        <v>₹/Candy</v>
      </c>
      <c r="L194" s="3">
        <v>4.8089591567852301E-2</v>
      </c>
      <c r="M194" s="3">
        <v>0.48022949294464201</v>
      </c>
      <c r="N194" s="3">
        <f t="shared" si="10"/>
        <v>2010</v>
      </c>
      <c r="O194" s="3" t="str">
        <f t="shared" si="11"/>
        <v>June</v>
      </c>
      <c r="P194" s="3" t="s">
        <v>18</v>
      </c>
      <c r="Q194" s="3"/>
    </row>
    <row r="195" spans="1:17" hidden="1" x14ac:dyDescent="0.3">
      <c r="A195" s="2">
        <v>40299</v>
      </c>
      <c r="B195" s="3" t="s">
        <v>12</v>
      </c>
      <c r="C195" s="3" t="s">
        <v>13</v>
      </c>
      <c r="D195" s="3" t="s">
        <v>14</v>
      </c>
      <c r="E195" s="3" t="s">
        <v>15</v>
      </c>
      <c r="F195" s="3">
        <v>32424.48</v>
      </c>
      <c r="G195" s="3" t="s">
        <v>16</v>
      </c>
      <c r="H195" s="3" t="s">
        <v>17</v>
      </c>
      <c r="I195" s="3">
        <f>IF(C195="India",1,IF(C195="USA",INDEX('Currency Master'!B:B,MATCH(DATE(N195,MONTH(DATEVALUE(O195&amp;" 1")),1),'Currency Master'!A:A,0)),IF(C195="Australia",INDEX('Currency Master'!T:T,MATCH(DATE(N195,MONTH(DATEVALUE(O195&amp;" 1")),1),'Currency Master'!A:A,0)),"")))</f>
        <v>1</v>
      </c>
      <c r="J195" s="3">
        <f t="shared" ref="J195:J258" si="12">IF(C195="India",F195,IF(C195="USA",IF(G195="US Cents/Lb",ROUND(((F195/100)/0.453592)*I195*356,0),F195),IF(C195="Australia",IF(G195="AUc/kg",ROUND((F195/100)*I195,2),F195),"")))</f>
        <v>32424.48</v>
      </c>
      <c r="K195" s="3" t="str">
        <f t="shared" ref="K195:K258" si="13">IF(C195="India",G195,IF(C195="USA","₹/Candy",IF(C195="Australia","₹/Kg","")))</f>
        <v>₹/Candy</v>
      </c>
      <c r="L195" s="3">
        <v>5.5021429398818503E-2</v>
      </c>
      <c r="M195" s="3">
        <v>0.36983004963152399</v>
      </c>
      <c r="N195" s="3">
        <f t="shared" ref="N195:N258" si="14">YEAR(A195)</f>
        <v>2010</v>
      </c>
      <c r="O195" s="3" t="str">
        <f t="shared" ref="O195:O258" si="15">TEXT(A195,"mmmm")</f>
        <v>May</v>
      </c>
      <c r="P195" s="3" t="s">
        <v>18</v>
      </c>
      <c r="Q195" s="3"/>
    </row>
    <row r="196" spans="1:17" hidden="1" x14ac:dyDescent="0.3">
      <c r="A196" s="2">
        <v>40269</v>
      </c>
      <c r="B196" s="3" t="s">
        <v>12</v>
      </c>
      <c r="C196" s="3" t="s">
        <v>13</v>
      </c>
      <c r="D196" s="3" t="s">
        <v>14</v>
      </c>
      <c r="E196" s="3" t="s">
        <v>15</v>
      </c>
      <c r="F196" s="3">
        <v>30733.48</v>
      </c>
      <c r="G196" s="3" t="s">
        <v>16</v>
      </c>
      <c r="H196" s="3" t="s">
        <v>17</v>
      </c>
      <c r="I196" s="3">
        <f>IF(C196="India",1,IF(C196="USA",INDEX('Currency Master'!B:B,MATCH(DATE(N196,MONTH(DATEVALUE(O196&amp;" 1")),1),'Currency Master'!A:A,0)),IF(C196="Australia",INDEX('Currency Master'!T:T,MATCH(DATE(N196,MONTH(DATEVALUE(O196&amp;" 1")),1),'Currency Master'!A:A,0)),"")))</f>
        <v>1</v>
      </c>
      <c r="J196" s="3">
        <f t="shared" si="12"/>
        <v>30733.48</v>
      </c>
      <c r="K196" s="3" t="str">
        <f t="shared" si="13"/>
        <v>₹/Candy</v>
      </c>
      <c r="L196" s="3">
        <v>3.9539481335040304E-3</v>
      </c>
      <c r="M196" s="3">
        <v>0.37929381690365899</v>
      </c>
      <c r="N196" s="3">
        <f t="shared" si="14"/>
        <v>2010</v>
      </c>
      <c r="O196" s="3" t="str">
        <f t="shared" si="15"/>
        <v>April</v>
      </c>
      <c r="P196" s="3" t="s">
        <v>18</v>
      </c>
      <c r="Q196" s="3"/>
    </row>
    <row r="197" spans="1:17" hidden="1" x14ac:dyDescent="0.3">
      <c r="A197" s="2">
        <v>40238</v>
      </c>
      <c r="B197" s="3" t="s">
        <v>12</v>
      </c>
      <c r="C197" s="3" t="s">
        <v>13</v>
      </c>
      <c r="D197" s="3" t="s">
        <v>14</v>
      </c>
      <c r="E197" s="3" t="s">
        <v>15</v>
      </c>
      <c r="F197" s="3">
        <v>30612.44</v>
      </c>
      <c r="G197" s="3" t="s">
        <v>16</v>
      </c>
      <c r="H197" s="3" t="s">
        <v>17</v>
      </c>
      <c r="I197" s="3">
        <f>IF(C197="India",1,IF(C197="USA",INDEX('Currency Master'!B:B,MATCH(DATE(N197,MONTH(DATEVALUE(O197&amp;" 1")),1),'Currency Master'!A:A,0)),IF(C197="Australia",INDEX('Currency Master'!T:T,MATCH(DATE(N197,MONTH(DATEVALUE(O197&amp;" 1")),1),'Currency Master'!A:A,0)),"")))</f>
        <v>1</v>
      </c>
      <c r="J197" s="3">
        <f t="shared" si="12"/>
        <v>30612.44</v>
      </c>
      <c r="K197" s="3" t="str">
        <f t="shared" si="13"/>
        <v>₹/Candy</v>
      </c>
      <c r="L197" s="3">
        <v>5.4703790015945102E-2</v>
      </c>
      <c r="M197" s="3">
        <v>0.471171941830624</v>
      </c>
      <c r="N197" s="3">
        <f t="shared" si="14"/>
        <v>2010</v>
      </c>
      <c r="O197" s="3" t="str">
        <f t="shared" si="15"/>
        <v>March</v>
      </c>
      <c r="P197" s="3" t="s">
        <v>18</v>
      </c>
      <c r="Q197" s="3"/>
    </row>
    <row r="198" spans="1:17" hidden="1" x14ac:dyDescent="0.3">
      <c r="A198" s="2">
        <v>40210</v>
      </c>
      <c r="B198" s="3" t="s">
        <v>12</v>
      </c>
      <c r="C198" s="3" t="s">
        <v>13</v>
      </c>
      <c r="D198" s="3" t="s">
        <v>14</v>
      </c>
      <c r="E198" s="3" t="s">
        <v>15</v>
      </c>
      <c r="F198" s="3">
        <v>29024.68</v>
      </c>
      <c r="G198" s="3" t="s">
        <v>16</v>
      </c>
      <c r="H198" s="3" t="s">
        <v>17</v>
      </c>
      <c r="I198" s="3">
        <f>IF(C198="India",1,IF(C198="USA",INDEX('Currency Master'!B:B,MATCH(DATE(N198,MONTH(DATEVALUE(O198&amp;" 1")),1),'Currency Master'!A:A,0)),IF(C198="Australia",INDEX('Currency Master'!T:T,MATCH(DATE(N198,MONTH(DATEVALUE(O198&amp;" 1")),1),'Currency Master'!A:A,0)),"")))</f>
        <v>1</v>
      </c>
      <c r="J198" s="3">
        <f t="shared" si="12"/>
        <v>29024.68</v>
      </c>
      <c r="K198" s="3" t="str">
        <f t="shared" si="13"/>
        <v>₹/Candy</v>
      </c>
      <c r="L198" s="3">
        <v>3.8201961033999601E-2</v>
      </c>
      <c r="M198" s="3">
        <v>0.35770191507077398</v>
      </c>
      <c r="N198" s="3">
        <f t="shared" si="14"/>
        <v>2010</v>
      </c>
      <c r="O198" s="3" t="str">
        <f t="shared" si="15"/>
        <v>February</v>
      </c>
      <c r="P198" s="3" t="s">
        <v>18</v>
      </c>
      <c r="Q198" s="3"/>
    </row>
    <row r="199" spans="1:17" hidden="1" x14ac:dyDescent="0.3">
      <c r="A199" s="2">
        <v>40179</v>
      </c>
      <c r="B199" s="3" t="s">
        <v>12</v>
      </c>
      <c r="C199" s="3" t="s">
        <v>13</v>
      </c>
      <c r="D199" s="3" t="s">
        <v>14</v>
      </c>
      <c r="E199" s="3" t="s">
        <v>15</v>
      </c>
      <c r="F199" s="3">
        <v>27956.68</v>
      </c>
      <c r="G199" s="3" t="s">
        <v>16</v>
      </c>
      <c r="H199" s="3" t="s">
        <v>17</v>
      </c>
      <c r="I199" s="3">
        <f>IF(C199="India",1,IF(C199="USA",INDEX('Currency Master'!B:B,MATCH(DATE(N199,MONTH(DATEVALUE(O199&amp;" 1")),1),'Currency Master'!A:A,0)),IF(C199="Australia",INDEX('Currency Master'!T:T,MATCH(DATE(N199,MONTH(DATEVALUE(O199&amp;" 1")),1),'Currency Master'!A:A,0)),"")))</f>
        <v>1</v>
      </c>
      <c r="J199" s="3">
        <f t="shared" si="12"/>
        <v>27956.68</v>
      </c>
      <c r="K199" s="3" t="str">
        <f t="shared" si="13"/>
        <v>₹/Candy</v>
      </c>
      <c r="L199" s="3">
        <v>2.4253255042123701E-3</v>
      </c>
      <c r="M199" s="3">
        <v>0.26600032242463301</v>
      </c>
      <c r="N199" s="3">
        <f t="shared" si="14"/>
        <v>2010</v>
      </c>
      <c r="O199" s="3" t="str">
        <f t="shared" si="15"/>
        <v>January</v>
      </c>
      <c r="P199" s="3" t="s">
        <v>18</v>
      </c>
      <c r="Q199" s="3"/>
    </row>
    <row r="200" spans="1:17" hidden="1" x14ac:dyDescent="0.3">
      <c r="A200" s="2">
        <v>40148</v>
      </c>
      <c r="B200" s="3" t="s">
        <v>12</v>
      </c>
      <c r="C200" s="3" t="s">
        <v>13</v>
      </c>
      <c r="D200" s="3" t="s">
        <v>14</v>
      </c>
      <c r="E200" s="3" t="s">
        <v>15</v>
      </c>
      <c r="F200" s="3">
        <v>27889.040000000001</v>
      </c>
      <c r="G200" s="3" t="s">
        <v>16</v>
      </c>
      <c r="H200" s="3" t="s">
        <v>17</v>
      </c>
      <c r="I200" s="3">
        <f>IF(C200="India",1,IF(C200="USA",INDEX('Currency Master'!B:B,MATCH(DATE(N200,MONTH(DATEVALUE(O200&amp;" 1")),1),'Currency Master'!A:A,0)),IF(C200="Australia",INDEX('Currency Master'!T:T,MATCH(DATE(N200,MONTH(DATEVALUE(O200&amp;" 1")),1),'Currency Master'!A:A,0)),"")))</f>
        <v>1</v>
      </c>
      <c r="J200" s="3">
        <f t="shared" si="12"/>
        <v>27889.040000000001</v>
      </c>
      <c r="K200" s="3" t="str">
        <f t="shared" si="13"/>
        <v>₹/Candy</v>
      </c>
      <c r="L200" s="3">
        <v>6.4691492253329694E-2</v>
      </c>
      <c r="M200" s="3">
        <v>0.32018874283788301</v>
      </c>
      <c r="N200" s="3">
        <f t="shared" si="14"/>
        <v>2009</v>
      </c>
      <c r="O200" s="3" t="str">
        <f t="shared" si="15"/>
        <v>December</v>
      </c>
      <c r="P200" s="3" t="s">
        <v>18</v>
      </c>
      <c r="Q200" s="3"/>
    </row>
    <row r="201" spans="1:17" hidden="1" x14ac:dyDescent="0.3">
      <c r="A201" s="2">
        <v>40118</v>
      </c>
      <c r="B201" s="3" t="s">
        <v>12</v>
      </c>
      <c r="C201" s="3" t="s">
        <v>13</v>
      </c>
      <c r="D201" s="3" t="s">
        <v>14</v>
      </c>
      <c r="E201" s="3" t="s">
        <v>15</v>
      </c>
      <c r="F201" s="3">
        <v>26194.48</v>
      </c>
      <c r="G201" s="3" t="s">
        <v>16</v>
      </c>
      <c r="H201" s="3" t="s">
        <v>17</v>
      </c>
      <c r="I201" s="3">
        <f>IF(C201="India",1,IF(C201="USA",INDEX('Currency Master'!B:B,MATCH(DATE(N201,MONTH(DATEVALUE(O201&amp;" 1")),1),'Currency Master'!A:A,0)),IF(C201="Australia",INDEX('Currency Master'!T:T,MATCH(DATE(N201,MONTH(DATEVALUE(O201&amp;" 1")),1),'Currency Master'!A:A,0)),"")))</f>
        <v>1</v>
      </c>
      <c r="J201" s="3">
        <f t="shared" si="12"/>
        <v>26194.48</v>
      </c>
      <c r="K201" s="3" t="str">
        <f t="shared" si="13"/>
        <v>₹/Candy</v>
      </c>
      <c r="L201" s="3">
        <v>7.1345369831100597E-2</v>
      </c>
      <c r="M201" s="3">
        <v>0.241018721538202</v>
      </c>
      <c r="N201" s="3">
        <f t="shared" si="14"/>
        <v>2009</v>
      </c>
      <c r="O201" s="3" t="str">
        <f t="shared" si="15"/>
        <v>November</v>
      </c>
      <c r="P201" s="3" t="s">
        <v>18</v>
      </c>
      <c r="Q201" s="3"/>
    </row>
    <row r="202" spans="1:17" hidden="1" x14ac:dyDescent="0.3">
      <c r="A202" s="2">
        <v>40087</v>
      </c>
      <c r="B202" s="3" t="s">
        <v>12</v>
      </c>
      <c r="C202" s="3" t="s">
        <v>13</v>
      </c>
      <c r="D202" s="3" t="s">
        <v>14</v>
      </c>
      <c r="E202" s="3" t="s">
        <v>15</v>
      </c>
      <c r="F202" s="3">
        <v>24450.080000000002</v>
      </c>
      <c r="G202" s="3" t="s">
        <v>16</v>
      </c>
      <c r="H202" s="3" t="s">
        <v>17</v>
      </c>
      <c r="I202" s="3">
        <f>IF(C202="India",1,IF(C202="USA",INDEX('Currency Master'!B:B,MATCH(DATE(N202,MONTH(DATEVALUE(O202&amp;" 1")),1),'Currency Master'!A:A,0)),IF(C202="Australia",INDEX('Currency Master'!T:T,MATCH(DATE(N202,MONTH(DATEVALUE(O202&amp;" 1")),1),'Currency Master'!A:A,0)),"")))</f>
        <v>1</v>
      </c>
      <c r="J202" s="3">
        <f t="shared" si="12"/>
        <v>24450.080000000002</v>
      </c>
      <c r="K202" s="3" t="str">
        <f t="shared" si="13"/>
        <v>₹/Candy</v>
      </c>
      <c r="L202" s="3">
        <v>5.5636896046853401E-3</v>
      </c>
      <c r="M202" s="3">
        <v>3.0612244897959301E-2</v>
      </c>
      <c r="N202" s="3">
        <f t="shared" si="14"/>
        <v>2009</v>
      </c>
      <c r="O202" s="3" t="str">
        <f t="shared" si="15"/>
        <v>October</v>
      </c>
      <c r="P202" s="3" t="s">
        <v>18</v>
      </c>
      <c r="Q202" s="3"/>
    </row>
    <row r="203" spans="1:17" hidden="1" x14ac:dyDescent="0.3">
      <c r="A203" s="2">
        <v>40057</v>
      </c>
      <c r="B203" s="3" t="s">
        <v>12</v>
      </c>
      <c r="C203" s="3" t="s">
        <v>13</v>
      </c>
      <c r="D203" s="3" t="s">
        <v>14</v>
      </c>
      <c r="E203" s="3" t="s">
        <v>15</v>
      </c>
      <c r="F203" s="3">
        <v>24314.799999999999</v>
      </c>
      <c r="G203" s="3" t="s">
        <v>16</v>
      </c>
      <c r="H203" s="3" t="s">
        <v>17</v>
      </c>
      <c r="I203" s="3">
        <f>IF(C203="India",1,IF(C203="USA",INDEX('Currency Master'!B:B,MATCH(DATE(N203,MONTH(DATEVALUE(O203&amp;" 1")),1),'Currency Master'!A:A,0)),IF(C203="Australia",INDEX('Currency Master'!T:T,MATCH(DATE(N203,MONTH(DATEVALUE(O203&amp;" 1")),1),'Currency Master'!A:A,0)),"")))</f>
        <v>1</v>
      </c>
      <c r="J203" s="3">
        <f t="shared" si="12"/>
        <v>24314.799999999999</v>
      </c>
      <c r="K203" s="3" t="str">
        <f t="shared" si="13"/>
        <v>₹/Candy</v>
      </c>
      <c r="L203" s="3">
        <v>-4.5182917941991602E-3</v>
      </c>
      <c r="M203" s="3">
        <v>-7.4651131283024003E-2</v>
      </c>
      <c r="N203" s="3">
        <f t="shared" si="14"/>
        <v>2009</v>
      </c>
      <c r="O203" s="3" t="str">
        <f t="shared" si="15"/>
        <v>September</v>
      </c>
      <c r="P203" s="3" t="s">
        <v>18</v>
      </c>
      <c r="Q203" s="3"/>
    </row>
    <row r="204" spans="1:17" hidden="1" x14ac:dyDescent="0.3">
      <c r="A204" s="2">
        <v>40026</v>
      </c>
      <c r="B204" s="3" t="s">
        <v>12</v>
      </c>
      <c r="C204" s="3" t="s">
        <v>13</v>
      </c>
      <c r="D204" s="3" t="s">
        <v>14</v>
      </c>
      <c r="E204" s="3" t="s">
        <v>15</v>
      </c>
      <c r="F204" s="3">
        <v>24425.16</v>
      </c>
      <c r="G204" s="3" t="s">
        <v>16</v>
      </c>
      <c r="H204" s="3" t="s">
        <v>17</v>
      </c>
      <c r="I204" s="3">
        <f>IF(C204="India",1,IF(C204="USA",INDEX('Currency Master'!B:B,MATCH(DATE(N204,MONTH(DATEVALUE(O204&amp;" 1")),1),'Currency Master'!A:A,0)),IF(C204="Australia",INDEX('Currency Master'!T:T,MATCH(DATE(N204,MONTH(DATEVALUE(O204&amp;" 1")),1),'Currency Master'!A:A,0)),"")))</f>
        <v>1</v>
      </c>
      <c r="J204" s="3">
        <f t="shared" si="12"/>
        <v>24425.16</v>
      </c>
      <c r="K204" s="3" t="str">
        <f t="shared" si="13"/>
        <v>₹/Candy</v>
      </c>
      <c r="L204" s="3">
        <v>-1.09557445581664E-2</v>
      </c>
      <c r="M204" s="3">
        <v>-7.0954637779282195E-2</v>
      </c>
      <c r="N204" s="3">
        <f t="shared" si="14"/>
        <v>2009</v>
      </c>
      <c r="O204" s="3" t="str">
        <f t="shared" si="15"/>
        <v>August</v>
      </c>
      <c r="P204" s="3" t="s">
        <v>18</v>
      </c>
      <c r="Q204" s="3"/>
    </row>
    <row r="205" spans="1:17" hidden="1" x14ac:dyDescent="0.3">
      <c r="A205" s="2">
        <v>39995</v>
      </c>
      <c r="B205" s="3" t="s">
        <v>12</v>
      </c>
      <c r="C205" s="3" t="s">
        <v>13</v>
      </c>
      <c r="D205" s="3" t="s">
        <v>14</v>
      </c>
      <c r="E205" s="3" t="s">
        <v>15</v>
      </c>
      <c r="F205" s="3">
        <v>24695.72</v>
      </c>
      <c r="G205" s="3" t="s">
        <v>16</v>
      </c>
      <c r="H205" s="3" t="s">
        <v>17</v>
      </c>
      <c r="I205" s="3">
        <f>IF(C205="India",1,IF(C205="USA",INDEX('Currency Master'!B:B,MATCH(DATE(N205,MONTH(DATEVALUE(O205&amp;" 1")),1),'Currency Master'!A:A,0)),IF(C205="Australia",INDEX('Currency Master'!T:T,MATCH(DATE(N205,MONTH(DATEVALUE(O205&amp;" 1")),1),'Currency Master'!A:A,0)),"")))</f>
        <v>1</v>
      </c>
      <c r="J205" s="3">
        <f t="shared" si="12"/>
        <v>24695.72</v>
      </c>
      <c r="K205" s="3" t="str">
        <f t="shared" si="13"/>
        <v>₹/Candy</v>
      </c>
      <c r="L205" s="3">
        <v>7.5670646611877904E-2</v>
      </c>
      <c r="M205" s="3">
        <v>-4.7377094204888698E-2</v>
      </c>
      <c r="N205" s="3">
        <f t="shared" si="14"/>
        <v>2009</v>
      </c>
      <c r="O205" s="3" t="str">
        <f t="shared" si="15"/>
        <v>July</v>
      </c>
      <c r="P205" s="3" t="s">
        <v>18</v>
      </c>
      <c r="Q205" s="3"/>
    </row>
    <row r="206" spans="1:17" hidden="1" x14ac:dyDescent="0.3">
      <c r="A206" s="2">
        <v>39965</v>
      </c>
      <c r="B206" s="3" t="s">
        <v>12</v>
      </c>
      <c r="C206" s="3" t="s">
        <v>13</v>
      </c>
      <c r="D206" s="3" t="s">
        <v>14</v>
      </c>
      <c r="E206" s="3" t="s">
        <v>15</v>
      </c>
      <c r="F206" s="3">
        <v>22958.44</v>
      </c>
      <c r="G206" s="3" t="s">
        <v>16</v>
      </c>
      <c r="H206" s="3" t="s">
        <v>17</v>
      </c>
      <c r="I206" s="3">
        <f>IF(C206="India",1,IF(C206="USA",INDEX('Currency Master'!B:B,MATCH(DATE(N206,MONTH(DATEVALUE(O206&amp;" 1")),1),'Currency Master'!A:A,0)),IF(C206="Australia",INDEX('Currency Master'!T:T,MATCH(DATE(N206,MONTH(DATEVALUE(O206&amp;" 1")),1),'Currency Master'!A:A,0)),"")))</f>
        <v>1</v>
      </c>
      <c r="J206" s="3">
        <f t="shared" si="12"/>
        <v>22958.44</v>
      </c>
      <c r="K206" s="3" t="str">
        <f t="shared" si="13"/>
        <v>₹/Candy</v>
      </c>
      <c r="L206" s="3">
        <v>-3.00797112347722E-2</v>
      </c>
      <c r="M206" s="3">
        <v>-0.11402665201263899</v>
      </c>
      <c r="N206" s="3">
        <f t="shared" si="14"/>
        <v>2009</v>
      </c>
      <c r="O206" s="3" t="str">
        <f t="shared" si="15"/>
        <v>June</v>
      </c>
      <c r="P206" s="3" t="s">
        <v>18</v>
      </c>
      <c r="Q206" s="3"/>
    </row>
    <row r="207" spans="1:17" hidden="1" x14ac:dyDescent="0.3">
      <c r="A207" s="2">
        <v>39934</v>
      </c>
      <c r="B207" s="3" t="s">
        <v>12</v>
      </c>
      <c r="C207" s="3" t="s">
        <v>13</v>
      </c>
      <c r="D207" s="3" t="s">
        <v>14</v>
      </c>
      <c r="E207" s="3" t="s">
        <v>15</v>
      </c>
      <c r="F207" s="3">
        <v>23670.44</v>
      </c>
      <c r="G207" s="3" t="s">
        <v>16</v>
      </c>
      <c r="H207" s="3" t="s">
        <v>17</v>
      </c>
      <c r="I207" s="3">
        <f>IF(C207="India",1,IF(C207="USA",INDEX('Currency Master'!B:B,MATCH(DATE(N207,MONTH(DATEVALUE(O207&amp;" 1")),1),'Currency Master'!A:A,0)),IF(C207="Australia",INDEX('Currency Master'!T:T,MATCH(DATE(N207,MONTH(DATEVALUE(O207&amp;" 1")),1),'Currency Master'!A:A,0)),"")))</f>
        <v>1</v>
      </c>
      <c r="J207" s="3">
        <f t="shared" si="12"/>
        <v>23670.44</v>
      </c>
      <c r="K207" s="3" t="str">
        <f t="shared" si="13"/>
        <v>₹/Candy</v>
      </c>
      <c r="L207" s="3">
        <v>6.2310273206582299E-2</v>
      </c>
      <c r="M207" s="3">
        <v>-3.1605010195164603E-2</v>
      </c>
      <c r="N207" s="3">
        <f t="shared" si="14"/>
        <v>2009</v>
      </c>
      <c r="O207" s="3" t="str">
        <f t="shared" si="15"/>
        <v>May</v>
      </c>
      <c r="P207" s="3" t="s">
        <v>18</v>
      </c>
      <c r="Q207" s="3"/>
    </row>
    <row r="208" spans="1:17" hidden="1" x14ac:dyDescent="0.3">
      <c r="A208" s="2">
        <v>39904</v>
      </c>
      <c r="B208" s="3" t="s">
        <v>12</v>
      </c>
      <c r="C208" s="3" t="s">
        <v>13</v>
      </c>
      <c r="D208" s="3" t="s">
        <v>14</v>
      </c>
      <c r="E208" s="3" t="s">
        <v>15</v>
      </c>
      <c r="F208" s="3">
        <v>22282.04</v>
      </c>
      <c r="G208" s="3" t="s">
        <v>16</v>
      </c>
      <c r="H208" s="3" t="s">
        <v>17</v>
      </c>
      <c r="I208" s="3">
        <f>IF(C208="India",1,IF(C208="USA",INDEX('Currency Master'!B:B,MATCH(DATE(N208,MONTH(DATEVALUE(O208&amp;" 1")),1),'Currency Master'!A:A,0)),IF(C208="Australia",INDEX('Currency Master'!T:T,MATCH(DATE(N208,MONTH(DATEVALUE(O208&amp;" 1")),1),'Currency Master'!A:A,0)),"")))</f>
        <v>1</v>
      </c>
      <c r="J208" s="3">
        <f t="shared" si="12"/>
        <v>22282.04</v>
      </c>
      <c r="K208" s="3" t="str">
        <f t="shared" si="13"/>
        <v>₹/Candy</v>
      </c>
      <c r="L208" s="3">
        <v>7.0829769033361897E-2</v>
      </c>
      <c r="M208" s="3">
        <v>-5.8088788562829202E-2</v>
      </c>
      <c r="N208" s="3">
        <f t="shared" si="14"/>
        <v>2009</v>
      </c>
      <c r="O208" s="3" t="str">
        <f t="shared" si="15"/>
        <v>April</v>
      </c>
      <c r="P208" s="3" t="s">
        <v>18</v>
      </c>
      <c r="Q208" s="3"/>
    </row>
    <row r="209" spans="1:17" hidden="1" x14ac:dyDescent="0.3">
      <c r="A209" s="2">
        <v>39873</v>
      </c>
      <c r="B209" s="3" t="s">
        <v>12</v>
      </c>
      <c r="C209" s="3" t="s">
        <v>13</v>
      </c>
      <c r="D209" s="3" t="s">
        <v>14</v>
      </c>
      <c r="E209" s="3" t="s">
        <v>15</v>
      </c>
      <c r="F209" s="3">
        <v>20808.2</v>
      </c>
      <c r="G209" s="3" t="s">
        <v>16</v>
      </c>
      <c r="H209" s="3" t="s">
        <v>17</v>
      </c>
      <c r="I209" s="3">
        <f>IF(C209="India",1,IF(C209="USA",INDEX('Currency Master'!B:B,MATCH(DATE(N209,MONTH(DATEVALUE(O209&amp;" 1")),1),'Currency Master'!A:A,0)),IF(C209="Australia",INDEX('Currency Master'!T:T,MATCH(DATE(N209,MONTH(DATEVALUE(O209&amp;" 1")),1),'Currency Master'!A:A,0)),"")))</f>
        <v>1</v>
      </c>
      <c r="J209" s="3">
        <f t="shared" si="12"/>
        <v>20808.2</v>
      </c>
      <c r="K209" s="3" t="str">
        <f t="shared" si="13"/>
        <v>₹/Candy</v>
      </c>
      <c r="L209" s="3">
        <v>-2.66444629475436E-2</v>
      </c>
      <c r="M209" s="3">
        <v>-0.18171636567268701</v>
      </c>
      <c r="N209" s="3">
        <f t="shared" si="14"/>
        <v>2009</v>
      </c>
      <c r="O209" s="3" t="str">
        <f t="shared" si="15"/>
        <v>March</v>
      </c>
      <c r="P209" s="3" t="s">
        <v>18</v>
      </c>
      <c r="Q209" s="3"/>
    </row>
    <row r="210" spans="1:17" hidden="1" x14ac:dyDescent="0.3">
      <c r="A210" s="2">
        <v>39845</v>
      </c>
      <c r="B210" s="3" t="s">
        <v>12</v>
      </c>
      <c r="C210" s="3" t="s">
        <v>13</v>
      </c>
      <c r="D210" s="3" t="s">
        <v>14</v>
      </c>
      <c r="E210" s="3" t="s">
        <v>15</v>
      </c>
      <c r="F210" s="3">
        <v>21377.8</v>
      </c>
      <c r="G210" s="3" t="s">
        <v>16</v>
      </c>
      <c r="H210" s="3" t="s">
        <v>17</v>
      </c>
      <c r="I210" s="3">
        <f>IF(C210="India",1,IF(C210="USA",INDEX('Currency Master'!B:B,MATCH(DATE(N210,MONTH(DATEVALUE(O210&amp;" 1")),1),'Currency Master'!A:A,0)),IF(C210="Australia",INDEX('Currency Master'!T:T,MATCH(DATE(N210,MONTH(DATEVALUE(O210&amp;" 1")),1),'Currency Master'!A:A,0)),"")))</f>
        <v>1</v>
      </c>
      <c r="J210" s="3">
        <f t="shared" si="12"/>
        <v>21377.8</v>
      </c>
      <c r="K210" s="3" t="str">
        <f t="shared" si="13"/>
        <v>₹/Candy</v>
      </c>
      <c r="L210" s="3">
        <v>-3.1920038690956103E-2</v>
      </c>
      <c r="M210" s="3">
        <v>-8.3905415713195999E-2</v>
      </c>
      <c r="N210" s="3">
        <f t="shared" si="14"/>
        <v>2009</v>
      </c>
      <c r="O210" s="3" t="str">
        <f t="shared" si="15"/>
        <v>February</v>
      </c>
      <c r="P210" s="3" t="s">
        <v>18</v>
      </c>
      <c r="Q210" s="3"/>
    </row>
    <row r="211" spans="1:17" hidden="1" x14ac:dyDescent="0.3">
      <c r="A211" s="2">
        <v>39814</v>
      </c>
      <c r="B211" s="3" t="s">
        <v>12</v>
      </c>
      <c r="C211" s="3" t="s">
        <v>13</v>
      </c>
      <c r="D211" s="3" t="s">
        <v>14</v>
      </c>
      <c r="E211" s="3" t="s">
        <v>15</v>
      </c>
      <c r="F211" s="3">
        <v>22082.68</v>
      </c>
      <c r="G211" s="3" t="s">
        <v>16</v>
      </c>
      <c r="H211" s="3" t="s">
        <v>17</v>
      </c>
      <c r="I211" s="3">
        <f>IF(C211="India",1,IF(C211="USA",INDEX('Currency Master'!B:B,MATCH(DATE(N211,MONTH(DATEVALUE(O211&amp;" 1")),1),'Currency Master'!A:A,0)),IF(C211="Australia",INDEX('Currency Master'!T:T,MATCH(DATE(N211,MONTH(DATEVALUE(O211&amp;" 1")),1),'Currency Master'!A:A,0)),"")))</f>
        <v>1</v>
      </c>
      <c r="J211" s="3">
        <f t="shared" si="12"/>
        <v>22082.68</v>
      </c>
      <c r="K211" s="3" t="str">
        <f t="shared" si="13"/>
        <v>₹/Candy</v>
      </c>
      <c r="L211" s="3">
        <v>4.5331985170205598E-2</v>
      </c>
      <c r="M211" s="3">
        <v>-2.1454488089603999E-2</v>
      </c>
      <c r="N211" s="3">
        <f t="shared" si="14"/>
        <v>2009</v>
      </c>
      <c r="O211" s="3" t="str">
        <f t="shared" si="15"/>
        <v>January</v>
      </c>
      <c r="P211" s="3" t="s">
        <v>18</v>
      </c>
      <c r="Q211" s="3"/>
    </row>
    <row r="212" spans="1:17" hidden="1" x14ac:dyDescent="0.3">
      <c r="A212" s="2">
        <v>39783</v>
      </c>
      <c r="B212" s="3" t="s">
        <v>12</v>
      </c>
      <c r="C212" s="3" t="s">
        <v>13</v>
      </c>
      <c r="D212" s="3" t="s">
        <v>14</v>
      </c>
      <c r="E212" s="3" t="s">
        <v>15</v>
      </c>
      <c r="F212" s="3">
        <v>21125.040000000001</v>
      </c>
      <c r="G212" s="3" t="s">
        <v>16</v>
      </c>
      <c r="H212" s="3" t="s">
        <v>17</v>
      </c>
      <c r="I212" s="3">
        <f>IF(C212="India",1,IF(C212="USA",INDEX('Currency Master'!B:B,MATCH(DATE(N212,MONTH(DATEVALUE(O212&amp;" 1")),1),'Currency Master'!A:A,0)),IF(C212="Australia",INDEX('Currency Master'!T:T,MATCH(DATE(N212,MONTH(DATEVALUE(O212&amp;" 1")),1),'Currency Master'!A:A,0)),"")))</f>
        <v>1</v>
      </c>
      <c r="J212" s="3">
        <f t="shared" si="12"/>
        <v>21125.040000000001</v>
      </c>
      <c r="K212" s="3" t="str">
        <f t="shared" si="13"/>
        <v>₹/Candy</v>
      </c>
      <c r="L212" s="3">
        <v>8.4331253162428499E-4</v>
      </c>
      <c r="M212" s="3">
        <v>-1.6572754391779999E-2</v>
      </c>
      <c r="N212" s="3">
        <f t="shared" si="14"/>
        <v>2008</v>
      </c>
      <c r="O212" s="3" t="str">
        <f t="shared" si="15"/>
        <v>December</v>
      </c>
      <c r="P212" s="3" t="s">
        <v>18</v>
      </c>
      <c r="Q212" s="3"/>
    </row>
    <row r="213" spans="1:17" hidden="1" x14ac:dyDescent="0.3">
      <c r="A213" s="2">
        <v>39753</v>
      </c>
      <c r="B213" s="3" t="s">
        <v>12</v>
      </c>
      <c r="C213" s="3" t="s">
        <v>13</v>
      </c>
      <c r="D213" s="3" t="s">
        <v>14</v>
      </c>
      <c r="E213" s="3" t="s">
        <v>15</v>
      </c>
      <c r="F213" s="3">
        <v>21107.24</v>
      </c>
      <c r="G213" s="3" t="s">
        <v>16</v>
      </c>
      <c r="H213" s="3" t="s">
        <v>17</v>
      </c>
      <c r="I213" s="3">
        <f>IF(C213="India",1,IF(C213="USA",INDEX('Currency Master'!B:B,MATCH(DATE(N213,MONTH(DATEVALUE(O213&amp;" 1")),1),'Currency Master'!A:A,0)),IF(C213="Australia",INDEX('Currency Master'!T:T,MATCH(DATE(N213,MONTH(DATEVALUE(O213&amp;" 1")),1),'Currency Master'!A:A,0)),"")))</f>
        <v>1</v>
      </c>
      <c r="J213" s="3">
        <f t="shared" si="12"/>
        <v>21107.24</v>
      </c>
      <c r="K213" s="3" t="str">
        <f t="shared" si="13"/>
        <v>₹/Candy</v>
      </c>
      <c r="L213" s="3">
        <v>-0.110294117647059</v>
      </c>
      <c r="M213" s="3">
        <v>-2.3872242344418999E-2</v>
      </c>
      <c r="N213" s="3">
        <f t="shared" si="14"/>
        <v>2008</v>
      </c>
      <c r="O213" s="3" t="str">
        <f t="shared" si="15"/>
        <v>November</v>
      </c>
      <c r="P213" s="3" t="s">
        <v>18</v>
      </c>
      <c r="Q213" s="3"/>
    </row>
    <row r="214" spans="1:17" hidden="1" x14ac:dyDescent="0.3">
      <c r="A214" s="2">
        <v>39722</v>
      </c>
      <c r="B214" s="3" t="s">
        <v>12</v>
      </c>
      <c r="C214" s="3" t="s">
        <v>13</v>
      </c>
      <c r="D214" s="3" t="s">
        <v>14</v>
      </c>
      <c r="E214" s="3" t="s">
        <v>15</v>
      </c>
      <c r="F214" s="3">
        <v>23723.84</v>
      </c>
      <c r="G214" s="3" t="s">
        <v>16</v>
      </c>
      <c r="H214" s="3" t="s">
        <v>17</v>
      </c>
      <c r="I214" s="3">
        <f>IF(C214="India",1,IF(C214="USA",INDEX('Currency Master'!B:B,MATCH(DATE(N214,MONTH(DATEVALUE(O214&amp;" 1")),1),'Currency Master'!A:A,0)),IF(C214="Australia",INDEX('Currency Master'!T:T,MATCH(DATE(N214,MONTH(DATEVALUE(O214&amp;" 1")),1),'Currency Master'!A:A,0)),"")))</f>
        <v>1</v>
      </c>
      <c r="J214" s="3">
        <f t="shared" si="12"/>
        <v>23723.84</v>
      </c>
      <c r="K214" s="3" t="str">
        <f t="shared" si="13"/>
        <v>₹/Candy</v>
      </c>
      <c r="L214" s="3">
        <v>-9.7141308765749904E-2</v>
      </c>
      <c r="M214" s="3">
        <v>0.10955710955711</v>
      </c>
      <c r="N214" s="3">
        <f t="shared" si="14"/>
        <v>2008</v>
      </c>
      <c r="O214" s="3" t="str">
        <f t="shared" si="15"/>
        <v>October</v>
      </c>
      <c r="P214" s="3" t="s">
        <v>18</v>
      </c>
      <c r="Q214" s="3"/>
    </row>
    <row r="215" spans="1:17" hidden="1" x14ac:dyDescent="0.3">
      <c r="A215" s="2">
        <v>39692</v>
      </c>
      <c r="B215" s="3" t="s">
        <v>12</v>
      </c>
      <c r="C215" s="3" t="s">
        <v>13</v>
      </c>
      <c r="D215" s="3" t="s">
        <v>14</v>
      </c>
      <c r="E215" s="3" t="s">
        <v>15</v>
      </c>
      <c r="F215" s="3">
        <v>26276.36</v>
      </c>
      <c r="G215" s="3" t="s">
        <v>16</v>
      </c>
      <c r="H215" s="3" t="s">
        <v>17</v>
      </c>
      <c r="I215" s="3">
        <f>IF(C215="India",1,IF(C215="USA",INDEX('Currency Master'!B:B,MATCH(DATE(N215,MONTH(DATEVALUE(O215&amp;" 1")),1),'Currency Master'!A:A,0)),IF(C215="Australia",INDEX('Currency Master'!T:T,MATCH(DATE(N215,MONTH(DATEVALUE(O215&amp;" 1")),1),'Currency Master'!A:A,0)),"")))</f>
        <v>1</v>
      </c>
      <c r="J215" s="3">
        <f t="shared" si="12"/>
        <v>26276.36</v>
      </c>
      <c r="K215" s="3" t="str">
        <f t="shared" si="13"/>
        <v>₹/Candy</v>
      </c>
      <c r="L215" s="3">
        <v>-5.41638456330373E-4</v>
      </c>
      <c r="M215" s="3">
        <v>0.219798380432986</v>
      </c>
      <c r="N215" s="3">
        <f t="shared" si="14"/>
        <v>2008</v>
      </c>
      <c r="O215" s="3" t="str">
        <f t="shared" si="15"/>
        <v>September</v>
      </c>
      <c r="P215" s="3" t="s">
        <v>18</v>
      </c>
      <c r="Q215" s="3"/>
    </row>
    <row r="216" spans="1:17" hidden="1" x14ac:dyDescent="0.3">
      <c r="A216" s="2">
        <v>39661</v>
      </c>
      <c r="B216" s="3" t="s">
        <v>12</v>
      </c>
      <c r="C216" s="3" t="s">
        <v>13</v>
      </c>
      <c r="D216" s="3" t="s">
        <v>14</v>
      </c>
      <c r="E216" s="3" t="s">
        <v>15</v>
      </c>
      <c r="F216" s="3">
        <v>26290.6</v>
      </c>
      <c r="G216" s="3" t="s">
        <v>16</v>
      </c>
      <c r="H216" s="3" t="s">
        <v>17</v>
      </c>
      <c r="I216" s="3">
        <f>IF(C216="India",1,IF(C216="USA",INDEX('Currency Master'!B:B,MATCH(DATE(N216,MONTH(DATEVALUE(O216&amp;" 1")),1),'Currency Master'!A:A,0)),IF(C216="Australia",INDEX('Currency Master'!T:T,MATCH(DATE(N216,MONTH(DATEVALUE(O216&amp;" 1")),1),'Currency Master'!A:A,0)),"")))</f>
        <v>1</v>
      </c>
      <c r="J216" s="3">
        <f t="shared" si="12"/>
        <v>26290.6</v>
      </c>
      <c r="K216" s="3" t="str">
        <f t="shared" si="13"/>
        <v>₹/Candy</v>
      </c>
      <c r="L216" s="3">
        <v>1.41444658060972E-2</v>
      </c>
      <c r="M216" s="3">
        <v>0.230833333333333</v>
      </c>
      <c r="N216" s="3">
        <f t="shared" si="14"/>
        <v>2008</v>
      </c>
      <c r="O216" s="3" t="str">
        <f t="shared" si="15"/>
        <v>August</v>
      </c>
      <c r="P216" s="3" t="s">
        <v>18</v>
      </c>
      <c r="Q216" s="3"/>
    </row>
    <row r="217" spans="1:17" hidden="1" x14ac:dyDescent="0.3">
      <c r="A217" s="2">
        <v>39630</v>
      </c>
      <c r="B217" s="3" t="s">
        <v>12</v>
      </c>
      <c r="C217" s="3" t="s">
        <v>13</v>
      </c>
      <c r="D217" s="3" t="s">
        <v>14</v>
      </c>
      <c r="E217" s="3" t="s">
        <v>15</v>
      </c>
      <c r="F217" s="3">
        <v>25923.919999999998</v>
      </c>
      <c r="G217" s="3" t="s">
        <v>16</v>
      </c>
      <c r="H217" s="3" t="s">
        <v>17</v>
      </c>
      <c r="I217" s="3">
        <f>IF(C217="India",1,IF(C217="USA",INDEX('Currency Master'!B:B,MATCH(DATE(N217,MONTH(DATEVALUE(O217&amp;" 1")),1),'Currency Master'!A:A,0)),IF(C217="Australia",INDEX('Currency Master'!T:T,MATCH(DATE(N217,MONTH(DATEVALUE(O217&amp;" 1")),1),'Currency Master'!A:A,0)),"")))</f>
        <v>1</v>
      </c>
      <c r="J217" s="3">
        <f t="shared" si="12"/>
        <v>25923.919999999998</v>
      </c>
      <c r="K217" s="3" t="str">
        <f t="shared" si="13"/>
        <v>₹/Candy</v>
      </c>
      <c r="L217" s="3">
        <v>4.1214452534665802E-4</v>
      </c>
      <c r="M217" s="3">
        <v>0.201253711646321</v>
      </c>
      <c r="N217" s="3">
        <f t="shared" si="14"/>
        <v>2008</v>
      </c>
      <c r="O217" s="3" t="str">
        <f t="shared" si="15"/>
        <v>July</v>
      </c>
      <c r="P217" s="3" t="s">
        <v>18</v>
      </c>
      <c r="Q217" s="3"/>
    </row>
    <row r="218" spans="1:17" hidden="1" x14ac:dyDescent="0.3">
      <c r="A218" s="2">
        <v>39600</v>
      </c>
      <c r="B218" s="3" t="s">
        <v>12</v>
      </c>
      <c r="C218" s="3" t="s">
        <v>13</v>
      </c>
      <c r="D218" s="3" t="s">
        <v>14</v>
      </c>
      <c r="E218" s="3" t="s">
        <v>15</v>
      </c>
      <c r="F218" s="3">
        <v>25913.24</v>
      </c>
      <c r="G218" s="3" t="s">
        <v>16</v>
      </c>
      <c r="H218" s="3" t="s">
        <v>17</v>
      </c>
      <c r="I218" s="3">
        <f>IF(C218="India",1,IF(C218="USA",INDEX('Currency Master'!B:B,MATCH(DATE(N218,MONTH(DATEVALUE(O218&amp;" 1")),1),'Currency Master'!A:A,0)),IF(C218="Australia",INDEX('Currency Master'!T:T,MATCH(DATE(N218,MONTH(DATEVALUE(O218&amp;" 1")),1),'Currency Master'!A:A,0)),"")))</f>
        <v>1</v>
      </c>
      <c r="J218" s="3">
        <f t="shared" si="12"/>
        <v>25913.24</v>
      </c>
      <c r="K218" s="3" t="str">
        <f t="shared" si="13"/>
        <v>₹/Candy</v>
      </c>
      <c r="L218" s="3">
        <v>6.0151471016603598E-2</v>
      </c>
      <c r="M218" s="3">
        <v>0.33266202856096699</v>
      </c>
      <c r="N218" s="3">
        <f t="shared" si="14"/>
        <v>2008</v>
      </c>
      <c r="O218" s="3" t="str">
        <f t="shared" si="15"/>
        <v>June</v>
      </c>
      <c r="P218" s="3" t="s">
        <v>18</v>
      </c>
      <c r="Q218" s="3"/>
    </row>
    <row r="219" spans="1:17" hidden="1" x14ac:dyDescent="0.3">
      <c r="A219" s="2">
        <v>39569</v>
      </c>
      <c r="B219" s="3" t="s">
        <v>12</v>
      </c>
      <c r="C219" s="3" t="s">
        <v>13</v>
      </c>
      <c r="D219" s="3" t="s">
        <v>14</v>
      </c>
      <c r="E219" s="3" t="s">
        <v>15</v>
      </c>
      <c r="F219" s="3">
        <v>24442.959999999999</v>
      </c>
      <c r="G219" s="3" t="s">
        <v>16</v>
      </c>
      <c r="H219" s="3" t="s">
        <v>17</v>
      </c>
      <c r="I219" s="3">
        <f>IF(C219="India",1,IF(C219="USA",INDEX('Currency Master'!B:B,MATCH(DATE(N219,MONTH(DATEVALUE(O219&amp;" 1")),1),'Currency Master'!A:A,0)),IF(C219="Australia",INDEX('Currency Master'!T:T,MATCH(DATE(N219,MONTH(DATEVALUE(O219&amp;" 1")),1),'Currency Master'!A:A,0)),"")))</f>
        <v>1</v>
      </c>
      <c r="J219" s="3">
        <f t="shared" si="12"/>
        <v>24442.959999999999</v>
      </c>
      <c r="K219" s="3" t="str">
        <f t="shared" si="13"/>
        <v>₹/Candy</v>
      </c>
      <c r="L219" s="3">
        <v>3.3258088788562699E-2</v>
      </c>
      <c r="M219" s="3">
        <v>0.37954591119148101</v>
      </c>
      <c r="N219" s="3">
        <f t="shared" si="14"/>
        <v>2008</v>
      </c>
      <c r="O219" s="3" t="str">
        <f t="shared" si="15"/>
        <v>May</v>
      </c>
      <c r="P219" s="3" t="s">
        <v>18</v>
      </c>
      <c r="Q219" s="3"/>
    </row>
    <row r="220" spans="1:17" hidden="1" x14ac:dyDescent="0.3">
      <c r="A220" s="2">
        <v>39539</v>
      </c>
      <c r="B220" s="3" t="s">
        <v>12</v>
      </c>
      <c r="C220" s="3" t="s">
        <v>13</v>
      </c>
      <c r="D220" s="3" t="s">
        <v>14</v>
      </c>
      <c r="E220" s="3" t="s">
        <v>15</v>
      </c>
      <c r="F220" s="3">
        <v>23656.2</v>
      </c>
      <c r="G220" s="3" t="s">
        <v>16</v>
      </c>
      <c r="H220" s="3" t="s">
        <v>17</v>
      </c>
      <c r="I220" s="3">
        <f>IF(C220="India",1,IF(C220="USA",INDEX('Currency Master'!B:B,MATCH(DATE(N220,MONTH(DATEVALUE(O220&amp;" 1")),1),'Currency Master'!A:A,0)),IF(C220="Australia",INDEX('Currency Master'!T:T,MATCH(DATE(N220,MONTH(DATEVALUE(O220&amp;" 1")),1),'Currency Master'!A:A,0)),"")))</f>
        <v>1</v>
      </c>
      <c r="J220" s="3">
        <f t="shared" si="12"/>
        <v>23656.2</v>
      </c>
      <c r="K220" s="3" t="str">
        <f t="shared" si="13"/>
        <v>₹/Candy</v>
      </c>
      <c r="L220" s="3">
        <v>-6.9718605627887495E-2</v>
      </c>
      <c r="M220" s="3">
        <v>0.25117680286198502</v>
      </c>
      <c r="N220" s="3">
        <f t="shared" si="14"/>
        <v>2008</v>
      </c>
      <c r="O220" s="3" t="str">
        <f t="shared" si="15"/>
        <v>April</v>
      </c>
      <c r="P220" s="3" t="s">
        <v>18</v>
      </c>
      <c r="Q220" s="3"/>
    </row>
    <row r="221" spans="1:17" hidden="1" x14ac:dyDescent="0.3">
      <c r="A221" s="2">
        <v>39508</v>
      </c>
      <c r="B221" s="3" t="s">
        <v>12</v>
      </c>
      <c r="C221" s="3" t="s">
        <v>13</v>
      </c>
      <c r="D221" s="3" t="s">
        <v>14</v>
      </c>
      <c r="E221" s="3" t="s">
        <v>15</v>
      </c>
      <c r="F221" s="3">
        <v>25429.08</v>
      </c>
      <c r="G221" s="3" t="s">
        <v>16</v>
      </c>
      <c r="H221" s="3" t="s">
        <v>17</v>
      </c>
      <c r="I221" s="3">
        <f>IF(C221="India",1,IF(C221="USA",INDEX('Currency Master'!B:B,MATCH(DATE(N221,MONTH(DATEVALUE(O221&amp;" 1")),1),'Currency Master'!A:A,0)),IF(C221="Australia",INDEX('Currency Master'!T:T,MATCH(DATE(N221,MONTH(DATEVALUE(O221&amp;" 1")),1),'Currency Master'!A:A,0)),"")))</f>
        <v>1</v>
      </c>
      <c r="J221" s="3">
        <f t="shared" si="12"/>
        <v>25429.08</v>
      </c>
      <c r="K221" s="3" t="str">
        <f t="shared" si="13"/>
        <v>₹/Candy</v>
      </c>
      <c r="L221" s="3">
        <v>8.9702517162471504E-2</v>
      </c>
      <c r="M221" s="3">
        <v>0.25779186476492399</v>
      </c>
      <c r="N221" s="3">
        <f t="shared" si="14"/>
        <v>2008</v>
      </c>
      <c r="O221" s="3" t="str">
        <f t="shared" si="15"/>
        <v>March</v>
      </c>
      <c r="P221" s="3" t="s">
        <v>18</v>
      </c>
      <c r="Q221" s="3"/>
    </row>
    <row r="222" spans="1:17" hidden="1" x14ac:dyDescent="0.3">
      <c r="A222" s="2">
        <v>39479</v>
      </c>
      <c r="B222" s="3" t="s">
        <v>12</v>
      </c>
      <c r="C222" s="3" t="s">
        <v>13</v>
      </c>
      <c r="D222" s="3" t="s">
        <v>14</v>
      </c>
      <c r="E222" s="3" t="s">
        <v>15</v>
      </c>
      <c r="F222" s="3">
        <v>23335.8</v>
      </c>
      <c r="G222" s="3" t="s">
        <v>16</v>
      </c>
      <c r="H222" s="3" t="s">
        <v>17</v>
      </c>
      <c r="I222" s="3">
        <f>IF(C222="India",1,IF(C222="USA",INDEX('Currency Master'!B:B,MATCH(DATE(N222,MONTH(DATEVALUE(O222&amp;" 1")),1),'Currency Master'!A:A,0)),IF(C222="Australia",INDEX('Currency Master'!T:T,MATCH(DATE(N222,MONTH(DATEVALUE(O222&amp;" 1")),1),'Currency Master'!A:A,0)),"")))</f>
        <v>1</v>
      </c>
      <c r="J222" s="3">
        <f t="shared" si="12"/>
        <v>23335.8</v>
      </c>
      <c r="K222" s="3" t="str">
        <f t="shared" si="13"/>
        <v>₹/Candy</v>
      </c>
      <c r="L222" s="3">
        <v>3.4074775201135901E-2</v>
      </c>
      <c r="M222" s="3">
        <v>0.15956129488767001</v>
      </c>
      <c r="N222" s="3">
        <f t="shared" si="14"/>
        <v>2008</v>
      </c>
      <c r="O222" s="3" t="str">
        <f t="shared" si="15"/>
        <v>February</v>
      </c>
      <c r="P222" s="3" t="s">
        <v>18</v>
      </c>
      <c r="Q222" s="3"/>
    </row>
    <row r="223" spans="1:17" hidden="1" x14ac:dyDescent="0.3">
      <c r="A223" s="2">
        <v>39448</v>
      </c>
      <c r="B223" s="3" t="s">
        <v>12</v>
      </c>
      <c r="C223" s="3" t="s">
        <v>13</v>
      </c>
      <c r="D223" s="3" t="s">
        <v>14</v>
      </c>
      <c r="E223" s="3" t="s">
        <v>15</v>
      </c>
      <c r="F223" s="3">
        <v>22566.84</v>
      </c>
      <c r="G223" s="3" t="s">
        <v>16</v>
      </c>
      <c r="H223" s="3" t="s">
        <v>17</v>
      </c>
      <c r="I223" s="3">
        <f>IF(C223="India",1,IF(C223="USA",INDEX('Currency Master'!B:B,MATCH(DATE(N223,MONTH(DATEVALUE(O223&amp;" 1")),1),'Currency Master'!A:A,0)),IF(C223="Australia",INDEX('Currency Master'!T:T,MATCH(DATE(N223,MONTH(DATEVALUE(O223&amp;" 1")),1),'Currency Master'!A:A,0)),"")))</f>
        <v>1</v>
      </c>
      <c r="J223" s="3">
        <f t="shared" si="12"/>
        <v>22566.84</v>
      </c>
      <c r="K223" s="3" t="str">
        <f t="shared" si="13"/>
        <v>₹/Candy</v>
      </c>
      <c r="L223" s="3">
        <v>5.0546900894928602E-2</v>
      </c>
      <c r="M223" s="3">
        <v>9.9757113115891596E-2</v>
      </c>
      <c r="N223" s="3">
        <f t="shared" si="14"/>
        <v>2008</v>
      </c>
      <c r="O223" s="3" t="str">
        <f t="shared" si="15"/>
        <v>January</v>
      </c>
      <c r="P223" s="3" t="s">
        <v>18</v>
      </c>
      <c r="Q223" s="3"/>
    </row>
    <row r="224" spans="1:17" hidden="1" x14ac:dyDescent="0.3">
      <c r="A224" s="2">
        <v>39417</v>
      </c>
      <c r="B224" s="3" t="s">
        <v>12</v>
      </c>
      <c r="C224" s="3" t="s">
        <v>13</v>
      </c>
      <c r="D224" s="3" t="s">
        <v>14</v>
      </c>
      <c r="E224" s="3" t="s">
        <v>15</v>
      </c>
      <c r="F224" s="3">
        <v>21481.040000000001</v>
      </c>
      <c r="G224" s="3" t="s">
        <v>16</v>
      </c>
      <c r="H224" s="3" t="s">
        <v>17</v>
      </c>
      <c r="I224" s="3">
        <f>IF(C224="India",1,IF(C224="USA",INDEX('Currency Master'!B:B,MATCH(DATE(N224,MONTH(DATEVALUE(O224&amp;" 1")),1),'Currency Master'!A:A,0)),IF(C224="Australia",INDEX('Currency Master'!T:T,MATCH(DATE(N224,MONTH(DATEVALUE(O224&amp;" 1")),1),'Currency Master'!A:A,0)),"")))</f>
        <v>1</v>
      </c>
      <c r="J224" s="3">
        <f t="shared" si="12"/>
        <v>21481.040000000001</v>
      </c>
      <c r="K224" s="3" t="str">
        <f t="shared" si="13"/>
        <v>₹/Candy</v>
      </c>
      <c r="L224" s="3">
        <v>-6.5854461639777203E-3</v>
      </c>
      <c r="M224" s="3">
        <v>3.1982213100735499E-2</v>
      </c>
      <c r="N224" s="3">
        <f t="shared" si="14"/>
        <v>2007</v>
      </c>
      <c r="O224" s="3" t="str">
        <f t="shared" si="15"/>
        <v>December</v>
      </c>
      <c r="P224" s="3" t="s">
        <v>18</v>
      </c>
      <c r="Q224" s="3"/>
    </row>
    <row r="225" spans="1:17" hidden="1" x14ac:dyDescent="0.3">
      <c r="A225" s="2">
        <v>39387</v>
      </c>
      <c r="B225" s="3" t="s">
        <v>12</v>
      </c>
      <c r="C225" s="3" t="s">
        <v>13</v>
      </c>
      <c r="D225" s="3" t="s">
        <v>14</v>
      </c>
      <c r="E225" s="3" t="s">
        <v>15</v>
      </c>
      <c r="F225" s="3">
        <v>21623.439999999999</v>
      </c>
      <c r="G225" s="3" t="s">
        <v>16</v>
      </c>
      <c r="H225" s="3" t="s">
        <v>17</v>
      </c>
      <c r="I225" s="3">
        <f>IF(C225="India",1,IF(C225="USA",INDEX('Currency Master'!B:B,MATCH(DATE(N225,MONTH(DATEVALUE(O225&amp;" 1")),1),'Currency Master'!A:A,0)),IF(C225="Australia",INDEX('Currency Master'!T:T,MATCH(DATE(N225,MONTH(DATEVALUE(O225&amp;" 1")),1),'Currency Master'!A:A,0)),"")))</f>
        <v>1</v>
      </c>
      <c r="J225" s="3">
        <f t="shared" si="12"/>
        <v>21623.439999999999</v>
      </c>
      <c r="K225" s="3" t="str">
        <f t="shared" si="13"/>
        <v>₹/Candy</v>
      </c>
      <c r="L225" s="3">
        <v>1.13220113220114E-2</v>
      </c>
      <c r="M225" s="3">
        <v>6.6175179919255797E-2</v>
      </c>
      <c r="N225" s="3">
        <f t="shared" si="14"/>
        <v>2007</v>
      </c>
      <c r="O225" s="3" t="str">
        <f t="shared" si="15"/>
        <v>November</v>
      </c>
      <c r="P225" s="3" t="s">
        <v>18</v>
      </c>
      <c r="Q225" s="3"/>
    </row>
    <row r="226" spans="1:17" hidden="1" x14ac:dyDescent="0.3">
      <c r="A226" s="2">
        <v>39356</v>
      </c>
      <c r="B226" s="3" t="s">
        <v>12</v>
      </c>
      <c r="C226" s="3" t="s">
        <v>13</v>
      </c>
      <c r="D226" s="3" t="s">
        <v>14</v>
      </c>
      <c r="E226" s="3" t="s">
        <v>15</v>
      </c>
      <c r="F226" s="3">
        <v>21381.360000000001</v>
      </c>
      <c r="G226" s="3" t="s">
        <v>16</v>
      </c>
      <c r="H226" s="3" t="s">
        <v>17</v>
      </c>
      <c r="I226" s="3">
        <f>IF(C226="India",1,IF(C226="USA",INDEX('Currency Master'!B:B,MATCH(DATE(N226,MONTH(DATEVALUE(O226&amp;" 1")),1),'Currency Master'!A:A,0)),IF(C226="Australia",INDEX('Currency Master'!T:T,MATCH(DATE(N226,MONTH(DATEVALUE(O226&amp;" 1")),1),'Currency Master'!A:A,0)),"")))</f>
        <v>1</v>
      </c>
      <c r="J226" s="3">
        <f t="shared" si="12"/>
        <v>21381.360000000001</v>
      </c>
      <c r="K226" s="3" t="str">
        <f t="shared" si="13"/>
        <v>₹/Candy</v>
      </c>
      <c r="L226" s="3">
        <v>-7.4367873078828896E-3</v>
      </c>
      <c r="M226" s="3">
        <v>4.8350497469017401E-2</v>
      </c>
      <c r="N226" s="3">
        <f t="shared" si="14"/>
        <v>2007</v>
      </c>
      <c r="O226" s="3" t="str">
        <f t="shared" si="15"/>
        <v>October</v>
      </c>
      <c r="P226" s="3" t="s">
        <v>18</v>
      </c>
      <c r="Q226" s="3"/>
    </row>
    <row r="227" spans="1:17" hidden="1" x14ac:dyDescent="0.3">
      <c r="A227" s="2">
        <v>39326</v>
      </c>
      <c r="B227" s="3" t="s">
        <v>12</v>
      </c>
      <c r="C227" s="3" t="s">
        <v>13</v>
      </c>
      <c r="D227" s="3" t="s">
        <v>14</v>
      </c>
      <c r="E227" s="3" t="s">
        <v>15</v>
      </c>
      <c r="F227" s="3">
        <v>21541.56</v>
      </c>
      <c r="G227" s="3" t="s">
        <v>16</v>
      </c>
      <c r="H227" s="3" t="s">
        <v>17</v>
      </c>
      <c r="I227" s="3">
        <f>IF(C227="India",1,IF(C227="USA",INDEX('Currency Master'!B:B,MATCH(DATE(N227,MONTH(DATEVALUE(O227&amp;" 1")),1),'Currency Master'!A:A,0)),IF(C227="Australia",INDEX('Currency Master'!T:T,MATCH(DATE(N227,MONTH(DATEVALUE(O227&amp;" 1")),1),'Currency Master'!A:A,0)),"")))</f>
        <v>1</v>
      </c>
      <c r="J227" s="3">
        <f t="shared" si="12"/>
        <v>21541.56</v>
      </c>
      <c r="K227" s="3" t="str">
        <f t="shared" si="13"/>
        <v>₹/Candy</v>
      </c>
      <c r="L227" s="3">
        <v>8.4999999999999503E-3</v>
      </c>
      <c r="M227" s="3">
        <v>9.1727818545694895E-3</v>
      </c>
      <c r="N227" s="3">
        <f t="shared" si="14"/>
        <v>2007</v>
      </c>
      <c r="O227" s="3" t="str">
        <f t="shared" si="15"/>
        <v>September</v>
      </c>
      <c r="P227" s="3" t="s">
        <v>18</v>
      </c>
      <c r="Q227" s="3"/>
    </row>
    <row r="228" spans="1:17" hidden="1" x14ac:dyDescent="0.3">
      <c r="A228" s="2">
        <v>39295</v>
      </c>
      <c r="B228" s="3" t="s">
        <v>12</v>
      </c>
      <c r="C228" s="3" t="s">
        <v>13</v>
      </c>
      <c r="D228" s="3" t="s">
        <v>14</v>
      </c>
      <c r="E228" s="3" t="s">
        <v>15</v>
      </c>
      <c r="F228" s="3">
        <v>21360</v>
      </c>
      <c r="G228" s="3" t="s">
        <v>16</v>
      </c>
      <c r="H228" s="3" t="s">
        <v>17</v>
      </c>
      <c r="I228" s="3">
        <f>IF(C228="India",1,IF(C228="USA",INDEX('Currency Master'!B:B,MATCH(DATE(N228,MONTH(DATEVALUE(O228&amp;" 1")),1),'Currency Master'!A:A,0)),IF(C228="Australia",INDEX('Currency Master'!T:T,MATCH(DATE(N228,MONTH(DATEVALUE(O228&amp;" 1")),1),'Currency Master'!A:A,0)),"")))</f>
        <v>1</v>
      </c>
      <c r="J228" s="3">
        <f t="shared" si="12"/>
        <v>21360</v>
      </c>
      <c r="K228" s="3" t="str">
        <f t="shared" si="13"/>
        <v>₹/Candy</v>
      </c>
      <c r="L228" s="3">
        <v>-1.0227647641042399E-2</v>
      </c>
      <c r="M228" s="3">
        <v>-2.3278528406316099E-2</v>
      </c>
      <c r="N228" s="3">
        <f t="shared" si="14"/>
        <v>2007</v>
      </c>
      <c r="O228" s="3" t="str">
        <f t="shared" si="15"/>
        <v>August</v>
      </c>
      <c r="P228" s="3" t="s">
        <v>18</v>
      </c>
      <c r="Q228" s="3"/>
    </row>
    <row r="229" spans="1:17" hidden="1" x14ac:dyDescent="0.3">
      <c r="A229" s="2">
        <v>39264</v>
      </c>
      <c r="B229" s="3" t="s">
        <v>12</v>
      </c>
      <c r="C229" s="3" t="s">
        <v>13</v>
      </c>
      <c r="D229" s="3" t="s">
        <v>14</v>
      </c>
      <c r="E229" s="3" t="s">
        <v>15</v>
      </c>
      <c r="F229" s="3">
        <v>21580.720000000001</v>
      </c>
      <c r="G229" s="3" t="s">
        <v>16</v>
      </c>
      <c r="H229" s="3" t="s">
        <v>17</v>
      </c>
      <c r="I229" s="3">
        <f>IF(C229="India",1,IF(C229="USA",INDEX('Currency Master'!B:B,MATCH(DATE(N229,MONTH(DATEVALUE(O229&amp;" 1")),1),'Currency Master'!A:A,0)),IF(C229="Australia",INDEX('Currency Master'!T:T,MATCH(DATE(N229,MONTH(DATEVALUE(O229&amp;" 1")),1),'Currency Master'!A:A,0)),"")))</f>
        <v>1</v>
      </c>
      <c r="J229" s="3">
        <f t="shared" si="12"/>
        <v>21580.720000000001</v>
      </c>
      <c r="K229" s="3" t="str">
        <f t="shared" si="13"/>
        <v>₹/Candy</v>
      </c>
      <c r="L229" s="3">
        <v>0.10984987184181599</v>
      </c>
      <c r="M229" s="3">
        <v>6.9513055751587893E-2</v>
      </c>
      <c r="N229" s="3">
        <f t="shared" si="14"/>
        <v>2007</v>
      </c>
      <c r="O229" s="3" t="str">
        <f t="shared" si="15"/>
        <v>July</v>
      </c>
      <c r="P229" s="3" t="s">
        <v>18</v>
      </c>
      <c r="Q229" s="3"/>
    </row>
    <row r="230" spans="1:17" hidden="1" x14ac:dyDescent="0.3">
      <c r="A230" s="2">
        <v>39234</v>
      </c>
      <c r="B230" s="3" t="s">
        <v>12</v>
      </c>
      <c r="C230" s="3" t="s">
        <v>13</v>
      </c>
      <c r="D230" s="3" t="s">
        <v>14</v>
      </c>
      <c r="E230" s="3" t="s">
        <v>15</v>
      </c>
      <c r="F230" s="3">
        <v>19444.72</v>
      </c>
      <c r="G230" s="3" t="s">
        <v>16</v>
      </c>
      <c r="H230" s="3" t="s">
        <v>17</v>
      </c>
      <c r="I230" s="3">
        <f>IF(C230="India",1,IF(C230="USA",INDEX('Currency Master'!B:B,MATCH(DATE(N230,MONTH(DATEVALUE(O230&amp;" 1")),1),'Currency Master'!A:A,0)),IF(C230="Australia",INDEX('Currency Master'!T:T,MATCH(DATE(N230,MONTH(DATEVALUE(O230&amp;" 1")),1),'Currency Master'!A:A,0)),"")))</f>
        <v>1</v>
      </c>
      <c r="J230" s="3">
        <f t="shared" si="12"/>
        <v>19444.72</v>
      </c>
      <c r="K230" s="3" t="str">
        <f t="shared" si="13"/>
        <v>₹/Candy</v>
      </c>
      <c r="L230" s="3">
        <v>9.7448262005223704E-2</v>
      </c>
      <c r="M230" s="3">
        <v>-2.7940914753514901E-2</v>
      </c>
      <c r="N230" s="3">
        <f t="shared" si="14"/>
        <v>2007</v>
      </c>
      <c r="O230" s="3" t="str">
        <f t="shared" si="15"/>
        <v>June</v>
      </c>
      <c r="P230" s="3" t="s">
        <v>18</v>
      </c>
      <c r="Q230" s="3"/>
    </row>
    <row r="231" spans="1:17" hidden="1" x14ac:dyDescent="0.3">
      <c r="A231" s="2">
        <v>39203</v>
      </c>
      <c r="B231" s="3" t="s">
        <v>12</v>
      </c>
      <c r="C231" s="3" t="s">
        <v>13</v>
      </c>
      <c r="D231" s="3" t="s">
        <v>14</v>
      </c>
      <c r="E231" s="3" t="s">
        <v>15</v>
      </c>
      <c r="F231" s="3">
        <v>17718.12</v>
      </c>
      <c r="G231" s="3" t="s">
        <v>16</v>
      </c>
      <c r="H231" s="3" t="s">
        <v>17</v>
      </c>
      <c r="I231" s="3">
        <f>IF(C231="India",1,IF(C231="USA",INDEX('Currency Master'!B:B,MATCH(DATE(N231,MONTH(DATEVALUE(O231&amp;" 1")),1),'Currency Master'!A:A,0)),IF(C231="Australia",INDEX('Currency Master'!T:T,MATCH(DATE(N231,MONTH(DATEVALUE(O231&amp;" 1")),1),'Currency Master'!A:A,0)),"")))</f>
        <v>1</v>
      </c>
      <c r="J231" s="3">
        <f t="shared" si="12"/>
        <v>17718.12</v>
      </c>
      <c r="K231" s="3" t="str">
        <f t="shared" si="13"/>
        <v>₹/Candy</v>
      </c>
      <c r="L231" s="3">
        <v>-6.2888344944454694E-2</v>
      </c>
      <c r="M231" s="3">
        <v>-8.6621398421728807E-2</v>
      </c>
      <c r="N231" s="3">
        <f t="shared" si="14"/>
        <v>2007</v>
      </c>
      <c r="O231" s="3" t="str">
        <f t="shared" si="15"/>
        <v>May</v>
      </c>
      <c r="P231" s="3" t="s">
        <v>18</v>
      </c>
      <c r="Q231" s="3"/>
    </row>
    <row r="232" spans="1:17" hidden="1" x14ac:dyDescent="0.3">
      <c r="A232" s="2">
        <v>39173</v>
      </c>
      <c r="B232" s="3" t="s">
        <v>12</v>
      </c>
      <c r="C232" s="3" t="s">
        <v>13</v>
      </c>
      <c r="D232" s="3" t="s">
        <v>14</v>
      </c>
      <c r="E232" s="3" t="s">
        <v>15</v>
      </c>
      <c r="F232" s="3">
        <v>18907.16</v>
      </c>
      <c r="G232" s="3" t="s">
        <v>16</v>
      </c>
      <c r="H232" s="3" t="s">
        <v>17</v>
      </c>
      <c r="I232" s="3">
        <f>IF(C232="India",1,IF(C232="USA",INDEX('Currency Master'!B:B,MATCH(DATE(N232,MONTH(DATEVALUE(O232&amp;" 1")),1),'Currency Master'!A:A,0)),IF(C232="Australia",INDEX('Currency Master'!T:T,MATCH(DATE(N232,MONTH(DATEVALUE(O232&amp;" 1")),1),'Currency Master'!A:A,0)),"")))</f>
        <v>1</v>
      </c>
      <c r="J232" s="3">
        <f t="shared" si="12"/>
        <v>18907.16</v>
      </c>
      <c r="K232" s="3" t="str">
        <f t="shared" si="13"/>
        <v>₹/Candy</v>
      </c>
      <c r="L232" s="3">
        <v>-6.4800140869871403E-2</v>
      </c>
      <c r="M232" s="3">
        <v>-4.7183351273771199E-2</v>
      </c>
      <c r="N232" s="3">
        <f t="shared" si="14"/>
        <v>2007</v>
      </c>
      <c r="O232" s="3" t="str">
        <f t="shared" si="15"/>
        <v>April</v>
      </c>
      <c r="P232" s="3" t="s">
        <v>18</v>
      </c>
      <c r="Q232" s="3"/>
    </row>
    <row r="233" spans="1:17" hidden="1" x14ac:dyDescent="0.3">
      <c r="A233" s="2">
        <v>39142</v>
      </c>
      <c r="B233" s="3" t="s">
        <v>12</v>
      </c>
      <c r="C233" s="3" t="s">
        <v>13</v>
      </c>
      <c r="D233" s="3" t="s">
        <v>14</v>
      </c>
      <c r="E233" s="3" t="s">
        <v>15</v>
      </c>
      <c r="F233" s="3">
        <v>20217.240000000002</v>
      </c>
      <c r="G233" s="3" t="s">
        <v>16</v>
      </c>
      <c r="H233" s="3" t="s">
        <v>17</v>
      </c>
      <c r="I233" s="3">
        <f>IF(C233="India",1,IF(C233="USA",INDEX('Currency Master'!B:B,MATCH(DATE(N233,MONTH(DATEVALUE(O233&amp;" 1")),1),'Currency Master'!A:A,0)),IF(C233="Australia",INDEX('Currency Master'!T:T,MATCH(DATE(N233,MONTH(DATEVALUE(O233&amp;" 1")),1),'Currency Master'!A:A,0)),"")))</f>
        <v>1</v>
      </c>
      <c r="J233" s="3">
        <f t="shared" si="12"/>
        <v>20217.240000000002</v>
      </c>
      <c r="K233" s="3" t="str">
        <f t="shared" si="13"/>
        <v>₹/Candy</v>
      </c>
      <c r="L233" s="3">
        <v>4.5993277905536098E-3</v>
      </c>
      <c r="M233" s="3">
        <v>5.4886685552408797E-3</v>
      </c>
      <c r="N233" s="3">
        <f t="shared" si="14"/>
        <v>2007</v>
      </c>
      <c r="O233" s="3" t="str">
        <f t="shared" si="15"/>
        <v>March</v>
      </c>
      <c r="P233" s="3" t="s">
        <v>18</v>
      </c>
      <c r="Q233" s="3"/>
    </row>
    <row r="234" spans="1:17" hidden="1" x14ac:dyDescent="0.3">
      <c r="A234" s="2">
        <v>39114</v>
      </c>
      <c r="B234" s="3" t="s">
        <v>12</v>
      </c>
      <c r="C234" s="3" t="s">
        <v>13</v>
      </c>
      <c r="D234" s="3" t="s">
        <v>14</v>
      </c>
      <c r="E234" s="3" t="s">
        <v>15</v>
      </c>
      <c r="F234" s="3">
        <v>20124.68</v>
      </c>
      <c r="G234" s="3" t="s">
        <v>16</v>
      </c>
      <c r="H234" s="3" t="s">
        <v>17</v>
      </c>
      <c r="I234" s="3">
        <f>IF(C234="India",1,IF(C234="USA",INDEX('Currency Master'!B:B,MATCH(DATE(N234,MONTH(DATEVALUE(O234&amp;" 1")),1),'Currency Master'!A:A,0)),IF(C234="Australia",INDEX('Currency Master'!T:T,MATCH(DATE(N234,MONTH(DATEVALUE(O234&amp;" 1")),1),'Currency Master'!A:A,0)),"")))</f>
        <v>1</v>
      </c>
      <c r="J234" s="3">
        <f t="shared" si="12"/>
        <v>20124.68</v>
      </c>
      <c r="K234" s="3" t="str">
        <f t="shared" si="13"/>
        <v>₹/Candy</v>
      </c>
      <c r="L234" s="3">
        <v>-1.9257460097154799E-2</v>
      </c>
      <c r="M234" s="3">
        <v>-3.4005468215994601E-2</v>
      </c>
      <c r="N234" s="3">
        <f t="shared" si="14"/>
        <v>2007</v>
      </c>
      <c r="O234" s="3" t="str">
        <f t="shared" si="15"/>
        <v>February</v>
      </c>
      <c r="P234" s="3" t="s">
        <v>18</v>
      </c>
      <c r="Q234" s="3"/>
    </row>
    <row r="235" spans="1:17" hidden="1" x14ac:dyDescent="0.3">
      <c r="A235" s="2">
        <v>39083</v>
      </c>
      <c r="B235" s="3" t="s">
        <v>12</v>
      </c>
      <c r="C235" s="3" t="s">
        <v>13</v>
      </c>
      <c r="D235" s="3" t="s">
        <v>14</v>
      </c>
      <c r="E235" s="3" t="s">
        <v>15</v>
      </c>
      <c r="F235" s="3">
        <v>20519.84</v>
      </c>
      <c r="G235" s="3" t="s">
        <v>16</v>
      </c>
      <c r="H235" s="3" t="s">
        <v>17</v>
      </c>
      <c r="I235" s="3">
        <f>IF(C235="India",1,IF(C235="USA",INDEX('Currency Master'!B:B,MATCH(DATE(N235,MONTH(DATEVALUE(O235&amp;" 1")),1),'Currency Master'!A:A,0)),IF(C235="Australia",INDEX('Currency Master'!T:T,MATCH(DATE(N235,MONTH(DATEVALUE(O235&amp;" 1")),1),'Currency Master'!A:A,0)),"")))</f>
        <v>1</v>
      </c>
      <c r="J235" s="3">
        <f t="shared" si="12"/>
        <v>20519.84</v>
      </c>
      <c r="K235" s="3" t="str">
        <f t="shared" si="13"/>
        <v>₹/Candy</v>
      </c>
      <c r="L235" s="3">
        <v>-1.41953138361552E-2</v>
      </c>
      <c r="M235" s="3">
        <v>6.4606251091321497E-3</v>
      </c>
      <c r="N235" s="3">
        <f t="shared" si="14"/>
        <v>2007</v>
      </c>
      <c r="O235" s="3" t="str">
        <f t="shared" si="15"/>
        <v>January</v>
      </c>
      <c r="P235" s="3" t="s">
        <v>18</v>
      </c>
      <c r="Q235" s="3"/>
    </row>
    <row r="236" spans="1:17" hidden="1" x14ac:dyDescent="0.3">
      <c r="A236" s="2">
        <v>39052</v>
      </c>
      <c r="B236" s="3" t="s">
        <v>12</v>
      </c>
      <c r="C236" s="3" t="s">
        <v>13</v>
      </c>
      <c r="D236" s="3" t="s">
        <v>14</v>
      </c>
      <c r="E236" s="3" t="s">
        <v>15</v>
      </c>
      <c r="F236" s="3">
        <v>20815.32</v>
      </c>
      <c r="G236" s="3" t="s">
        <v>16</v>
      </c>
      <c r="H236" s="3" t="s">
        <v>17</v>
      </c>
      <c r="I236" s="3">
        <f>IF(C236="India",1,IF(C236="USA",INDEX('Currency Master'!B:B,MATCH(DATE(N236,MONTH(DATEVALUE(O236&amp;" 1")),1),'Currency Master'!A:A,0)),IF(C236="Australia",INDEX('Currency Master'!T:T,MATCH(DATE(N236,MONTH(DATEVALUE(O236&amp;" 1")),1),'Currency Master'!A:A,0)),"")))</f>
        <v>1</v>
      </c>
      <c r="J236" s="3">
        <f t="shared" si="12"/>
        <v>20815.32</v>
      </c>
      <c r="K236" s="3" t="str">
        <f t="shared" si="13"/>
        <v>₹/Candy</v>
      </c>
      <c r="L236" s="3">
        <v>2.6329647182727699E-2</v>
      </c>
      <c r="M236" s="3">
        <v>2.45312773786577E-2</v>
      </c>
      <c r="N236" s="3">
        <f t="shared" si="14"/>
        <v>2006</v>
      </c>
      <c r="O236" s="3" t="str">
        <f t="shared" si="15"/>
        <v>December</v>
      </c>
      <c r="P236" s="3" t="s">
        <v>18</v>
      </c>
      <c r="Q236" s="3"/>
    </row>
    <row r="237" spans="1:17" hidden="1" x14ac:dyDescent="0.3">
      <c r="A237" s="2">
        <v>39022</v>
      </c>
      <c r="B237" s="3" t="s">
        <v>12</v>
      </c>
      <c r="C237" s="3" t="s">
        <v>13</v>
      </c>
      <c r="D237" s="3" t="s">
        <v>14</v>
      </c>
      <c r="E237" s="3" t="s">
        <v>15</v>
      </c>
      <c r="F237" s="3">
        <v>20281.32</v>
      </c>
      <c r="G237" s="3" t="s">
        <v>16</v>
      </c>
      <c r="H237" s="3" t="s">
        <v>17</v>
      </c>
      <c r="I237" s="3">
        <f>IF(C237="India",1,IF(C237="USA",INDEX('Currency Master'!B:B,MATCH(DATE(N237,MONTH(DATEVALUE(O237&amp;" 1")),1),'Currency Master'!A:A,0)),IF(C237="Australia",INDEX('Currency Master'!T:T,MATCH(DATE(N237,MONTH(DATEVALUE(O237&amp;" 1")),1),'Currency Master'!A:A,0)),"")))</f>
        <v>1</v>
      </c>
      <c r="J237" s="3">
        <f t="shared" si="12"/>
        <v>20281.32</v>
      </c>
      <c r="K237" s="3" t="str">
        <f t="shared" si="13"/>
        <v>₹/Candy</v>
      </c>
      <c r="L237" s="3">
        <v>-5.5856170361319197E-3</v>
      </c>
      <c r="M237" s="3">
        <v>-3.3240027991602301E-3</v>
      </c>
      <c r="N237" s="3">
        <f t="shared" si="14"/>
        <v>2006</v>
      </c>
      <c r="O237" s="3" t="str">
        <f t="shared" si="15"/>
        <v>November</v>
      </c>
      <c r="P237" s="3" t="s">
        <v>18</v>
      </c>
      <c r="Q237" s="3"/>
    </row>
    <row r="238" spans="1:17" hidden="1" x14ac:dyDescent="0.3">
      <c r="A238" s="2">
        <v>38991</v>
      </c>
      <c r="B238" s="3" t="s">
        <v>12</v>
      </c>
      <c r="C238" s="3" t="s">
        <v>13</v>
      </c>
      <c r="D238" s="3" t="s">
        <v>14</v>
      </c>
      <c r="E238" s="3" t="s">
        <v>15</v>
      </c>
      <c r="F238" s="3">
        <v>20395.240000000002</v>
      </c>
      <c r="G238" s="3" t="s">
        <v>16</v>
      </c>
      <c r="H238" s="3" t="s">
        <v>17</v>
      </c>
      <c r="I238" s="3">
        <f>IF(C238="India",1,IF(C238="USA",INDEX('Currency Master'!B:B,MATCH(DATE(N238,MONTH(DATEVALUE(O238&amp;" 1")),1),'Currency Master'!A:A,0)),IF(C238="Australia",INDEX('Currency Master'!T:T,MATCH(DATE(N238,MONTH(DATEVALUE(O238&amp;" 1")),1),'Currency Master'!A:A,0)),"")))</f>
        <v>1</v>
      </c>
      <c r="J238" s="3">
        <f t="shared" si="12"/>
        <v>20395.240000000002</v>
      </c>
      <c r="K238" s="3" t="str">
        <f t="shared" si="13"/>
        <v>₹/Candy</v>
      </c>
      <c r="L238" s="3">
        <v>-4.4529686457638697E-2</v>
      </c>
      <c r="M238" s="3">
        <v>-1.3944570332926601E-3</v>
      </c>
      <c r="N238" s="3">
        <f t="shared" si="14"/>
        <v>2006</v>
      </c>
      <c r="O238" s="3" t="str">
        <f t="shared" si="15"/>
        <v>October</v>
      </c>
      <c r="P238" s="3" t="s">
        <v>18</v>
      </c>
      <c r="Q238" s="3"/>
    </row>
    <row r="239" spans="1:17" hidden="1" x14ac:dyDescent="0.3">
      <c r="A239" s="2">
        <v>38961</v>
      </c>
      <c r="B239" s="3" t="s">
        <v>12</v>
      </c>
      <c r="C239" s="3" t="s">
        <v>13</v>
      </c>
      <c r="D239" s="3" t="s">
        <v>14</v>
      </c>
      <c r="E239" s="3" t="s">
        <v>15</v>
      </c>
      <c r="F239" s="3">
        <v>21345.759999999998</v>
      </c>
      <c r="G239" s="3" t="s">
        <v>16</v>
      </c>
      <c r="H239" s="3" t="s">
        <v>17</v>
      </c>
      <c r="I239" s="3">
        <f>IF(C239="India",1,IF(C239="USA",INDEX('Currency Master'!B:B,MATCH(DATE(N239,MONTH(DATEVALUE(O239&amp;" 1")),1),'Currency Master'!A:A,0)),IF(C239="Australia",INDEX('Currency Master'!T:T,MATCH(DATE(N239,MONTH(DATEVALUE(O239&amp;" 1")),1),'Currency Master'!A:A,0)),"")))</f>
        <v>1</v>
      </c>
      <c r="J239" s="3">
        <f t="shared" si="12"/>
        <v>21345.759999999998</v>
      </c>
      <c r="K239" s="3" t="str">
        <f t="shared" si="13"/>
        <v>₹/Candy</v>
      </c>
      <c r="L239" s="3">
        <v>-2.3929676054045099E-2</v>
      </c>
      <c r="M239" s="3">
        <v>0.12834023334587899</v>
      </c>
      <c r="N239" s="3">
        <f t="shared" si="14"/>
        <v>2006</v>
      </c>
      <c r="O239" s="3" t="str">
        <f t="shared" si="15"/>
        <v>September</v>
      </c>
      <c r="P239" s="3" t="s">
        <v>18</v>
      </c>
      <c r="Q239" s="3"/>
    </row>
    <row r="240" spans="1:17" hidden="1" x14ac:dyDescent="0.3">
      <c r="A240" s="2">
        <v>38930</v>
      </c>
      <c r="B240" s="3" t="s">
        <v>12</v>
      </c>
      <c r="C240" s="3" t="s">
        <v>13</v>
      </c>
      <c r="D240" s="3" t="s">
        <v>14</v>
      </c>
      <c r="E240" s="3" t="s">
        <v>15</v>
      </c>
      <c r="F240" s="3">
        <v>21869.08</v>
      </c>
      <c r="G240" s="3" t="s">
        <v>16</v>
      </c>
      <c r="H240" s="3" t="s">
        <v>17</v>
      </c>
      <c r="I240" s="3">
        <f>IF(C240="India",1,IF(C240="USA",INDEX('Currency Master'!B:B,MATCH(DATE(N240,MONTH(DATEVALUE(O240&amp;" 1")),1),'Currency Master'!A:A,0)),IF(C240="Australia",INDEX('Currency Master'!T:T,MATCH(DATE(N240,MONTH(DATEVALUE(O240&amp;" 1")),1),'Currency Master'!A:A,0)),"")))</f>
        <v>1</v>
      </c>
      <c r="J240" s="3">
        <f t="shared" si="12"/>
        <v>21869.08</v>
      </c>
      <c r="K240" s="3" t="str">
        <f t="shared" si="13"/>
        <v>₹/Candy</v>
      </c>
      <c r="L240" s="3">
        <v>8.3803810868031001E-2</v>
      </c>
      <c r="M240" s="3">
        <v>0.183394336351377</v>
      </c>
      <c r="N240" s="3">
        <f t="shared" si="14"/>
        <v>2006</v>
      </c>
      <c r="O240" s="3" t="str">
        <f t="shared" si="15"/>
        <v>August</v>
      </c>
      <c r="P240" s="3" t="s">
        <v>18</v>
      </c>
      <c r="Q240" s="3"/>
    </row>
    <row r="241" spans="1:17" hidden="1" x14ac:dyDescent="0.3">
      <c r="A241" s="2">
        <v>38899</v>
      </c>
      <c r="B241" s="3" t="s">
        <v>12</v>
      </c>
      <c r="C241" s="3" t="s">
        <v>13</v>
      </c>
      <c r="D241" s="3" t="s">
        <v>14</v>
      </c>
      <c r="E241" s="3" t="s">
        <v>15</v>
      </c>
      <c r="F241" s="3">
        <v>20178.080000000002</v>
      </c>
      <c r="G241" s="3" t="s">
        <v>16</v>
      </c>
      <c r="H241" s="3" t="s">
        <v>17</v>
      </c>
      <c r="I241" s="3">
        <f>IF(C241="India",1,IF(C241="USA",INDEX('Currency Master'!B:B,MATCH(DATE(N241,MONTH(DATEVALUE(O241&amp;" 1")),1),'Currency Master'!A:A,0)),IF(C241="Australia",INDEX('Currency Master'!T:T,MATCH(DATE(N241,MONTH(DATEVALUE(O241&amp;" 1")),1),'Currency Master'!A:A,0)),"")))</f>
        <v>1</v>
      </c>
      <c r="J241" s="3">
        <f t="shared" si="12"/>
        <v>20178.080000000002</v>
      </c>
      <c r="K241" s="3" t="str">
        <f t="shared" si="13"/>
        <v>₹/Candy</v>
      </c>
      <c r="L241" s="3">
        <v>8.7204128848548095E-3</v>
      </c>
      <c r="M241" s="3">
        <v>7.5930144267274194E-2</v>
      </c>
      <c r="N241" s="3">
        <f t="shared" si="14"/>
        <v>2006</v>
      </c>
      <c r="O241" s="3" t="str">
        <f t="shared" si="15"/>
        <v>July</v>
      </c>
      <c r="P241" s="3" t="s">
        <v>18</v>
      </c>
      <c r="Q241" s="3"/>
    </row>
    <row r="242" spans="1:17" hidden="1" x14ac:dyDescent="0.3">
      <c r="A242" s="2">
        <v>38869</v>
      </c>
      <c r="B242" s="3" t="s">
        <v>12</v>
      </c>
      <c r="C242" s="3" t="s">
        <v>13</v>
      </c>
      <c r="D242" s="3" t="s">
        <v>14</v>
      </c>
      <c r="E242" s="3" t="s">
        <v>15</v>
      </c>
      <c r="F242" s="3">
        <v>20003.64</v>
      </c>
      <c r="G242" s="3" t="s">
        <v>16</v>
      </c>
      <c r="H242" s="3" t="s">
        <v>17</v>
      </c>
      <c r="I242" s="3">
        <f>IF(C242="India",1,IF(C242="USA",INDEX('Currency Master'!B:B,MATCH(DATE(N242,MONTH(DATEVALUE(O242&amp;" 1")),1),'Currency Master'!A:A,0)),IF(C242="Australia",INDEX('Currency Master'!T:T,MATCH(DATE(N242,MONTH(DATEVALUE(O242&amp;" 1")),1),'Currency Master'!A:A,0)),"")))</f>
        <v>1</v>
      </c>
      <c r="J242" s="3">
        <f t="shared" si="12"/>
        <v>20003.64</v>
      </c>
      <c r="K242" s="3" t="str">
        <f t="shared" si="13"/>
        <v>₹/Candy</v>
      </c>
      <c r="L242" s="3">
        <v>3.1198385024775E-2</v>
      </c>
      <c r="M242" s="3">
        <v>8.3285135916715006E-2</v>
      </c>
      <c r="N242" s="3">
        <f t="shared" si="14"/>
        <v>2006</v>
      </c>
      <c r="O242" s="3" t="str">
        <f t="shared" si="15"/>
        <v>June</v>
      </c>
      <c r="P242" s="3" t="s">
        <v>18</v>
      </c>
      <c r="Q242" s="3"/>
    </row>
    <row r="243" spans="1:17" hidden="1" x14ac:dyDescent="0.3">
      <c r="A243" s="2">
        <v>38838</v>
      </c>
      <c r="B243" s="3" t="s">
        <v>12</v>
      </c>
      <c r="C243" s="3" t="s">
        <v>13</v>
      </c>
      <c r="D243" s="3" t="s">
        <v>14</v>
      </c>
      <c r="E243" s="3" t="s">
        <v>15</v>
      </c>
      <c r="F243" s="3">
        <v>19398.439999999999</v>
      </c>
      <c r="G243" s="3" t="s">
        <v>16</v>
      </c>
      <c r="H243" s="3" t="s">
        <v>17</v>
      </c>
      <c r="I243" s="3">
        <f>IF(C243="India",1,IF(C243="USA",INDEX('Currency Master'!B:B,MATCH(DATE(N243,MONTH(DATEVALUE(O243&amp;" 1")),1),'Currency Master'!A:A,0)),IF(C243="Australia",INDEX('Currency Master'!T:T,MATCH(DATE(N243,MONTH(DATEVALUE(O243&amp;" 1")),1),'Currency Master'!A:A,0)),"")))</f>
        <v>1</v>
      </c>
      <c r="J243" s="3">
        <f t="shared" si="12"/>
        <v>19398.439999999999</v>
      </c>
      <c r="K243" s="3" t="str">
        <f t="shared" si="13"/>
        <v>₹/Candy</v>
      </c>
      <c r="L243" s="3">
        <v>-2.24255471833513E-2</v>
      </c>
      <c r="M243" s="3">
        <v>1.8695083193120299E-2</v>
      </c>
      <c r="N243" s="3">
        <f t="shared" si="14"/>
        <v>2006</v>
      </c>
      <c r="O243" s="3" t="str">
        <f t="shared" si="15"/>
        <v>May</v>
      </c>
      <c r="P243" s="3" t="s">
        <v>18</v>
      </c>
      <c r="Q243" s="3"/>
    </row>
    <row r="244" spans="1:17" hidden="1" x14ac:dyDescent="0.3">
      <c r="A244" s="2">
        <v>38808</v>
      </c>
      <c r="B244" s="3" t="s">
        <v>12</v>
      </c>
      <c r="C244" s="3" t="s">
        <v>13</v>
      </c>
      <c r="D244" s="3" t="s">
        <v>14</v>
      </c>
      <c r="E244" s="3" t="s">
        <v>15</v>
      </c>
      <c r="F244" s="3">
        <v>19843.439999999999</v>
      </c>
      <c r="G244" s="3" t="s">
        <v>16</v>
      </c>
      <c r="H244" s="3" t="s">
        <v>17</v>
      </c>
      <c r="I244" s="3">
        <f>IF(C244="India",1,IF(C244="USA",INDEX('Currency Master'!B:B,MATCH(DATE(N244,MONTH(DATEVALUE(O244&amp;" 1")),1),'Currency Master'!A:A,0)),IF(C244="Australia",INDEX('Currency Master'!T:T,MATCH(DATE(N244,MONTH(DATEVALUE(O244&amp;" 1")),1),'Currency Master'!A:A,0)),"")))</f>
        <v>1</v>
      </c>
      <c r="J244" s="3">
        <f t="shared" si="12"/>
        <v>19843.439999999999</v>
      </c>
      <c r="K244" s="3" t="str">
        <f t="shared" si="13"/>
        <v>₹/Candy</v>
      </c>
      <c r="L244" s="3">
        <v>-1.31019830028326E-2</v>
      </c>
      <c r="M244" s="3">
        <v>1.1431682090364799E-2</v>
      </c>
      <c r="N244" s="3">
        <f t="shared" si="14"/>
        <v>2006</v>
      </c>
      <c r="O244" s="3" t="str">
        <f t="shared" si="15"/>
        <v>April</v>
      </c>
      <c r="P244" s="3" t="s">
        <v>18</v>
      </c>
      <c r="Q244" s="3"/>
    </row>
    <row r="245" spans="1:17" hidden="1" x14ac:dyDescent="0.3">
      <c r="A245" s="2">
        <v>38777</v>
      </c>
      <c r="B245" s="3" t="s">
        <v>12</v>
      </c>
      <c r="C245" s="3" t="s">
        <v>13</v>
      </c>
      <c r="D245" s="3" t="s">
        <v>14</v>
      </c>
      <c r="E245" s="3" t="s">
        <v>15</v>
      </c>
      <c r="F245" s="3">
        <v>20106.88</v>
      </c>
      <c r="G245" s="3" t="s">
        <v>16</v>
      </c>
      <c r="H245" s="3" t="s">
        <v>17</v>
      </c>
      <c r="I245" s="3">
        <f>IF(C245="India",1,IF(C245="USA",INDEX('Currency Master'!B:B,MATCH(DATE(N245,MONTH(DATEVALUE(O245&amp;" 1")),1),'Currency Master'!A:A,0)),IF(C245="Australia",INDEX('Currency Master'!T:T,MATCH(DATE(N245,MONTH(DATEVALUE(O245&amp;" 1")),1),'Currency Master'!A:A,0)),"")))</f>
        <v>1</v>
      </c>
      <c r="J245" s="3">
        <f t="shared" si="12"/>
        <v>20106.88</v>
      </c>
      <c r="K245" s="3" t="str">
        <f t="shared" si="13"/>
        <v>₹/Candy</v>
      </c>
      <c r="L245" s="3">
        <v>-3.4859876965140403E-2</v>
      </c>
      <c r="M245" s="3">
        <v>4.24510889627168E-2</v>
      </c>
      <c r="N245" s="3">
        <f t="shared" si="14"/>
        <v>2006</v>
      </c>
      <c r="O245" s="3" t="str">
        <f t="shared" si="15"/>
        <v>March</v>
      </c>
      <c r="P245" s="3" t="s">
        <v>18</v>
      </c>
      <c r="Q245" s="3"/>
    </row>
    <row r="246" spans="1:17" hidden="1" x14ac:dyDescent="0.3">
      <c r="A246" s="2">
        <v>38749</v>
      </c>
      <c r="B246" s="3" t="s">
        <v>12</v>
      </c>
      <c r="C246" s="3" t="s">
        <v>13</v>
      </c>
      <c r="D246" s="3" t="s">
        <v>14</v>
      </c>
      <c r="E246" s="3" t="s">
        <v>15</v>
      </c>
      <c r="F246" s="3">
        <v>20833.12</v>
      </c>
      <c r="G246" s="3" t="s">
        <v>16</v>
      </c>
      <c r="H246" s="3" t="s">
        <v>17</v>
      </c>
      <c r="I246" s="3">
        <f>IF(C246="India",1,IF(C246="USA",INDEX('Currency Master'!B:B,MATCH(DATE(N246,MONTH(DATEVALUE(O246&amp;" 1")),1),'Currency Master'!A:A,0)),IF(C246="Australia",INDEX('Currency Master'!T:T,MATCH(DATE(N246,MONTH(DATEVALUE(O246&amp;" 1")),1),'Currency Master'!A:A,0)),"")))</f>
        <v>1</v>
      </c>
      <c r="J246" s="3">
        <f t="shared" si="12"/>
        <v>20833.12</v>
      </c>
      <c r="K246" s="3" t="str">
        <f t="shared" si="13"/>
        <v>₹/Candy</v>
      </c>
      <c r="L246" s="3">
        <v>2.18264361795006E-2</v>
      </c>
      <c r="M246" s="3">
        <v>0.15492401815670001</v>
      </c>
      <c r="N246" s="3">
        <f t="shared" si="14"/>
        <v>2006</v>
      </c>
      <c r="O246" s="3" t="str">
        <f t="shared" si="15"/>
        <v>February</v>
      </c>
      <c r="P246" s="3" t="s">
        <v>18</v>
      </c>
      <c r="Q246" s="3"/>
    </row>
    <row r="247" spans="1:17" hidden="1" x14ac:dyDescent="0.3">
      <c r="A247" s="2">
        <v>38718</v>
      </c>
      <c r="B247" s="3" t="s">
        <v>12</v>
      </c>
      <c r="C247" s="3" t="s">
        <v>13</v>
      </c>
      <c r="D247" s="3" t="s">
        <v>14</v>
      </c>
      <c r="E247" s="3" t="s">
        <v>15</v>
      </c>
      <c r="F247" s="3">
        <v>20388.12</v>
      </c>
      <c r="G247" s="3" t="s">
        <v>16</v>
      </c>
      <c r="H247" s="3" t="s">
        <v>17</v>
      </c>
      <c r="I247" s="3">
        <f>IF(C247="India",1,IF(C247="USA",INDEX('Currency Master'!B:B,MATCH(DATE(N247,MONTH(DATEVALUE(O247&amp;" 1")),1),'Currency Master'!A:A,0)),IF(C247="Australia",INDEX('Currency Master'!T:T,MATCH(DATE(N247,MONTH(DATEVALUE(O247&amp;" 1")),1),'Currency Master'!A:A,0)),"")))</f>
        <v>1</v>
      </c>
      <c r="J247" s="3">
        <f t="shared" si="12"/>
        <v>20388.12</v>
      </c>
      <c r="K247" s="3" t="str">
        <f t="shared" si="13"/>
        <v>₹/Candy</v>
      </c>
      <c r="L247" s="3">
        <v>3.50446819695116E-3</v>
      </c>
      <c r="M247" s="3">
        <v>0.15813953488372101</v>
      </c>
      <c r="N247" s="3">
        <f t="shared" si="14"/>
        <v>2006</v>
      </c>
      <c r="O247" s="3" t="str">
        <f t="shared" si="15"/>
        <v>January</v>
      </c>
      <c r="P247" s="3" t="s">
        <v>18</v>
      </c>
      <c r="Q247" s="3"/>
    </row>
    <row r="248" spans="1:17" hidden="1" x14ac:dyDescent="0.3">
      <c r="A248" s="2">
        <v>38687</v>
      </c>
      <c r="B248" s="3" t="s">
        <v>12</v>
      </c>
      <c r="C248" s="3" t="s">
        <v>13</v>
      </c>
      <c r="D248" s="3" t="s">
        <v>14</v>
      </c>
      <c r="E248" s="3" t="s">
        <v>15</v>
      </c>
      <c r="F248" s="3">
        <v>20316.919999999998</v>
      </c>
      <c r="G248" s="3" t="s">
        <v>16</v>
      </c>
      <c r="H248" s="3" t="s">
        <v>17</v>
      </c>
      <c r="I248" s="3">
        <f>IF(C248="India",1,IF(C248="USA",INDEX('Currency Master'!B:B,MATCH(DATE(N248,MONTH(DATEVALUE(O248&amp;" 1")),1),'Currency Master'!A:A,0)),IF(C248="Australia",INDEX('Currency Master'!T:T,MATCH(DATE(N248,MONTH(DATEVALUE(O248&amp;" 1")),1),'Currency Master'!A:A,0)),"")))</f>
        <v>1</v>
      </c>
      <c r="J248" s="3">
        <f t="shared" si="12"/>
        <v>20316.919999999998</v>
      </c>
      <c r="K248" s="3" t="str">
        <f t="shared" si="13"/>
        <v>₹/Candy</v>
      </c>
      <c r="L248" s="3">
        <v>-1.5745276417073999E-3</v>
      </c>
      <c r="M248" s="3"/>
      <c r="N248" s="3">
        <f t="shared" si="14"/>
        <v>2005</v>
      </c>
      <c r="O248" s="3" t="str">
        <f t="shared" si="15"/>
        <v>December</v>
      </c>
      <c r="P248" s="3" t="s">
        <v>18</v>
      </c>
      <c r="Q248" s="3"/>
    </row>
    <row r="249" spans="1:17" hidden="1" x14ac:dyDescent="0.3">
      <c r="A249" s="2">
        <v>38657</v>
      </c>
      <c r="B249" s="3" t="s">
        <v>12</v>
      </c>
      <c r="C249" s="3" t="s">
        <v>13</v>
      </c>
      <c r="D249" s="3" t="s">
        <v>14</v>
      </c>
      <c r="E249" s="3" t="s">
        <v>15</v>
      </c>
      <c r="F249" s="3">
        <v>20348.96</v>
      </c>
      <c r="G249" s="3" t="s">
        <v>16</v>
      </c>
      <c r="H249" s="3" t="s">
        <v>17</v>
      </c>
      <c r="I249" s="3">
        <f>IF(C249="India",1,IF(C249="USA",INDEX('Currency Master'!B:B,MATCH(DATE(N249,MONTH(DATEVALUE(O249&amp;" 1")),1),'Currency Master'!A:A,0)),IF(C249="Australia",INDEX('Currency Master'!T:T,MATCH(DATE(N249,MONTH(DATEVALUE(O249&amp;" 1")),1),'Currency Master'!A:A,0)),"")))</f>
        <v>1</v>
      </c>
      <c r="J249" s="3">
        <f t="shared" si="12"/>
        <v>20348.96</v>
      </c>
      <c r="K249" s="3" t="str">
        <f t="shared" si="13"/>
        <v>₹/Candy</v>
      </c>
      <c r="L249" s="3">
        <v>-3.66044971239321E-3</v>
      </c>
      <c r="M249" s="3"/>
      <c r="N249" s="3">
        <f t="shared" si="14"/>
        <v>2005</v>
      </c>
      <c r="O249" s="3" t="str">
        <f t="shared" si="15"/>
        <v>November</v>
      </c>
      <c r="P249" s="3" t="s">
        <v>18</v>
      </c>
      <c r="Q249" s="3"/>
    </row>
    <row r="250" spans="1:17" hidden="1" x14ac:dyDescent="0.3">
      <c r="A250" s="2">
        <v>38626</v>
      </c>
      <c r="B250" s="3" t="s">
        <v>12</v>
      </c>
      <c r="C250" s="3" t="s">
        <v>13</v>
      </c>
      <c r="D250" s="3" t="s">
        <v>14</v>
      </c>
      <c r="E250" s="3" t="s">
        <v>15</v>
      </c>
      <c r="F250" s="3">
        <v>20423.72</v>
      </c>
      <c r="G250" s="3" t="s">
        <v>16</v>
      </c>
      <c r="H250" s="3" t="s">
        <v>17</v>
      </c>
      <c r="I250" s="3">
        <f>IF(C250="India",1,IF(C250="USA",INDEX('Currency Master'!B:B,MATCH(DATE(N250,MONTH(DATEVALUE(O250&amp;" 1")),1),'Currency Master'!A:A,0)),IF(C250="Australia",INDEX('Currency Master'!T:T,MATCH(DATE(N250,MONTH(DATEVALUE(O250&amp;" 1")),1),'Currency Master'!A:A,0)),"")))</f>
        <v>1</v>
      </c>
      <c r="J250" s="3">
        <f t="shared" si="12"/>
        <v>20423.72</v>
      </c>
      <c r="K250" s="3" t="str">
        <f t="shared" si="13"/>
        <v>₹/Candy</v>
      </c>
      <c r="L250" s="3">
        <v>7.9601053820097703E-2</v>
      </c>
      <c r="M250" s="3"/>
      <c r="N250" s="3">
        <f t="shared" si="14"/>
        <v>2005</v>
      </c>
      <c r="O250" s="3" t="str">
        <f t="shared" si="15"/>
        <v>October</v>
      </c>
      <c r="P250" s="3" t="s">
        <v>18</v>
      </c>
      <c r="Q250" s="3"/>
    </row>
    <row r="251" spans="1:17" hidden="1" x14ac:dyDescent="0.3">
      <c r="A251" s="2">
        <v>38596</v>
      </c>
      <c r="B251" s="3" t="s">
        <v>12</v>
      </c>
      <c r="C251" s="3" t="s">
        <v>13</v>
      </c>
      <c r="D251" s="3" t="s">
        <v>14</v>
      </c>
      <c r="E251" s="3" t="s">
        <v>15</v>
      </c>
      <c r="F251" s="3">
        <v>18917.84</v>
      </c>
      <c r="G251" s="3" t="s">
        <v>16</v>
      </c>
      <c r="H251" s="3" t="s">
        <v>17</v>
      </c>
      <c r="I251" s="3">
        <f>IF(C251="India",1,IF(C251="USA",INDEX('Currency Master'!B:B,MATCH(DATE(N251,MONTH(DATEVALUE(O251&amp;" 1")),1),'Currency Master'!A:A,0)),IF(C251="Australia",INDEX('Currency Master'!T:T,MATCH(DATE(N251,MONTH(DATEVALUE(O251&amp;" 1")),1),'Currency Master'!A:A,0)),"")))</f>
        <v>1</v>
      </c>
      <c r="J251" s="3">
        <f t="shared" si="12"/>
        <v>18917.84</v>
      </c>
      <c r="K251" s="3" t="str">
        <f t="shared" si="13"/>
        <v>₹/Candy</v>
      </c>
      <c r="L251" s="3">
        <v>2.3694856482373301E-2</v>
      </c>
      <c r="M251" s="3"/>
      <c r="N251" s="3">
        <f t="shared" si="14"/>
        <v>2005</v>
      </c>
      <c r="O251" s="3" t="str">
        <f t="shared" si="15"/>
        <v>September</v>
      </c>
      <c r="P251" s="3" t="s">
        <v>18</v>
      </c>
      <c r="Q251" s="3"/>
    </row>
    <row r="252" spans="1:17" hidden="1" x14ac:dyDescent="0.3">
      <c r="A252" s="2">
        <v>38565</v>
      </c>
      <c r="B252" s="3" t="s">
        <v>12</v>
      </c>
      <c r="C252" s="3" t="s">
        <v>13</v>
      </c>
      <c r="D252" s="3" t="s">
        <v>14</v>
      </c>
      <c r="E252" s="3" t="s">
        <v>15</v>
      </c>
      <c r="F252" s="3">
        <v>18479.96</v>
      </c>
      <c r="G252" s="3" t="s">
        <v>16</v>
      </c>
      <c r="H252" s="3" t="s">
        <v>17</v>
      </c>
      <c r="I252" s="3">
        <f>IF(C252="India",1,IF(C252="USA",INDEX('Currency Master'!B:B,MATCH(DATE(N252,MONTH(DATEVALUE(O252&amp;" 1")),1),'Currency Master'!A:A,0)),IF(C252="Australia",INDEX('Currency Master'!T:T,MATCH(DATE(N252,MONTH(DATEVALUE(O252&amp;" 1")),1),'Currency Master'!A:A,0)),"")))</f>
        <v>1</v>
      </c>
      <c r="J252" s="3">
        <f t="shared" si="12"/>
        <v>18479.96</v>
      </c>
      <c r="K252" s="3" t="str">
        <f t="shared" si="13"/>
        <v>₹/Candy</v>
      </c>
      <c r="L252" s="3">
        <v>-1.46165527714502E-2</v>
      </c>
      <c r="M252" s="3"/>
      <c r="N252" s="3">
        <f t="shared" si="14"/>
        <v>2005</v>
      </c>
      <c r="O252" s="3" t="str">
        <f t="shared" si="15"/>
        <v>August</v>
      </c>
      <c r="P252" s="3" t="s">
        <v>18</v>
      </c>
      <c r="Q252" s="3"/>
    </row>
    <row r="253" spans="1:17" hidden="1" x14ac:dyDescent="0.3">
      <c r="A253" s="2">
        <v>38534</v>
      </c>
      <c r="B253" s="3" t="s">
        <v>12</v>
      </c>
      <c r="C253" s="3" t="s">
        <v>13</v>
      </c>
      <c r="D253" s="3" t="s">
        <v>14</v>
      </c>
      <c r="E253" s="3" t="s">
        <v>15</v>
      </c>
      <c r="F253" s="3">
        <v>18754.080000000002</v>
      </c>
      <c r="G253" s="3" t="s">
        <v>16</v>
      </c>
      <c r="H253" s="3" t="s">
        <v>17</v>
      </c>
      <c r="I253" s="3">
        <f>IF(C253="India",1,IF(C253="USA",INDEX('Currency Master'!B:B,MATCH(DATE(N253,MONTH(DATEVALUE(O253&amp;" 1")),1),'Currency Master'!A:A,0)),IF(C253="Australia",INDEX('Currency Master'!T:T,MATCH(DATE(N253,MONTH(DATEVALUE(O253&amp;" 1")),1),'Currency Master'!A:A,0)),"")))</f>
        <v>1</v>
      </c>
      <c r="J253" s="3">
        <f t="shared" si="12"/>
        <v>18754.080000000002</v>
      </c>
      <c r="K253" s="3" t="str">
        <f t="shared" si="13"/>
        <v>₹/Candy</v>
      </c>
      <c r="L253" s="3">
        <v>1.56159629843842E-2</v>
      </c>
      <c r="M253" s="3"/>
      <c r="N253" s="3">
        <f t="shared" si="14"/>
        <v>2005</v>
      </c>
      <c r="O253" s="3" t="str">
        <f t="shared" si="15"/>
        <v>July</v>
      </c>
      <c r="P253" s="3" t="s">
        <v>18</v>
      </c>
      <c r="Q253" s="3"/>
    </row>
    <row r="254" spans="1:17" hidden="1" x14ac:dyDescent="0.3">
      <c r="A254" s="2">
        <v>38504</v>
      </c>
      <c r="B254" s="3" t="s">
        <v>12</v>
      </c>
      <c r="C254" s="3" t="s">
        <v>13</v>
      </c>
      <c r="D254" s="3" t="s">
        <v>14</v>
      </c>
      <c r="E254" s="3" t="s">
        <v>15</v>
      </c>
      <c r="F254" s="3">
        <v>18465.72</v>
      </c>
      <c r="G254" s="3" t="s">
        <v>16</v>
      </c>
      <c r="H254" s="3" t="s">
        <v>17</v>
      </c>
      <c r="I254" s="3">
        <f>IF(C254="India",1,IF(C254="USA",INDEX('Currency Master'!B:B,MATCH(DATE(N254,MONTH(DATEVALUE(O254&amp;" 1")),1),'Currency Master'!A:A,0)),IF(C254="Australia",INDEX('Currency Master'!T:T,MATCH(DATE(N254,MONTH(DATEVALUE(O254&amp;" 1")),1),'Currency Master'!A:A,0)),"")))</f>
        <v>1</v>
      </c>
      <c r="J254" s="3">
        <f t="shared" si="12"/>
        <v>18465.72</v>
      </c>
      <c r="K254" s="3" t="str">
        <f t="shared" si="13"/>
        <v>₹/Candy</v>
      </c>
      <c r="L254" s="3">
        <v>-3.0286034772854999E-2</v>
      </c>
      <c r="M254" s="3"/>
      <c r="N254" s="3">
        <f t="shared" si="14"/>
        <v>2005</v>
      </c>
      <c r="O254" s="3" t="str">
        <f t="shared" si="15"/>
        <v>June</v>
      </c>
      <c r="P254" s="3" t="s">
        <v>18</v>
      </c>
      <c r="Q254" s="3"/>
    </row>
    <row r="255" spans="1:17" hidden="1" x14ac:dyDescent="0.3">
      <c r="A255" s="2">
        <v>38473</v>
      </c>
      <c r="B255" s="3" t="s">
        <v>12</v>
      </c>
      <c r="C255" s="3" t="s">
        <v>13</v>
      </c>
      <c r="D255" s="3" t="s">
        <v>14</v>
      </c>
      <c r="E255" s="3" t="s">
        <v>15</v>
      </c>
      <c r="F255" s="3">
        <v>19042.439999999999</v>
      </c>
      <c r="G255" s="3" t="s">
        <v>16</v>
      </c>
      <c r="H255" s="3" t="s">
        <v>17</v>
      </c>
      <c r="I255" s="3">
        <f>IF(C255="India",1,IF(C255="USA",INDEX('Currency Master'!B:B,MATCH(DATE(N255,MONTH(DATEVALUE(O255&amp;" 1")),1),'Currency Master'!A:A,0)),IF(C255="Australia",INDEX('Currency Master'!T:T,MATCH(DATE(N255,MONTH(DATEVALUE(O255&amp;" 1")),1),'Currency Master'!A:A,0)),"")))</f>
        <v>1</v>
      </c>
      <c r="J255" s="3">
        <f t="shared" si="12"/>
        <v>19042.439999999999</v>
      </c>
      <c r="K255" s="3" t="str">
        <f t="shared" si="13"/>
        <v>₹/Candy</v>
      </c>
      <c r="L255" s="3">
        <v>-2.9395753946652101E-2</v>
      </c>
      <c r="M255" s="3"/>
      <c r="N255" s="3">
        <f t="shared" si="14"/>
        <v>2005</v>
      </c>
      <c r="O255" s="3" t="str">
        <f t="shared" si="15"/>
        <v>May</v>
      </c>
      <c r="P255" s="3" t="s">
        <v>18</v>
      </c>
      <c r="Q255" s="3"/>
    </row>
    <row r="256" spans="1:17" hidden="1" x14ac:dyDescent="0.3">
      <c r="A256" s="2">
        <v>38443</v>
      </c>
      <c r="B256" s="3" t="s">
        <v>12</v>
      </c>
      <c r="C256" s="3" t="s">
        <v>13</v>
      </c>
      <c r="D256" s="3" t="s">
        <v>14</v>
      </c>
      <c r="E256" s="3" t="s">
        <v>15</v>
      </c>
      <c r="F256" s="3">
        <v>19619.16</v>
      </c>
      <c r="G256" s="3" t="s">
        <v>16</v>
      </c>
      <c r="H256" s="3" t="s">
        <v>17</v>
      </c>
      <c r="I256" s="3">
        <f>IF(C256="India",1,IF(C256="USA",INDEX('Currency Master'!B:B,MATCH(DATE(N256,MONTH(DATEVALUE(O256&amp;" 1")),1),'Currency Master'!A:A,0)),IF(C256="Australia",INDEX('Currency Master'!T:T,MATCH(DATE(N256,MONTH(DATEVALUE(O256&amp;" 1")),1),'Currency Master'!A:A,0)),"")))</f>
        <v>1</v>
      </c>
      <c r="J256" s="3">
        <f t="shared" si="12"/>
        <v>19619.16</v>
      </c>
      <c r="K256" s="3" t="str">
        <f t="shared" si="13"/>
        <v>₹/Candy</v>
      </c>
      <c r="L256" s="3">
        <v>1.7165005537098699E-2</v>
      </c>
      <c r="M256" s="3"/>
      <c r="N256" s="3">
        <f t="shared" si="14"/>
        <v>2005</v>
      </c>
      <c r="O256" s="3" t="str">
        <f t="shared" si="15"/>
        <v>April</v>
      </c>
      <c r="P256" s="3" t="s">
        <v>18</v>
      </c>
      <c r="Q256" s="3"/>
    </row>
    <row r="257" spans="1:17" hidden="1" x14ac:dyDescent="0.3">
      <c r="A257" s="2">
        <v>38412</v>
      </c>
      <c r="B257" s="3" t="s">
        <v>12</v>
      </c>
      <c r="C257" s="3" t="s">
        <v>13</v>
      </c>
      <c r="D257" s="3" t="s">
        <v>14</v>
      </c>
      <c r="E257" s="3" t="s">
        <v>15</v>
      </c>
      <c r="F257" s="3">
        <v>19288.080000000002</v>
      </c>
      <c r="G257" s="3" t="s">
        <v>16</v>
      </c>
      <c r="H257" s="3" t="s">
        <v>17</v>
      </c>
      <c r="I257" s="3">
        <f>IF(C257="India",1,IF(C257="USA",INDEX('Currency Master'!B:B,MATCH(DATE(N257,MONTH(DATEVALUE(O257&amp;" 1")),1),'Currency Master'!A:A,0)),IF(C257="Australia",INDEX('Currency Master'!T:T,MATCH(DATE(N257,MONTH(DATEVALUE(O257&amp;" 1")),1),'Currency Master'!A:A,0)),"")))</f>
        <v>1</v>
      </c>
      <c r="J257" s="3">
        <f t="shared" si="12"/>
        <v>19288.080000000002</v>
      </c>
      <c r="K257" s="3" t="str">
        <f t="shared" si="13"/>
        <v>₹/Candy</v>
      </c>
      <c r="L257" s="3">
        <v>6.92717584369449E-2</v>
      </c>
      <c r="M257" s="3"/>
      <c r="N257" s="3">
        <f t="shared" si="14"/>
        <v>2005</v>
      </c>
      <c r="O257" s="3" t="str">
        <f t="shared" si="15"/>
        <v>March</v>
      </c>
      <c r="P257" s="3" t="s">
        <v>18</v>
      </c>
      <c r="Q257" s="3"/>
    </row>
    <row r="258" spans="1:17" hidden="1" x14ac:dyDescent="0.3">
      <c r="A258" s="2">
        <v>38384</v>
      </c>
      <c r="B258" s="3" t="s">
        <v>12</v>
      </c>
      <c r="C258" s="3" t="s">
        <v>13</v>
      </c>
      <c r="D258" s="3" t="s">
        <v>14</v>
      </c>
      <c r="E258" s="3" t="s">
        <v>15</v>
      </c>
      <c r="F258" s="3">
        <v>18038.52</v>
      </c>
      <c r="G258" s="3" t="s">
        <v>16</v>
      </c>
      <c r="H258" s="3" t="s">
        <v>17</v>
      </c>
      <c r="I258" s="3">
        <f>IF(C258="India",1,IF(C258="USA",INDEX('Currency Master'!B:B,MATCH(DATE(N258,MONTH(DATEVALUE(O258&amp;" 1")),1),'Currency Master'!A:A,0)),IF(C258="Australia",INDEX('Currency Master'!T:T,MATCH(DATE(N258,MONTH(DATEVALUE(O258&amp;" 1")),1),'Currency Master'!A:A,0)),"")))</f>
        <v>1</v>
      </c>
      <c r="J258" s="3">
        <f t="shared" si="12"/>
        <v>18038.52</v>
      </c>
      <c r="K258" s="3" t="str">
        <f t="shared" si="13"/>
        <v>₹/Candy</v>
      </c>
      <c r="L258" s="3">
        <v>2.46713852376137E-2</v>
      </c>
      <c r="M258" s="3"/>
      <c r="N258" s="3">
        <f t="shared" si="14"/>
        <v>2005</v>
      </c>
      <c r="O258" s="3" t="str">
        <f t="shared" si="15"/>
        <v>February</v>
      </c>
      <c r="P258" s="3" t="s">
        <v>18</v>
      </c>
      <c r="Q258" s="3"/>
    </row>
    <row r="259" spans="1:17" hidden="1" x14ac:dyDescent="0.3">
      <c r="A259" s="2">
        <v>38353</v>
      </c>
      <c r="B259" s="3" t="s">
        <v>12</v>
      </c>
      <c r="C259" s="3" t="s">
        <v>13</v>
      </c>
      <c r="D259" s="3" t="s">
        <v>14</v>
      </c>
      <c r="E259" s="3" t="s">
        <v>15</v>
      </c>
      <c r="F259" s="3">
        <v>17604.2</v>
      </c>
      <c r="G259" s="3" t="s">
        <v>16</v>
      </c>
      <c r="H259" s="3" t="s">
        <v>17</v>
      </c>
      <c r="I259" s="3">
        <f>IF(C259="India",1,IF(C259="USA",INDEX('Currency Master'!B:B,MATCH(DATE(N259,MONTH(DATEVALUE(O259&amp;" 1")),1),'Currency Master'!A:A,0)),IF(C259="Australia",INDEX('Currency Master'!T:T,MATCH(DATE(N259,MONTH(DATEVALUE(O259&amp;" 1")),1),'Currency Master'!A:A,0)),"")))</f>
        <v>1</v>
      </c>
      <c r="J259" s="3">
        <f t="shared" ref="J259:J322" si="16">IF(C259="India",F259,IF(C259="USA",IF(G259="US Cents/Lb",ROUND(((F259/100)/0.453592)*I259*356,0),F259),IF(C259="Australia",IF(G259="AUc/kg",ROUND((F259/100)*I259,2),F259),"")))</f>
        <v>17604.2</v>
      </c>
      <c r="K259" s="3" t="str">
        <f t="shared" ref="K259:K322" si="17">IF(C259="India",G259,IF(C259="USA","₹/Candy",IF(C259="Australia","₹/Kg","")))</f>
        <v>₹/Candy</v>
      </c>
      <c r="L259" s="3"/>
      <c r="M259" s="3"/>
      <c r="N259" s="3">
        <f t="shared" ref="N259:N322" si="18">YEAR(A259)</f>
        <v>2005</v>
      </c>
      <c r="O259" s="3" t="str">
        <f t="shared" ref="O259:O322" si="19">TEXT(A259,"mmmm")</f>
        <v>January</v>
      </c>
      <c r="P259" s="3" t="s">
        <v>18</v>
      </c>
      <c r="Q259" s="3"/>
    </row>
    <row r="260" spans="1:17" x14ac:dyDescent="0.3">
      <c r="A260" s="2">
        <v>46143</v>
      </c>
      <c r="B260" s="3" t="s">
        <v>12</v>
      </c>
      <c r="C260" s="3" t="s">
        <v>19</v>
      </c>
      <c r="D260" s="3" t="s">
        <v>20</v>
      </c>
      <c r="E260" s="3" t="s">
        <v>21</v>
      </c>
      <c r="F260" s="3">
        <v>76315.72</v>
      </c>
      <c r="G260" s="3" t="s">
        <v>16</v>
      </c>
      <c r="H260" s="3" t="s">
        <v>17</v>
      </c>
      <c r="I260" s="3">
        <f>IF(C260="India",1,IF(C260="USA",INDEX('Currency Master'!B:B,MATCH(DATE(N260,MONTH(DATEVALUE(O260&amp;" 1")),1),'Currency Master'!A:A,0)),IF(C260="Australia",INDEX('Currency Master'!T:T,MATCH(DATE(N260,MONTH(DATEVALUE(O260&amp;" 1")),1),'Currency Master'!A:A,0)),"")))</f>
        <v>94.34</v>
      </c>
      <c r="J260" s="3">
        <f t="shared" si="16"/>
        <v>76315.72</v>
      </c>
      <c r="K260" s="3" t="str">
        <f t="shared" si="17"/>
        <v>₹/Candy</v>
      </c>
      <c r="L260" s="3">
        <v>0.30069930069930101</v>
      </c>
      <c r="M260" s="3"/>
      <c r="N260" s="3">
        <f t="shared" si="18"/>
        <v>2026</v>
      </c>
      <c r="O260" s="3" t="str">
        <f t="shared" si="19"/>
        <v>May</v>
      </c>
      <c r="P260" s="3" t="s">
        <v>22</v>
      </c>
      <c r="Q260" s="3"/>
    </row>
    <row r="261" spans="1:17" x14ac:dyDescent="0.3">
      <c r="A261" s="2">
        <v>46113</v>
      </c>
      <c r="B261" s="3" t="s">
        <v>12</v>
      </c>
      <c r="C261" s="3" t="s">
        <v>19</v>
      </c>
      <c r="D261" s="3" t="s">
        <v>20</v>
      </c>
      <c r="E261" s="3" t="s">
        <v>21</v>
      </c>
      <c r="F261" s="3">
        <v>60201.262519999997</v>
      </c>
      <c r="G261" s="3" t="s">
        <v>16</v>
      </c>
      <c r="H261" s="3" t="s">
        <v>17</v>
      </c>
      <c r="I261" s="3">
        <f>IF(C261="India",1,IF(C261="USA",INDEX('Currency Master'!B:B,MATCH(DATE(N261,MONTH(DATEVALUE(O261&amp;" 1")),1),'Currency Master'!A:A,0)),IF(C261="Australia",INDEX('Currency Master'!T:T,MATCH(DATE(N261,MONTH(DATEVALUE(O261&amp;" 1")),1),'Currency Master'!A:A,0)),"")))</f>
        <v>92.91</v>
      </c>
      <c r="J261" s="3">
        <f t="shared" si="16"/>
        <v>60201.262519999997</v>
      </c>
      <c r="K261" s="3" t="str">
        <f t="shared" si="17"/>
        <v>₹/Candy</v>
      </c>
      <c r="L261" s="3">
        <v>1.41843971631206E-2</v>
      </c>
      <c r="M261" s="3"/>
      <c r="N261" s="3">
        <f t="shared" si="18"/>
        <v>2026</v>
      </c>
      <c r="O261" s="3" t="str">
        <f t="shared" si="19"/>
        <v>April</v>
      </c>
      <c r="P261" s="3" t="s">
        <v>22</v>
      </c>
      <c r="Q261" s="3"/>
    </row>
    <row r="262" spans="1:17" x14ac:dyDescent="0.3">
      <c r="A262" s="2">
        <v>46082</v>
      </c>
      <c r="B262" s="3" t="s">
        <v>12</v>
      </c>
      <c r="C262" s="3" t="s">
        <v>19</v>
      </c>
      <c r="D262" s="3" t="s">
        <v>20</v>
      </c>
      <c r="E262" s="3" t="s">
        <v>21</v>
      </c>
      <c r="F262" s="3">
        <v>58608.546999999999</v>
      </c>
      <c r="G262" s="3" t="s">
        <v>16</v>
      </c>
      <c r="H262" s="3" t="s">
        <v>17</v>
      </c>
      <c r="I262" s="3">
        <f>IF(C262="India",1,IF(C262="USA",INDEX('Currency Master'!B:B,MATCH(DATE(N262,MONTH(DATEVALUE(O262&amp;" 1")),1),'Currency Master'!A:A,0)),IF(C262="Australia",INDEX('Currency Master'!T:T,MATCH(DATE(N262,MONTH(DATEVALUE(O262&amp;" 1")),1),'Currency Master'!A:A,0)),"")))</f>
        <v>91.477000000000004</v>
      </c>
      <c r="J262" s="3">
        <f t="shared" si="16"/>
        <v>58608.546999999999</v>
      </c>
      <c r="K262" s="3" t="str">
        <f t="shared" si="17"/>
        <v>₹/Candy</v>
      </c>
      <c r="L262" s="3">
        <v>2.1739130434782698E-2</v>
      </c>
      <c r="M262" s="3"/>
      <c r="N262" s="3">
        <f t="shared" si="18"/>
        <v>2026</v>
      </c>
      <c r="O262" s="3" t="str">
        <f t="shared" si="19"/>
        <v>March</v>
      </c>
      <c r="P262" s="3" t="s">
        <v>22</v>
      </c>
      <c r="Q262" s="3"/>
    </row>
    <row r="263" spans="1:17" x14ac:dyDescent="0.3">
      <c r="A263" s="2">
        <v>46054</v>
      </c>
      <c r="B263" s="3" t="s">
        <v>12</v>
      </c>
      <c r="C263" s="3" t="s">
        <v>19</v>
      </c>
      <c r="D263" s="3" t="s">
        <v>20</v>
      </c>
      <c r="E263" s="3" t="s">
        <v>21</v>
      </c>
      <c r="F263" s="3">
        <v>55897.22608</v>
      </c>
      <c r="G263" s="3" t="s">
        <v>16</v>
      </c>
      <c r="H263" s="3" t="s">
        <v>17</v>
      </c>
      <c r="I263" s="3">
        <f>IF(C263="India",1,IF(C263="USA",INDEX('Currency Master'!B:B,MATCH(DATE(N263,MONTH(DATEVALUE(O263&amp;" 1")),1),'Currency Master'!A:A,0)),IF(C263="Australia",INDEX('Currency Master'!T:T,MATCH(DATE(N263,MONTH(DATEVALUE(O263&amp;" 1")),1),'Currency Master'!A:A,0)),"")))</f>
        <v>91.66</v>
      </c>
      <c r="J263" s="3">
        <f t="shared" si="16"/>
        <v>55897.22608</v>
      </c>
      <c r="K263" s="3" t="str">
        <f t="shared" si="17"/>
        <v>₹/Candy</v>
      </c>
      <c r="L263" s="3">
        <v>-2.8169014084507098E-2</v>
      </c>
      <c r="M263" s="3"/>
      <c r="N263" s="3">
        <f t="shared" si="18"/>
        <v>2026</v>
      </c>
      <c r="O263" s="3" t="str">
        <f t="shared" si="19"/>
        <v>February</v>
      </c>
      <c r="P263" s="3" t="s">
        <v>22</v>
      </c>
      <c r="Q263" s="3"/>
    </row>
    <row r="264" spans="1:17" x14ac:dyDescent="0.3">
      <c r="A264" s="2">
        <v>46023</v>
      </c>
      <c r="B264" s="3" t="s">
        <v>12</v>
      </c>
      <c r="C264" s="3" t="s">
        <v>19</v>
      </c>
      <c r="D264" s="3" t="s">
        <v>20</v>
      </c>
      <c r="E264" s="3" t="s">
        <v>21</v>
      </c>
      <c r="F264" s="3">
        <v>57311.058720000001</v>
      </c>
      <c r="G264" s="3" t="s">
        <v>16</v>
      </c>
      <c r="H264" s="3" t="s">
        <v>17</v>
      </c>
      <c r="I264" s="3">
        <f>IF(C264="India",1,IF(C264="USA",INDEX('Currency Master'!B:B,MATCH(DATE(N264,MONTH(DATEVALUE(O264&amp;" 1")),1),'Currency Master'!A:A,0)),IF(C264="Australia",INDEX('Currency Master'!T:T,MATCH(DATE(N264,MONTH(DATEVALUE(O264&amp;" 1")),1),'Currency Master'!A:A,0)),"")))</f>
        <v>89.96</v>
      </c>
      <c r="J264" s="3">
        <f t="shared" si="16"/>
        <v>57311.058720000001</v>
      </c>
      <c r="K264" s="3" t="str">
        <f t="shared" si="17"/>
        <v>₹/Candy</v>
      </c>
      <c r="L264" s="3">
        <v>7.0921985815601803E-3</v>
      </c>
      <c r="M264" s="3"/>
      <c r="N264" s="3">
        <f t="shared" si="18"/>
        <v>2026</v>
      </c>
      <c r="O264" s="3" t="str">
        <f t="shared" si="19"/>
        <v>January</v>
      </c>
      <c r="P264" s="3" t="s">
        <v>22</v>
      </c>
      <c r="Q264" s="3"/>
    </row>
    <row r="265" spans="1:17" hidden="1" x14ac:dyDescent="0.3">
      <c r="A265" s="2">
        <v>45992</v>
      </c>
      <c r="B265" s="3" t="s">
        <v>12</v>
      </c>
      <c r="C265" s="3" t="s">
        <v>19</v>
      </c>
      <c r="D265" s="3" t="s">
        <v>20</v>
      </c>
      <c r="E265" s="3" t="s">
        <v>21</v>
      </c>
      <c r="F265" s="3">
        <v>56957.600559999999</v>
      </c>
      <c r="G265" s="3" t="s">
        <v>16</v>
      </c>
      <c r="H265" s="3" t="s">
        <v>17</v>
      </c>
      <c r="I265" s="3">
        <f>IF(C265="India",1,IF(C265="USA",INDEX('Currency Master'!B:B,MATCH(DATE(N265,MONTH(DATEVALUE(O265&amp;" 1")),1),'Currency Master'!A:A,0)),IF(C265="Australia",INDEX('Currency Master'!T:T,MATCH(DATE(N265,MONTH(DATEVALUE(O265&amp;" 1")),1),'Currency Master'!A:A,0)),"")))</f>
        <v>90.07</v>
      </c>
      <c r="J265" s="3">
        <f t="shared" si="16"/>
        <v>56957.600559999999</v>
      </c>
      <c r="K265" s="3" t="str">
        <f t="shared" si="17"/>
        <v>₹/Candy</v>
      </c>
      <c r="L265" s="3">
        <v>-3.42465753424658E-2</v>
      </c>
      <c r="M265" s="3"/>
      <c r="N265" s="3">
        <f t="shared" si="18"/>
        <v>2025</v>
      </c>
      <c r="O265" s="3" t="str">
        <f t="shared" si="19"/>
        <v>December</v>
      </c>
      <c r="P265" s="3" t="s">
        <v>22</v>
      </c>
      <c r="Q265" s="3"/>
    </row>
    <row r="266" spans="1:17" hidden="1" x14ac:dyDescent="0.3">
      <c r="A266" s="2">
        <v>45962</v>
      </c>
      <c r="B266" s="3" t="s">
        <v>12</v>
      </c>
      <c r="C266" s="3" t="s">
        <v>19</v>
      </c>
      <c r="D266" s="3" t="s">
        <v>20</v>
      </c>
      <c r="E266" s="3" t="s">
        <v>21</v>
      </c>
      <c r="F266" s="3">
        <v>57867.287360000002</v>
      </c>
      <c r="G266" s="3" t="s">
        <v>16</v>
      </c>
      <c r="H266" s="3" t="s">
        <v>17</v>
      </c>
      <c r="I266" s="3">
        <f>IF(C266="India",1,IF(C266="USA",INDEX('Currency Master'!B:B,MATCH(DATE(N266,MONTH(DATEVALUE(O266&amp;" 1")),1),'Currency Master'!A:A,0)),IF(C266="Australia",INDEX('Currency Master'!T:T,MATCH(DATE(N266,MONTH(DATEVALUE(O266&amp;" 1")),1),'Currency Master'!A:A,0)),"")))</f>
        <v>88.76</v>
      </c>
      <c r="J266" s="3">
        <f t="shared" si="16"/>
        <v>57867.287360000002</v>
      </c>
      <c r="K266" s="3" t="str">
        <f t="shared" si="17"/>
        <v>₹/Candy</v>
      </c>
      <c r="L266" s="3">
        <v>3.54609929078014E-2</v>
      </c>
      <c r="M266" s="3"/>
      <c r="N266" s="3">
        <f t="shared" si="18"/>
        <v>2025</v>
      </c>
      <c r="O266" s="3" t="str">
        <f t="shared" si="19"/>
        <v>November</v>
      </c>
      <c r="P266" s="3" t="s">
        <v>22</v>
      </c>
      <c r="Q266" s="3"/>
    </row>
    <row r="267" spans="1:17" hidden="1" x14ac:dyDescent="0.3">
      <c r="A267" s="2">
        <v>45931</v>
      </c>
      <c r="B267" s="3" t="s">
        <v>12</v>
      </c>
      <c r="C267" s="3" t="s">
        <v>19</v>
      </c>
      <c r="D267" s="3" t="s">
        <v>20</v>
      </c>
      <c r="E267" s="3" t="s">
        <v>21</v>
      </c>
      <c r="F267" s="3">
        <v>56123.292844000003</v>
      </c>
      <c r="G267" s="3" t="s">
        <v>16</v>
      </c>
      <c r="H267" s="3" t="s">
        <v>17</v>
      </c>
      <c r="I267" s="3">
        <f>IF(C267="India",1,IF(C267="USA",INDEX('Currency Master'!B:B,MATCH(DATE(N267,MONTH(DATEVALUE(O267&amp;" 1")),1),'Currency Master'!A:A,0)),IF(C267="Australia",INDEX('Currency Master'!T:T,MATCH(DATE(N267,MONTH(DATEVALUE(O267&amp;" 1")),1),'Currency Master'!A:A,0)),"")))</f>
        <v>88.748999999999995</v>
      </c>
      <c r="J267" s="3">
        <f t="shared" si="16"/>
        <v>56123.292844000003</v>
      </c>
      <c r="K267" s="3" t="str">
        <f t="shared" si="17"/>
        <v>₹/Candy</v>
      </c>
      <c r="L267" s="3">
        <v>-1.3986013986014E-2</v>
      </c>
      <c r="M267" s="3"/>
      <c r="N267" s="3">
        <f t="shared" si="18"/>
        <v>2025</v>
      </c>
      <c r="O267" s="3" t="str">
        <f t="shared" si="19"/>
        <v>October</v>
      </c>
      <c r="P267" s="3" t="s">
        <v>22</v>
      </c>
      <c r="Q267" s="3"/>
    </row>
    <row r="268" spans="1:17" hidden="1" x14ac:dyDescent="0.3">
      <c r="A268" s="2">
        <v>45901</v>
      </c>
      <c r="B268" s="3" t="s">
        <v>12</v>
      </c>
      <c r="C268" s="3" t="s">
        <v>19</v>
      </c>
      <c r="D268" s="3" t="s">
        <v>20</v>
      </c>
      <c r="E268" s="3" t="s">
        <v>21</v>
      </c>
      <c r="F268" s="3">
        <v>56435.343220000002</v>
      </c>
      <c r="G268" s="3" t="s">
        <v>16</v>
      </c>
      <c r="H268" s="3" t="s">
        <v>17</v>
      </c>
      <c r="I268" s="3">
        <f>IF(C268="India",1,IF(C268="USA",INDEX('Currency Master'!B:B,MATCH(DATE(N268,MONTH(DATEVALUE(O268&amp;" 1")),1),'Currency Master'!A:A,0)),IF(C268="Australia",INDEX('Currency Master'!T:T,MATCH(DATE(N268,MONTH(DATEVALUE(O268&amp;" 1")),1),'Currency Master'!A:A,0)),"")))</f>
        <v>88.064999999999998</v>
      </c>
      <c r="J268" s="3">
        <f t="shared" si="16"/>
        <v>56435.343220000002</v>
      </c>
      <c r="K268" s="3" t="str">
        <f t="shared" si="17"/>
        <v>₹/Candy</v>
      </c>
      <c r="L268" s="3">
        <v>-2.0547945205479399E-2</v>
      </c>
      <c r="M268" s="3"/>
      <c r="N268" s="3">
        <f t="shared" si="18"/>
        <v>2025</v>
      </c>
      <c r="O268" s="3" t="str">
        <f t="shared" si="19"/>
        <v>September</v>
      </c>
      <c r="P268" s="3" t="s">
        <v>22</v>
      </c>
      <c r="Q268" s="3"/>
    </row>
    <row r="269" spans="1:17" hidden="1" x14ac:dyDescent="0.3">
      <c r="A269" s="2">
        <v>45870</v>
      </c>
      <c r="B269" s="3" t="s">
        <v>12</v>
      </c>
      <c r="C269" s="3" t="s">
        <v>19</v>
      </c>
      <c r="D269" s="3" t="s">
        <v>20</v>
      </c>
      <c r="E269" s="3" t="s">
        <v>21</v>
      </c>
      <c r="F269" s="3">
        <v>56952.509760000001</v>
      </c>
      <c r="G269" s="3" t="s">
        <v>16</v>
      </c>
      <c r="H269" s="3" t="s">
        <v>17</v>
      </c>
      <c r="I269" s="3">
        <f>IF(C269="India",1,IF(C269="USA",INDEX('Currency Master'!B:B,MATCH(DATE(N269,MONTH(DATEVALUE(O269&amp;" 1")),1),'Currency Master'!A:A,0)),IF(C269="Australia",INDEX('Currency Master'!T:T,MATCH(DATE(N269,MONTH(DATEVALUE(O269&amp;" 1")),1),'Currency Master'!A:A,0)),"")))</f>
        <v>87.16</v>
      </c>
      <c r="J269" s="3">
        <f t="shared" si="16"/>
        <v>56952.509760000001</v>
      </c>
      <c r="K269" s="3" t="str">
        <f t="shared" si="17"/>
        <v>₹/Candy</v>
      </c>
      <c r="L269" s="3">
        <v>-2.66666666666667E-2</v>
      </c>
      <c r="M269" s="3"/>
      <c r="N269" s="3">
        <f t="shared" si="18"/>
        <v>2025</v>
      </c>
      <c r="O269" s="3" t="str">
        <f t="shared" si="19"/>
        <v>August</v>
      </c>
      <c r="P269" s="3" t="s">
        <v>22</v>
      </c>
      <c r="Q269" s="3"/>
    </row>
    <row r="270" spans="1:17" hidden="1" x14ac:dyDescent="0.3">
      <c r="A270" s="2">
        <v>45839</v>
      </c>
      <c r="B270" s="3" t="s">
        <v>12</v>
      </c>
      <c r="C270" s="3" t="s">
        <v>19</v>
      </c>
      <c r="D270" s="3" t="s">
        <v>20</v>
      </c>
      <c r="E270" s="3" t="s">
        <v>21</v>
      </c>
      <c r="F270" s="3">
        <v>57154.732000000004</v>
      </c>
      <c r="G270" s="3" t="s">
        <v>16</v>
      </c>
      <c r="H270" s="3" t="s">
        <v>17</v>
      </c>
      <c r="I270" s="3">
        <f>IF(C270="India",1,IF(C270="USA",INDEX('Currency Master'!B:B,MATCH(DATE(N270,MONTH(DATEVALUE(O270&amp;" 1")),1),'Currency Master'!A:A,0)),IF(C270="Australia",INDEX('Currency Master'!T:T,MATCH(DATE(N270,MONTH(DATEVALUE(O270&amp;" 1")),1),'Currency Master'!A:A,0)),"")))</f>
        <v>85.18</v>
      </c>
      <c r="J270" s="3">
        <f t="shared" si="16"/>
        <v>57154.732000000004</v>
      </c>
      <c r="K270" s="3" t="str">
        <f t="shared" si="17"/>
        <v>₹/Candy</v>
      </c>
      <c r="L270" s="3">
        <v>-0.13294797687861301</v>
      </c>
      <c r="M270" s="3"/>
      <c r="N270" s="3">
        <f t="shared" si="18"/>
        <v>2025</v>
      </c>
      <c r="O270" s="3" t="str">
        <f t="shared" si="19"/>
        <v>July</v>
      </c>
      <c r="P270" s="3" t="s">
        <v>22</v>
      </c>
      <c r="Q270" s="3"/>
    </row>
    <row r="271" spans="1:17" hidden="1" x14ac:dyDescent="0.3">
      <c r="A271" s="2">
        <v>45809</v>
      </c>
      <c r="B271" s="3" t="s">
        <v>12</v>
      </c>
      <c r="C271" s="3" t="s">
        <v>19</v>
      </c>
      <c r="D271" s="3" t="s">
        <v>20</v>
      </c>
      <c r="E271" s="3" t="s">
        <v>21</v>
      </c>
      <c r="F271" s="3">
        <v>64955.443160000003</v>
      </c>
      <c r="G271" s="3" t="s">
        <v>16</v>
      </c>
      <c r="H271" s="3" t="s">
        <v>17</v>
      </c>
      <c r="I271" s="3">
        <f>IF(C271="India",1,IF(C271="USA",INDEX('Currency Master'!B:B,MATCH(DATE(N271,MONTH(DATEVALUE(O271&amp;" 1")),1),'Currency Master'!A:A,0)),IF(C271="Australia",INDEX('Currency Master'!T:T,MATCH(DATE(N271,MONTH(DATEVALUE(O271&amp;" 1")),1),'Currency Master'!A:A,0)),"")))</f>
        <v>85.37</v>
      </c>
      <c r="J271" s="3">
        <f t="shared" si="16"/>
        <v>64955.443160000003</v>
      </c>
      <c r="K271" s="3" t="str">
        <f t="shared" si="17"/>
        <v>₹/Candy</v>
      </c>
      <c r="L271" s="3">
        <v>5.8139534883720999E-3</v>
      </c>
      <c r="M271" s="3"/>
      <c r="N271" s="3">
        <f t="shared" si="18"/>
        <v>2025</v>
      </c>
      <c r="O271" s="3" t="str">
        <f t="shared" si="19"/>
        <v>June</v>
      </c>
      <c r="P271" s="3" t="s">
        <v>22</v>
      </c>
      <c r="Q271" s="3"/>
    </row>
    <row r="272" spans="1:17" hidden="1" x14ac:dyDescent="0.3">
      <c r="A272" s="2">
        <v>45778</v>
      </c>
      <c r="B272" s="3" t="s">
        <v>12</v>
      </c>
      <c r="C272" s="3" t="s">
        <v>19</v>
      </c>
      <c r="D272" s="3" t="s">
        <v>20</v>
      </c>
      <c r="E272" s="3" t="s">
        <v>21</v>
      </c>
      <c r="F272" s="3">
        <v>64163.118880000002</v>
      </c>
      <c r="G272" s="3" t="s">
        <v>16</v>
      </c>
      <c r="H272" s="3" t="s">
        <v>17</v>
      </c>
      <c r="I272" s="3">
        <f>IF(C272="India",1,IF(C272="USA",INDEX('Currency Master'!B:B,MATCH(DATE(N272,MONTH(DATEVALUE(O272&amp;" 1")),1),'Currency Master'!A:A,0)),IF(C272="Australia",INDEX('Currency Master'!T:T,MATCH(DATE(N272,MONTH(DATEVALUE(O272&amp;" 1")),1),'Currency Master'!A:A,0)),"")))</f>
        <v>84.69</v>
      </c>
      <c r="J272" s="3">
        <f t="shared" si="16"/>
        <v>64163.118880000002</v>
      </c>
      <c r="K272" s="3" t="str">
        <f t="shared" si="17"/>
        <v>₹/Candy</v>
      </c>
      <c r="L272" s="3">
        <v>-5.7803468208093003E-3</v>
      </c>
      <c r="M272" s="3"/>
      <c r="N272" s="3">
        <f t="shared" si="18"/>
        <v>2025</v>
      </c>
      <c r="O272" s="3" t="str">
        <f t="shared" si="19"/>
        <v>May</v>
      </c>
      <c r="P272" s="3" t="s">
        <v>22</v>
      </c>
      <c r="Q272" s="3"/>
    </row>
    <row r="273" spans="1:17" hidden="1" x14ac:dyDescent="0.3">
      <c r="A273" s="2">
        <v>45748</v>
      </c>
      <c r="B273" s="3" t="s">
        <v>12</v>
      </c>
      <c r="C273" s="3" t="s">
        <v>19</v>
      </c>
      <c r="D273" s="3" t="s">
        <v>20</v>
      </c>
      <c r="E273" s="3" t="s">
        <v>21</v>
      </c>
      <c r="F273" s="3">
        <v>65050.288679999998</v>
      </c>
      <c r="G273" s="3" t="s">
        <v>16</v>
      </c>
      <c r="H273" s="3" t="s">
        <v>17</v>
      </c>
      <c r="I273" s="3">
        <f>IF(C273="India",1,IF(C273="USA",INDEX('Currency Master'!B:B,MATCH(DATE(N273,MONTH(DATEVALUE(O273&amp;" 1")),1),'Currency Master'!A:A,0)),IF(C273="Australia",INDEX('Currency Master'!T:T,MATCH(DATE(N273,MONTH(DATEVALUE(O273&amp;" 1")),1),'Currency Master'!A:A,0)),"")))</f>
        <v>85.51</v>
      </c>
      <c r="J273" s="3">
        <f t="shared" si="16"/>
        <v>65050.288679999998</v>
      </c>
      <c r="K273" s="3" t="str">
        <f t="shared" si="17"/>
        <v>₹/Candy</v>
      </c>
      <c r="L273" s="3">
        <v>1.16959064327486E-2</v>
      </c>
      <c r="M273" s="3"/>
      <c r="N273" s="3">
        <f t="shared" si="18"/>
        <v>2025</v>
      </c>
      <c r="O273" s="3" t="str">
        <f t="shared" si="19"/>
        <v>April</v>
      </c>
      <c r="P273" s="3" t="s">
        <v>22</v>
      </c>
      <c r="Q273" s="3"/>
    </row>
    <row r="274" spans="1:17" hidden="1" x14ac:dyDescent="0.3">
      <c r="A274" s="2">
        <v>45717</v>
      </c>
      <c r="B274" s="3" t="s">
        <v>12</v>
      </c>
      <c r="C274" s="3" t="s">
        <v>19</v>
      </c>
      <c r="D274" s="3" t="s">
        <v>20</v>
      </c>
      <c r="E274" s="3" t="s">
        <v>21</v>
      </c>
      <c r="F274" s="3">
        <v>65559.133719999998</v>
      </c>
      <c r="G274" s="3" t="s">
        <v>16</v>
      </c>
      <c r="H274" s="3" t="s">
        <v>17</v>
      </c>
      <c r="I274" s="3">
        <f>IF(C274="India",1,IF(C274="USA",INDEX('Currency Master'!B:B,MATCH(DATE(N274,MONTH(DATEVALUE(O274&amp;" 1")),1),'Currency Master'!A:A,0)),IF(C274="Australia",INDEX('Currency Master'!T:T,MATCH(DATE(N274,MONTH(DATEVALUE(O274&amp;" 1")),1),'Currency Master'!A:A,0)),"")))</f>
        <v>87.27</v>
      </c>
      <c r="J274" s="3">
        <f t="shared" si="16"/>
        <v>65559.133719999998</v>
      </c>
      <c r="K274" s="3" t="str">
        <f t="shared" si="17"/>
        <v>₹/Candy</v>
      </c>
      <c r="L274" s="3">
        <v>-5.8139534883720999E-3</v>
      </c>
      <c r="M274" s="3"/>
      <c r="N274" s="3">
        <f t="shared" si="18"/>
        <v>2025</v>
      </c>
      <c r="O274" s="3" t="str">
        <f t="shared" si="19"/>
        <v>March</v>
      </c>
      <c r="P274" s="3" t="s">
        <v>22</v>
      </c>
      <c r="Q274" s="3"/>
    </row>
    <row r="275" spans="1:17" hidden="1" x14ac:dyDescent="0.3">
      <c r="A275" s="2">
        <v>45689</v>
      </c>
      <c r="B275" s="3" t="s">
        <v>12</v>
      </c>
      <c r="C275" s="3" t="s">
        <v>19</v>
      </c>
      <c r="D275" s="3" t="s">
        <v>20</v>
      </c>
      <c r="E275" s="3" t="s">
        <v>21</v>
      </c>
      <c r="F275" s="3">
        <v>65692.081919999997</v>
      </c>
      <c r="G275" s="3" t="s">
        <v>16</v>
      </c>
      <c r="H275" s="3" t="s">
        <v>17</v>
      </c>
      <c r="I275" s="3">
        <f>IF(C275="India",1,IF(C275="USA",INDEX('Currency Master'!B:B,MATCH(DATE(N275,MONTH(DATEVALUE(O275&amp;" 1")),1),'Currency Master'!A:A,0)),IF(C275="Australia",INDEX('Currency Master'!T:T,MATCH(DATE(N275,MONTH(DATEVALUE(O275&amp;" 1")),1),'Currency Master'!A:A,0)),"")))</f>
        <v>86.96</v>
      </c>
      <c r="J275" s="3">
        <f t="shared" si="16"/>
        <v>65692.081919999997</v>
      </c>
      <c r="K275" s="3" t="str">
        <f t="shared" si="17"/>
        <v>₹/Candy</v>
      </c>
      <c r="L275" s="3">
        <v>0</v>
      </c>
      <c r="M275" s="3"/>
      <c r="N275" s="3">
        <f t="shared" si="18"/>
        <v>2025</v>
      </c>
      <c r="O275" s="3" t="str">
        <f t="shared" si="19"/>
        <v>February</v>
      </c>
      <c r="P275" s="3" t="s">
        <v>22</v>
      </c>
      <c r="Q275" s="3"/>
    </row>
    <row r="276" spans="1:17" hidden="1" x14ac:dyDescent="0.3">
      <c r="A276" s="2">
        <v>45658</v>
      </c>
      <c r="B276" s="3" t="s">
        <v>12</v>
      </c>
      <c r="C276" s="3" t="s">
        <v>19</v>
      </c>
      <c r="D276" s="3" t="s">
        <v>20</v>
      </c>
      <c r="E276" s="3" t="s">
        <v>21</v>
      </c>
      <c r="F276" s="3">
        <v>65476.545279999998</v>
      </c>
      <c r="G276" s="3" t="s">
        <v>16</v>
      </c>
      <c r="H276" s="3" t="s">
        <v>17</v>
      </c>
      <c r="I276" s="3">
        <f>IF(C276="India",1,IF(C276="USA",INDEX('Currency Master'!B:B,MATCH(DATE(N276,MONTH(DATEVALUE(O276&amp;" 1")),1),'Currency Master'!A:A,0)),IF(C276="Australia",INDEX('Currency Master'!T:T,MATCH(DATE(N276,MONTH(DATEVALUE(O276&amp;" 1")),1),'Currency Master'!A:A,0)),"")))</f>
        <v>86.64</v>
      </c>
      <c r="J276" s="3">
        <f t="shared" si="16"/>
        <v>65476.545279999998</v>
      </c>
      <c r="K276" s="3" t="str">
        <f t="shared" si="17"/>
        <v>₹/Candy</v>
      </c>
      <c r="L276" s="3">
        <v>-2.27272727272727E-2</v>
      </c>
      <c r="M276" s="3"/>
      <c r="N276" s="3">
        <f t="shared" si="18"/>
        <v>2025</v>
      </c>
      <c r="O276" s="3" t="str">
        <f t="shared" si="19"/>
        <v>January</v>
      </c>
      <c r="P276" s="3" t="s">
        <v>22</v>
      </c>
      <c r="Q276" s="3"/>
    </row>
    <row r="277" spans="1:17" hidden="1" x14ac:dyDescent="0.3">
      <c r="A277" s="2">
        <v>45627</v>
      </c>
      <c r="B277" s="3" t="s">
        <v>12</v>
      </c>
      <c r="C277" s="3" t="s">
        <v>19</v>
      </c>
      <c r="D277" s="3" t="s">
        <v>20</v>
      </c>
      <c r="E277" s="3" t="s">
        <v>21</v>
      </c>
      <c r="F277" s="3">
        <v>65606.869760000001</v>
      </c>
      <c r="G277" s="3" t="s">
        <v>16</v>
      </c>
      <c r="H277" s="3" t="s">
        <v>17</v>
      </c>
      <c r="I277" s="3">
        <f>IF(C277="India",1,IF(C277="USA",INDEX('Currency Master'!B:B,MATCH(DATE(N277,MONTH(DATEVALUE(O277&amp;" 1")),1),'Currency Master'!A:A,0)),IF(C277="Australia",INDEX('Currency Master'!T:T,MATCH(DATE(N277,MONTH(DATEVALUE(O277&amp;" 1")),1),'Currency Master'!A:A,0)),"")))</f>
        <v>84.86</v>
      </c>
      <c r="J277" s="3">
        <f t="shared" si="16"/>
        <v>65606.869760000001</v>
      </c>
      <c r="K277" s="3" t="str">
        <f t="shared" si="17"/>
        <v>₹/Candy</v>
      </c>
      <c r="L277" s="3">
        <v>-2.2222222222222299E-2</v>
      </c>
      <c r="M277" s="3"/>
      <c r="N277" s="3">
        <f t="shared" si="18"/>
        <v>2024</v>
      </c>
      <c r="O277" s="3" t="str">
        <f t="shared" si="19"/>
        <v>December</v>
      </c>
      <c r="P277" s="3" t="s">
        <v>22</v>
      </c>
      <c r="Q277" s="3"/>
    </row>
    <row r="278" spans="1:17" hidden="1" x14ac:dyDescent="0.3">
      <c r="A278" s="2">
        <v>45597</v>
      </c>
      <c r="B278" s="3" t="s">
        <v>12</v>
      </c>
      <c r="C278" s="3" t="s">
        <v>19</v>
      </c>
      <c r="D278" s="3" t="s">
        <v>20</v>
      </c>
      <c r="E278" s="3" t="s">
        <v>21</v>
      </c>
      <c r="F278" s="3">
        <v>66717.604000000007</v>
      </c>
      <c r="G278" s="3" t="s">
        <v>16</v>
      </c>
      <c r="H278" s="3" t="s">
        <v>17</v>
      </c>
      <c r="I278" s="3">
        <f>IF(C278="India",1,IF(C278="USA",INDEX('Currency Master'!B:B,MATCH(DATE(N278,MONTH(DATEVALUE(O278&amp;" 1")),1),'Currency Master'!A:A,0)),IF(C278="Australia",INDEX('Currency Master'!T:T,MATCH(DATE(N278,MONTH(DATEVALUE(O278&amp;" 1")),1),'Currency Master'!A:A,0)),"")))</f>
        <v>84.55</v>
      </c>
      <c r="J278" s="3">
        <f t="shared" si="16"/>
        <v>66717.604000000007</v>
      </c>
      <c r="K278" s="3" t="str">
        <f t="shared" si="17"/>
        <v>₹/Candy</v>
      </c>
      <c r="L278" s="3">
        <v>-2.1739130434782601E-2</v>
      </c>
      <c r="M278" s="3"/>
      <c r="N278" s="3">
        <f t="shared" si="18"/>
        <v>2024</v>
      </c>
      <c r="O278" s="3" t="str">
        <f t="shared" si="19"/>
        <v>November</v>
      </c>
      <c r="P278" s="3" t="s">
        <v>22</v>
      </c>
      <c r="Q278" s="3"/>
    </row>
    <row r="279" spans="1:17" hidden="1" x14ac:dyDescent="0.3">
      <c r="A279" s="2">
        <v>45566</v>
      </c>
      <c r="B279" s="3" t="s">
        <v>12</v>
      </c>
      <c r="C279" s="3" t="s">
        <v>19</v>
      </c>
      <c r="D279" s="3" t="s">
        <v>20</v>
      </c>
      <c r="E279" s="3" t="s">
        <v>21</v>
      </c>
      <c r="F279" s="3">
        <v>67688.928639999998</v>
      </c>
      <c r="G279" s="3" t="s">
        <v>16</v>
      </c>
      <c r="H279" s="3" t="s">
        <v>17</v>
      </c>
      <c r="I279" s="3">
        <f>IF(C279="India",1,IF(C279="USA",INDEX('Currency Master'!B:B,MATCH(DATE(N279,MONTH(DATEVALUE(O279&amp;" 1")),1),'Currency Master'!A:A,0)),IF(C279="Australia",INDEX('Currency Master'!T:T,MATCH(DATE(N279,MONTH(DATEVALUE(O279&amp;" 1")),1),'Currency Master'!A:A,0)),"")))</f>
        <v>84.06</v>
      </c>
      <c r="J279" s="3">
        <f t="shared" si="16"/>
        <v>67688.928639999998</v>
      </c>
      <c r="K279" s="3" t="str">
        <f t="shared" si="17"/>
        <v>₹/Candy</v>
      </c>
      <c r="L279" s="3">
        <v>1.09890109890109E-2</v>
      </c>
      <c r="M279" s="3"/>
      <c r="N279" s="3">
        <f t="shared" si="18"/>
        <v>2024</v>
      </c>
      <c r="O279" s="3" t="str">
        <f t="shared" si="19"/>
        <v>October</v>
      </c>
      <c r="P279" s="3" t="s">
        <v>22</v>
      </c>
      <c r="Q279" s="3"/>
    </row>
    <row r="280" spans="1:17" hidden="1" x14ac:dyDescent="0.3">
      <c r="A280" s="2">
        <v>45536</v>
      </c>
      <c r="B280" s="3" t="s">
        <v>12</v>
      </c>
      <c r="C280" s="3" t="s">
        <v>19</v>
      </c>
      <c r="D280" s="3" t="s">
        <v>20</v>
      </c>
      <c r="E280" s="3" t="s">
        <v>21</v>
      </c>
      <c r="F280" s="3">
        <v>66809.63</v>
      </c>
      <c r="G280" s="3" t="s">
        <v>16</v>
      </c>
      <c r="H280" s="3" t="s">
        <v>17</v>
      </c>
      <c r="I280" s="3">
        <f>IF(C280="India",1,IF(C280="USA",INDEX('Currency Master'!B:B,MATCH(DATE(N280,MONTH(DATEVALUE(O280&amp;" 1")),1),'Currency Master'!A:A,0)),IF(C280="Australia",INDEX('Currency Master'!T:T,MATCH(DATE(N280,MONTH(DATEVALUE(O280&amp;" 1")),1),'Currency Master'!A:A,0)),"")))</f>
        <v>83.75</v>
      </c>
      <c r="J280" s="3">
        <f t="shared" si="16"/>
        <v>66809.63</v>
      </c>
      <c r="K280" s="3" t="str">
        <f t="shared" si="17"/>
        <v>₹/Candy</v>
      </c>
      <c r="L280" s="3">
        <v>3.4090909090909199E-2</v>
      </c>
      <c r="M280" s="3"/>
      <c r="N280" s="3">
        <f t="shared" si="18"/>
        <v>2024</v>
      </c>
      <c r="O280" s="3" t="str">
        <f t="shared" si="19"/>
        <v>September</v>
      </c>
      <c r="P280" s="3" t="s">
        <v>22</v>
      </c>
      <c r="Q280" s="3"/>
    </row>
    <row r="281" spans="1:17" hidden="1" x14ac:dyDescent="0.3">
      <c r="A281" s="2">
        <v>45505</v>
      </c>
      <c r="B281" s="3" t="s">
        <v>12</v>
      </c>
      <c r="C281" s="3" t="s">
        <v>19</v>
      </c>
      <c r="D281" s="3" t="s">
        <v>20</v>
      </c>
      <c r="E281" s="3" t="s">
        <v>21</v>
      </c>
      <c r="F281" s="3">
        <v>64917.653760000001</v>
      </c>
      <c r="G281" s="3" t="s">
        <v>16</v>
      </c>
      <c r="H281" s="3" t="s">
        <v>17</v>
      </c>
      <c r="I281" s="3">
        <f>IF(C281="India",1,IF(C281="USA",INDEX('Currency Master'!B:B,MATCH(DATE(N281,MONTH(DATEVALUE(O281&amp;" 1")),1),'Currency Master'!A:A,0)),IF(C281="Australia",INDEX('Currency Master'!T:T,MATCH(DATE(N281,MONTH(DATEVALUE(O281&amp;" 1")),1),'Currency Master'!A:A,0)),"")))</f>
        <v>83.86</v>
      </c>
      <c r="J281" s="3">
        <f t="shared" si="16"/>
        <v>64917.653760000001</v>
      </c>
      <c r="K281" s="3" t="str">
        <f t="shared" si="17"/>
        <v>₹/Candy</v>
      </c>
      <c r="L281" s="3">
        <v>-1.6759776536312901E-2</v>
      </c>
      <c r="M281" s="3"/>
      <c r="N281" s="3">
        <f t="shared" si="18"/>
        <v>2024</v>
      </c>
      <c r="O281" s="3" t="str">
        <f t="shared" si="19"/>
        <v>August</v>
      </c>
      <c r="P281" s="3" t="s">
        <v>22</v>
      </c>
      <c r="Q281" s="3"/>
    </row>
    <row r="282" spans="1:17" hidden="1" x14ac:dyDescent="0.3">
      <c r="A282" s="2">
        <v>45474</v>
      </c>
      <c r="B282" s="3" t="s">
        <v>12</v>
      </c>
      <c r="C282" s="3" t="s">
        <v>19</v>
      </c>
      <c r="D282" s="3" t="s">
        <v>20</v>
      </c>
      <c r="E282" s="3" t="s">
        <v>21</v>
      </c>
      <c r="F282" s="3">
        <v>65783.677160000007</v>
      </c>
      <c r="G282" s="3" t="s">
        <v>16</v>
      </c>
      <c r="H282" s="3" t="s">
        <v>17</v>
      </c>
      <c r="I282" s="3">
        <f>IF(C282="India",1,IF(C282="USA",INDEX('Currency Master'!B:B,MATCH(DATE(N282,MONTH(DATEVALUE(O282&amp;" 1")),1),'Currency Master'!A:A,0)),IF(C282="Australia",INDEX('Currency Master'!T:T,MATCH(DATE(N282,MONTH(DATEVALUE(O282&amp;" 1")),1),'Currency Master'!A:A,0)),"")))</f>
        <v>83.69</v>
      </c>
      <c r="J282" s="3">
        <f t="shared" si="16"/>
        <v>65783.677160000007</v>
      </c>
      <c r="K282" s="3" t="str">
        <f t="shared" si="17"/>
        <v>₹/Candy</v>
      </c>
      <c r="L282" s="3">
        <v>-2.1857923497267801E-2</v>
      </c>
      <c r="M282" s="3"/>
      <c r="N282" s="3">
        <f t="shared" si="18"/>
        <v>2024</v>
      </c>
      <c r="O282" s="3" t="str">
        <f t="shared" si="19"/>
        <v>July</v>
      </c>
      <c r="P282" s="3" t="s">
        <v>22</v>
      </c>
      <c r="Q282" s="3"/>
    </row>
    <row r="283" spans="1:17" hidden="1" x14ac:dyDescent="0.3">
      <c r="A283" s="2">
        <v>45444</v>
      </c>
      <c r="B283" s="3" t="s">
        <v>12</v>
      </c>
      <c r="C283" s="3" t="s">
        <v>19</v>
      </c>
      <c r="D283" s="3" t="s">
        <v>20</v>
      </c>
      <c r="E283" s="3" t="s">
        <v>21</v>
      </c>
      <c r="F283" s="3">
        <v>66850.943799999994</v>
      </c>
      <c r="G283" s="3" t="s">
        <v>16</v>
      </c>
      <c r="H283" s="3" t="s">
        <v>17</v>
      </c>
      <c r="I283" s="3">
        <f>IF(C283="India",1,IF(C283="USA",INDEX('Currency Master'!B:B,MATCH(DATE(N283,MONTH(DATEVALUE(O283&amp;" 1")),1),'Currency Master'!A:A,0)),IF(C283="Australia",INDEX('Currency Master'!T:T,MATCH(DATE(N283,MONTH(DATEVALUE(O283&amp;" 1")),1),'Currency Master'!A:A,0)),"")))</f>
        <v>83.35</v>
      </c>
      <c r="J283" s="3">
        <f t="shared" si="16"/>
        <v>66850.943799999994</v>
      </c>
      <c r="K283" s="3" t="str">
        <f t="shared" si="17"/>
        <v>₹/Candy</v>
      </c>
      <c r="L283" s="3">
        <v>-4.18848167539266E-2</v>
      </c>
      <c r="M283" s="3"/>
      <c r="N283" s="3">
        <f t="shared" si="18"/>
        <v>2024</v>
      </c>
      <c r="O283" s="3" t="str">
        <f t="shared" si="19"/>
        <v>June</v>
      </c>
      <c r="P283" s="3" t="s">
        <v>22</v>
      </c>
      <c r="Q283" s="3"/>
    </row>
    <row r="284" spans="1:17" hidden="1" x14ac:dyDescent="0.3">
      <c r="A284" s="2">
        <v>45413</v>
      </c>
      <c r="B284" s="3" t="s">
        <v>12</v>
      </c>
      <c r="C284" s="3" t="s">
        <v>19</v>
      </c>
      <c r="D284" s="3" t="s">
        <v>20</v>
      </c>
      <c r="E284" s="3" t="s">
        <v>21</v>
      </c>
      <c r="F284" s="3">
        <v>69514.489520000003</v>
      </c>
      <c r="G284" s="3" t="s">
        <v>16</v>
      </c>
      <c r="H284" s="3" t="s">
        <v>17</v>
      </c>
      <c r="I284" s="3">
        <f>IF(C284="India",1,IF(C284="USA",INDEX('Currency Master'!B:B,MATCH(DATE(N284,MONTH(DATEVALUE(O284&amp;" 1")),1),'Currency Master'!A:A,0)),IF(C284="Australia",INDEX('Currency Master'!T:T,MATCH(DATE(N284,MONTH(DATEVALUE(O284&amp;" 1")),1),'Currency Master'!A:A,0)),"")))</f>
        <v>83.42</v>
      </c>
      <c r="J284" s="3">
        <f t="shared" si="16"/>
        <v>69514.489520000003</v>
      </c>
      <c r="K284" s="3" t="str">
        <f t="shared" si="17"/>
        <v>₹/Candy</v>
      </c>
      <c r="L284" s="3">
        <v>-4.0201005025125698E-2</v>
      </c>
      <c r="M284" s="3"/>
      <c r="N284" s="3">
        <f t="shared" si="18"/>
        <v>2024</v>
      </c>
      <c r="O284" s="3" t="str">
        <f t="shared" si="19"/>
        <v>May</v>
      </c>
      <c r="P284" s="3" t="s">
        <v>22</v>
      </c>
      <c r="Q284" s="3"/>
    </row>
    <row r="285" spans="1:17" hidden="1" x14ac:dyDescent="0.3">
      <c r="A285" s="2">
        <v>45383</v>
      </c>
      <c r="B285" s="3" t="s">
        <v>12</v>
      </c>
      <c r="C285" s="3" t="s">
        <v>19</v>
      </c>
      <c r="D285" s="3" t="s">
        <v>20</v>
      </c>
      <c r="E285" s="3" t="s">
        <v>21</v>
      </c>
      <c r="F285" s="3">
        <v>72151.249800000005</v>
      </c>
      <c r="G285" s="3" t="s">
        <v>16</v>
      </c>
      <c r="H285" s="3" t="s">
        <v>17</v>
      </c>
      <c r="I285" s="3">
        <f>IF(C285="India",1,IF(C285="USA",INDEX('Currency Master'!B:B,MATCH(DATE(N285,MONTH(DATEVALUE(O285&amp;" 1")),1),'Currency Master'!A:A,0)),IF(C285="Australia",INDEX('Currency Master'!T:T,MATCH(DATE(N285,MONTH(DATEVALUE(O285&amp;" 1")),1),'Currency Master'!A:A,0)),"")))</f>
        <v>83.45</v>
      </c>
      <c r="J285" s="3">
        <f t="shared" si="16"/>
        <v>72151.249800000005</v>
      </c>
      <c r="K285" s="3" t="str">
        <f t="shared" si="17"/>
        <v>₹/Candy</v>
      </c>
      <c r="L285" s="3">
        <v>-9.5454545454545597E-2</v>
      </c>
      <c r="M285" s="3"/>
      <c r="N285" s="3">
        <f t="shared" si="18"/>
        <v>2024</v>
      </c>
      <c r="O285" s="3" t="str">
        <f t="shared" si="19"/>
        <v>April</v>
      </c>
      <c r="P285" s="3" t="s">
        <v>22</v>
      </c>
      <c r="Q285" s="3"/>
    </row>
    <row r="286" spans="1:17" hidden="1" x14ac:dyDescent="0.3">
      <c r="A286" s="2">
        <v>45352</v>
      </c>
      <c r="B286" s="3" t="s">
        <v>12</v>
      </c>
      <c r="C286" s="3" t="s">
        <v>19</v>
      </c>
      <c r="D286" s="3" t="s">
        <v>20</v>
      </c>
      <c r="E286" s="3" t="s">
        <v>21</v>
      </c>
      <c r="F286" s="3">
        <v>78927.691999999995</v>
      </c>
      <c r="G286" s="3" t="s">
        <v>16</v>
      </c>
      <c r="H286" s="3" t="s">
        <v>17</v>
      </c>
      <c r="I286" s="3">
        <f>IF(C286="India",1,IF(C286="USA",INDEX('Currency Master'!B:B,MATCH(DATE(N286,MONTH(DATEVALUE(O286&amp;" 1")),1),'Currency Master'!A:A,0)),IF(C286="Australia",INDEX('Currency Master'!T:T,MATCH(DATE(N286,MONTH(DATEVALUE(O286&amp;" 1")),1),'Currency Master'!A:A,0)),"")))</f>
        <v>83.35</v>
      </c>
      <c r="J286" s="3">
        <f t="shared" si="16"/>
        <v>78927.691999999995</v>
      </c>
      <c r="K286" s="3" t="str">
        <f t="shared" si="17"/>
        <v>₹/Candy</v>
      </c>
      <c r="L286" s="3">
        <v>0</v>
      </c>
      <c r="M286" s="3"/>
      <c r="N286" s="3">
        <f t="shared" si="18"/>
        <v>2024</v>
      </c>
      <c r="O286" s="3" t="str">
        <f t="shared" si="19"/>
        <v>March</v>
      </c>
      <c r="P286" s="3" t="s">
        <v>22</v>
      </c>
      <c r="Q286" s="3"/>
    </row>
    <row r="287" spans="1:17" hidden="1" x14ac:dyDescent="0.3">
      <c r="A287" s="2">
        <v>45323</v>
      </c>
      <c r="B287" s="3" t="s">
        <v>12</v>
      </c>
      <c r="C287" s="3" t="s">
        <v>19</v>
      </c>
      <c r="D287" s="3" t="s">
        <v>20</v>
      </c>
      <c r="E287" s="3" t="s">
        <v>21</v>
      </c>
      <c r="F287" s="3">
        <v>78540.008000000002</v>
      </c>
      <c r="G287" s="3" t="s">
        <v>16</v>
      </c>
      <c r="H287" s="3" t="s">
        <v>17</v>
      </c>
      <c r="I287" s="3">
        <f>IF(C287="India",1,IF(C287="USA",INDEX('Currency Master'!B:B,MATCH(DATE(N287,MONTH(DATEVALUE(O287&amp;" 1")),1),'Currency Master'!A:A,0)),IF(C287="Australia",INDEX('Currency Master'!T:T,MATCH(DATE(N287,MONTH(DATEVALUE(O287&amp;" 1")),1),'Currency Master'!A:A,0)),"")))</f>
        <v>82.9</v>
      </c>
      <c r="J287" s="3">
        <f t="shared" si="16"/>
        <v>78540.008000000002</v>
      </c>
      <c r="K287" s="3" t="str">
        <f t="shared" si="17"/>
        <v>₹/Candy</v>
      </c>
      <c r="L287" s="3">
        <v>8.3743842364532306E-2</v>
      </c>
      <c r="M287" s="3"/>
      <c r="N287" s="3">
        <f t="shared" si="18"/>
        <v>2024</v>
      </c>
      <c r="O287" s="3" t="str">
        <f t="shared" si="19"/>
        <v>February</v>
      </c>
      <c r="P287" s="3" t="s">
        <v>22</v>
      </c>
      <c r="Q287" s="3"/>
    </row>
    <row r="288" spans="1:17" hidden="1" x14ac:dyDescent="0.3">
      <c r="A288" s="2">
        <v>45292</v>
      </c>
      <c r="B288" s="3" t="s">
        <v>12</v>
      </c>
      <c r="C288" s="3" t="s">
        <v>19</v>
      </c>
      <c r="D288" s="3" t="s">
        <v>20</v>
      </c>
      <c r="E288" s="3" t="s">
        <v>21</v>
      </c>
      <c r="F288" s="3">
        <v>73172.229319999999</v>
      </c>
      <c r="G288" s="3" t="s">
        <v>16</v>
      </c>
      <c r="H288" s="3" t="s">
        <v>17</v>
      </c>
      <c r="I288" s="3">
        <f>IF(C288="India",1,IF(C288="USA",INDEX('Currency Master'!B:B,MATCH(DATE(N288,MONTH(DATEVALUE(O288&amp;" 1")),1),'Currency Master'!A:A,0)),IF(C288="Australia",INDEX('Currency Master'!T:T,MATCH(DATE(N288,MONTH(DATEVALUE(O288&amp;" 1")),1),'Currency Master'!A:A,0)),"")))</f>
        <v>83.09</v>
      </c>
      <c r="J288" s="3">
        <f t="shared" si="16"/>
        <v>73172.229319999999</v>
      </c>
      <c r="K288" s="3" t="str">
        <f t="shared" si="17"/>
        <v>₹/Candy</v>
      </c>
      <c r="L288" s="3">
        <v>1.4999999999999901E-2</v>
      </c>
      <c r="M288" s="3"/>
      <c r="N288" s="3">
        <f t="shared" si="18"/>
        <v>2024</v>
      </c>
      <c r="O288" s="3" t="str">
        <f t="shared" si="19"/>
        <v>January</v>
      </c>
      <c r="P288" s="3" t="s">
        <v>22</v>
      </c>
      <c r="Q288" s="3"/>
    </row>
    <row r="289" spans="1:17" hidden="1" x14ac:dyDescent="0.3">
      <c r="A289" s="2">
        <v>45261</v>
      </c>
      <c r="B289" s="3" t="s">
        <v>12</v>
      </c>
      <c r="C289" s="3" t="s">
        <v>19</v>
      </c>
      <c r="D289" s="3" t="s">
        <v>20</v>
      </c>
      <c r="E289" s="3" t="s">
        <v>21</v>
      </c>
      <c r="F289" s="3">
        <v>72203.92</v>
      </c>
      <c r="G289" s="3" t="s">
        <v>16</v>
      </c>
      <c r="H289" s="3" t="s">
        <v>17</v>
      </c>
      <c r="I289" s="3">
        <f>IF(C289="India",1,IF(C289="USA",INDEX('Currency Master'!B:B,MATCH(DATE(N289,MONTH(DATEVALUE(O289&amp;" 1")),1),'Currency Master'!A:A,0)),IF(C289="Australia",INDEX('Currency Master'!T:T,MATCH(DATE(N289,MONTH(DATEVALUE(O289&amp;" 1")),1),'Currency Master'!A:A,0)),"")))</f>
        <v>83.1</v>
      </c>
      <c r="J289" s="3">
        <f t="shared" si="16"/>
        <v>72203.92</v>
      </c>
      <c r="K289" s="3" t="str">
        <f t="shared" si="17"/>
        <v>₹/Candy</v>
      </c>
      <c r="L289" s="3">
        <v>5.0251256281406099E-3</v>
      </c>
      <c r="M289" s="3"/>
      <c r="N289" s="3">
        <f t="shared" si="18"/>
        <v>2023</v>
      </c>
      <c r="O289" s="3" t="str">
        <f t="shared" si="19"/>
        <v>December</v>
      </c>
      <c r="P289" s="3" t="s">
        <v>22</v>
      </c>
      <c r="Q289" s="3"/>
    </row>
    <row r="290" spans="1:17" hidden="1" x14ac:dyDescent="0.3">
      <c r="A290" s="2">
        <v>45231</v>
      </c>
      <c r="B290" s="3" t="s">
        <v>12</v>
      </c>
      <c r="C290" s="3" t="s">
        <v>19</v>
      </c>
      <c r="D290" s="3" t="s">
        <v>20</v>
      </c>
      <c r="E290" s="3" t="s">
        <v>21</v>
      </c>
      <c r="F290" s="3">
        <v>72073.321400000001</v>
      </c>
      <c r="G290" s="3" t="s">
        <v>16</v>
      </c>
      <c r="H290" s="3" t="s">
        <v>17</v>
      </c>
      <c r="I290" s="3">
        <f>IF(C290="India",1,IF(C290="USA",INDEX('Currency Master'!B:B,MATCH(DATE(N290,MONTH(DATEVALUE(O290&amp;" 1")),1),'Currency Master'!A:A,0)),IF(C290="Australia",INDEX('Currency Master'!T:T,MATCH(DATE(N290,MONTH(DATEVALUE(O290&amp;" 1")),1),'Currency Master'!A:A,0)),"")))</f>
        <v>83.35</v>
      </c>
      <c r="J290" s="3">
        <f t="shared" si="16"/>
        <v>72073.321400000001</v>
      </c>
      <c r="K290" s="3" t="str">
        <f t="shared" si="17"/>
        <v>₹/Candy</v>
      </c>
      <c r="L290" s="3">
        <v>-5.6872037914691899E-2</v>
      </c>
      <c r="M290" s="3"/>
      <c r="N290" s="3">
        <f t="shared" si="18"/>
        <v>2023</v>
      </c>
      <c r="O290" s="3" t="str">
        <f t="shared" si="19"/>
        <v>November</v>
      </c>
      <c r="P290" s="3" t="s">
        <v>22</v>
      </c>
      <c r="Q290" s="3"/>
    </row>
    <row r="291" spans="1:17" hidden="1" x14ac:dyDescent="0.3">
      <c r="A291" s="2">
        <v>45200</v>
      </c>
      <c r="B291" s="3" t="s">
        <v>12</v>
      </c>
      <c r="C291" s="3" t="s">
        <v>19</v>
      </c>
      <c r="D291" s="3" t="s">
        <v>20</v>
      </c>
      <c r="E291" s="3" t="s">
        <v>21</v>
      </c>
      <c r="F291" s="3">
        <v>75907.476999999999</v>
      </c>
      <c r="G291" s="3" t="s">
        <v>16</v>
      </c>
      <c r="H291" s="3" t="s">
        <v>17</v>
      </c>
      <c r="I291" s="3">
        <f>IF(C291="India",1,IF(C291="USA",INDEX('Currency Master'!B:B,MATCH(DATE(N291,MONTH(DATEVALUE(O291&amp;" 1")),1),'Currency Master'!A:A,0)),IF(C291="Australia",INDEX('Currency Master'!T:T,MATCH(DATE(N291,MONTH(DATEVALUE(O291&amp;" 1")),1),'Currency Master'!A:A,0)),"")))</f>
        <v>83.25</v>
      </c>
      <c r="J291" s="3">
        <f t="shared" si="16"/>
        <v>75907.476999999999</v>
      </c>
      <c r="K291" s="3" t="str">
        <f t="shared" si="17"/>
        <v>₹/Candy</v>
      </c>
      <c r="L291" s="3">
        <v>-2.31481481481483E-2</v>
      </c>
      <c r="M291" s="3"/>
      <c r="N291" s="3">
        <f t="shared" si="18"/>
        <v>2023</v>
      </c>
      <c r="O291" s="3" t="str">
        <f t="shared" si="19"/>
        <v>October</v>
      </c>
      <c r="P291" s="3" t="s">
        <v>22</v>
      </c>
      <c r="Q291" s="3"/>
    </row>
    <row r="292" spans="1:17" hidden="1" x14ac:dyDescent="0.3">
      <c r="A292" s="2">
        <v>45170</v>
      </c>
      <c r="B292" s="3" t="s">
        <v>12</v>
      </c>
      <c r="C292" s="3" t="s">
        <v>19</v>
      </c>
      <c r="D292" s="3" t="s">
        <v>20</v>
      </c>
      <c r="E292" s="3" t="s">
        <v>21</v>
      </c>
      <c r="F292" s="3">
        <v>77351.423680000007</v>
      </c>
      <c r="G292" s="3" t="s">
        <v>16</v>
      </c>
      <c r="H292" s="3" t="s">
        <v>17</v>
      </c>
      <c r="I292" s="3">
        <f>IF(C292="India",1,IF(C292="USA",INDEX('Currency Master'!B:B,MATCH(DATE(N292,MONTH(DATEVALUE(O292&amp;" 1")),1),'Currency Master'!A:A,0)),IF(C292="Australia",INDEX('Currency Master'!T:T,MATCH(DATE(N292,MONTH(DATEVALUE(O292&amp;" 1")),1),'Currency Master'!A:A,0)),"")))</f>
        <v>83.03</v>
      </c>
      <c r="J292" s="3">
        <f t="shared" si="16"/>
        <v>77351.423680000007</v>
      </c>
      <c r="K292" s="3" t="str">
        <f t="shared" si="17"/>
        <v>₹/Candy</v>
      </c>
      <c r="L292" s="3">
        <v>2.36966824644551E-2</v>
      </c>
      <c r="M292" s="3"/>
      <c r="N292" s="3">
        <f t="shared" si="18"/>
        <v>2023</v>
      </c>
      <c r="O292" s="3" t="str">
        <f t="shared" si="19"/>
        <v>September</v>
      </c>
      <c r="P292" s="3" t="s">
        <v>22</v>
      </c>
      <c r="Q292" s="3"/>
    </row>
    <row r="293" spans="1:17" hidden="1" x14ac:dyDescent="0.3">
      <c r="A293" s="2">
        <v>45139</v>
      </c>
      <c r="B293" s="3" t="s">
        <v>12</v>
      </c>
      <c r="C293" s="3" t="s">
        <v>19</v>
      </c>
      <c r="D293" s="3" t="s">
        <v>20</v>
      </c>
      <c r="E293" s="3" t="s">
        <v>21</v>
      </c>
      <c r="F293" s="3">
        <v>75453.025200000004</v>
      </c>
      <c r="G293" s="3" t="s">
        <v>16</v>
      </c>
      <c r="H293" s="3" t="s">
        <v>17</v>
      </c>
      <c r="I293" s="3">
        <f>IF(C293="India",1,IF(C293="USA",INDEX('Currency Master'!B:B,MATCH(DATE(N293,MONTH(DATEVALUE(O293&amp;" 1")),1),'Currency Master'!A:A,0)),IF(C293="Australia",INDEX('Currency Master'!T:T,MATCH(DATE(N293,MONTH(DATEVALUE(O293&amp;" 1")),1),'Currency Master'!A:A,0)),"")))</f>
        <v>82.7</v>
      </c>
      <c r="J293" s="3">
        <f t="shared" si="16"/>
        <v>75453.025200000004</v>
      </c>
      <c r="K293" s="3" t="str">
        <f t="shared" si="17"/>
        <v>₹/Candy</v>
      </c>
      <c r="L293" s="3">
        <v>2.92682926829269E-2</v>
      </c>
      <c r="M293" s="3"/>
      <c r="N293" s="3">
        <f t="shared" si="18"/>
        <v>2023</v>
      </c>
      <c r="O293" s="3" t="str">
        <f t="shared" si="19"/>
        <v>August</v>
      </c>
      <c r="P293" s="3" t="s">
        <v>22</v>
      </c>
      <c r="Q293" s="3"/>
    </row>
    <row r="294" spans="1:17" hidden="1" x14ac:dyDescent="0.3">
      <c r="A294" s="2">
        <v>45108</v>
      </c>
      <c r="B294" s="3" t="s">
        <v>12</v>
      </c>
      <c r="C294" s="3" t="s">
        <v>19</v>
      </c>
      <c r="D294" s="3" t="s">
        <v>20</v>
      </c>
      <c r="E294" s="3" t="s">
        <v>21</v>
      </c>
      <c r="F294" s="3">
        <v>73140.627200000003</v>
      </c>
      <c r="G294" s="3" t="s">
        <v>16</v>
      </c>
      <c r="H294" s="3" t="s">
        <v>17</v>
      </c>
      <c r="I294" s="3">
        <f>IF(C294="India",1,IF(C294="USA",INDEX('Currency Master'!B:B,MATCH(DATE(N294,MONTH(DATEVALUE(O294&amp;" 1")),1),'Currency Master'!A:A,0)),IF(C294="Australia",INDEX('Currency Master'!T:T,MATCH(DATE(N294,MONTH(DATEVALUE(O294&amp;" 1")),1),'Currency Master'!A:A,0)),"")))</f>
        <v>82.24</v>
      </c>
      <c r="J294" s="3">
        <f t="shared" si="16"/>
        <v>73140.627200000003</v>
      </c>
      <c r="K294" s="3" t="str">
        <f t="shared" si="17"/>
        <v>₹/Candy</v>
      </c>
      <c r="L294" s="3">
        <v>4.9019607843137098E-3</v>
      </c>
      <c r="M294" s="3"/>
      <c r="N294" s="3">
        <f t="shared" si="18"/>
        <v>2023</v>
      </c>
      <c r="O294" s="3" t="str">
        <f t="shared" si="19"/>
        <v>July</v>
      </c>
      <c r="P294" s="3" t="s">
        <v>22</v>
      </c>
      <c r="Q294" s="3"/>
    </row>
    <row r="295" spans="1:17" hidden="1" x14ac:dyDescent="0.3">
      <c r="A295" s="2">
        <v>45078</v>
      </c>
      <c r="B295" s="3" t="s">
        <v>12</v>
      </c>
      <c r="C295" s="3" t="s">
        <v>19</v>
      </c>
      <c r="D295" s="3" t="s">
        <v>20</v>
      </c>
      <c r="E295" s="3" t="s">
        <v>21</v>
      </c>
      <c r="F295" s="3">
        <v>72698.745760000005</v>
      </c>
      <c r="G295" s="3" t="s">
        <v>16</v>
      </c>
      <c r="H295" s="3" t="s">
        <v>17</v>
      </c>
      <c r="I295" s="3">
        <f>IF(C295="India",1,IF(C295="USA",INDEX('Currency Master'!B:B,MATCH(DATE(N295,MONTH(DATEVALUE(O295&amp;" 1")),1),'Currency Master'!A:A,0)),IF(C295="Australia",INDEX('Currency Master'!T:T,MATCH(DATE(N295,MONTH(DATEVALUE(O295&amp;" 1")),1),'Currency Master'!A:A,0)),"")))</f>
        <v>82.09</v>
      </c>
      <c r="J295" s="3">
        <f t="shared" si="16"/>
        <v>72698.745760000005</v>
      </c>
      <c r="K295" s="3" t="str">
        <f t="shared" si="17"/>
        <v>₹/Candy</v>
      </c>
      <c r="L295" s="3">
        <v>-1.4492753623188401E-2</v>
      </c>
      <c r="M295" s="3"/>
      <c r="N295" s="3">
        <f t="shared" si="18"/>
        <v>2023</v>
      </c>
      <c r="O295" s="3" t="str">
        <f t="shared" si="19"/>
        <v>June</v>
      </c>
      <c r="P295" s="3" t="s">
        <v>22</v>
      </c>
      <c r="Q295" s="3"/>
    </row>
    <row r="296" spans="1:17" hidden="1" x14ac:dyDescent="0.3">
      <c r="A296" s="2">
        <v>45047</v>
      </c>
      <c r="B296" s="3" t="s">
        <v>12</v>
      </c>
      <c r="C296" s="3" t="s">
        <v>19</v>
      </c>
      <c r="D296" s="3" t="s">
        <v>20</v>
      </c>
      <c r="E296" s="3" t="s">
        <v>21</v>
      </c>
      <c r="F296" s="3">
        <v>74141.400160000005</v>
      </c>
      <c r="G296" s="3" t="s">
        <v>16</v>
      </c>
      <c r="H296" s="3" t="s">
        <v>17</v>
      </c>
      <c r="I296" s="3">
        <f>IF(C296="India",1,IF(C296="USA",INDEX('Currency Master'!B:B,MATCH(DATE(N296,MONTH(DATEVALUE(O296&amp;" 1")),1),'Currency Master'!A:A,0)),IF(C296="Australia",INDEX('Currency Master'!T:T,MATCH(DATE(N296,MONTH(DATEVALUE(O296&amp;" 1")),1),'Currency Master'!A:A,0)),"")))</f>
        <v>82.68</v>
      </c>
      <c r="J296" s="3">
        <f t="shared" si="16"/>
        <v>74141.400160000005</v>
      </c>
      <c r="K296" s="3" t="str">
        <f t="shared" si="17"/>
        <v>₹/Candy</v>
      </c>
      <c r="L296" s="3">
        <v>-1.42857142857145E-2</v>
      </c>
      <c r="M296" s="3"/>
      <c r="N296" s="3">
        <f t="shared" si="18"/>
        <v>2023</v>
      </c>
      <c r="O296" s="3" t="str">
        <f t="shared" si="19"/>
        <v>May</v>
      </c>
      <c r="P296" s="3" t="s">
        <v>22</v>
      </c>
      <c r="Q296" s="3"/>
    </row>
    <row r="297" spans="1:17" hidden="1" x14ac:dyDescent="0.3">
      <c r="A297" s="2">
        <v>45017</v>
      </c>
      <c r="B297" s="3" t="s">
        <v>12</v>
      </c>
      <c r="C297" s="3" t="s">
        <v>19</v>
      </c>
      <c r="D297" s="3" t="s">
        <v>20</v>
      </c>
      <c r="E297" s="3" t="s">
        <v>21</v>
      </c>
      <c r="F297" s="3">
        <v>75145.619200000001</v>
      </c>
      <c r="G297" s="3" t="s">
        <v>16</v>
      </c>
      <c r="H297" s="3" t="s">
        <v>17</v>
      </c>
      <c r="I297" s="3">
        <f>IF(C297="India",1,IF(C297="USA",INDEX('Currency Master'!B:B,MATCH(DATE(N297,MONTH(DATEVALUE(O297&amp;" 1")),1),'Currency Master'!A:A,0)),IF(C297="Australia",INDEX('Currency Master'!T:T,MATCH(DATE(N297,MONTH(DATEVALUE(O297&amp;" 1")),1),'Currency Master'!A:A,0)),"")))</f>
        <v>82.72</v>
      </c>
      <c r="J297" s="3">
        <f t="shared" si="16"/>
        <v>75145.619200000001</v>
      </c>
      <c r="K297" s="3" t="str">
        <f t="shared" si="17"/>
        <v>₹/Candy</v>
      </c>
      <c r="L297" s="3">
        <v>0</v>
      </c>
      <c r="M297" s="3"/>
      <c r="N297" s="3">
        <f t="shared" si="18"/>
        <v>2023</v>
      </c>
      <c r="O297" s="3" t="str">
        <f t="shared" si="19"/>
        <v>April</v>
      </c>
      <c r="P297" s="3" t="s">
        <v>22</v>
      </c>
      <c r="Q297" s="3"/>
    </row>
    <row r="298" spans="1:17" hidden="1" x14ac:dyDescent="0.3">
      <c r="A298" s="2">
        <v>44986</v>
      </c>
      <c r="B298" s="3" t="s">
        <v>12</v>
      </c>
      <c r="C298" s="3" t="s">
        <v>19</v>
      </c>
      <c r="D298" s="3" t="s">
        <v>20</v>
      </c>
      <c r="E298" s="3" t="s">
        <v>21</v>
      </c>
      <c r="F298" s="3">
        <v>74685.097599999994</v>
      </c>
      <c r="G298" s="3" t="s">
        <v>16</v>
      </c>
      <c r="H298" s="3" t="s">
        <v>17</v>
      </c>
      <c r="I298" s="3">
        <f>IF(C298="India",1,IF(C298="USA",INDEX('Currency Master'!B:B,MATCH(DATE(N298,MONTH(DATEVALUE(O298&amp;" 1")),1),'Currency Master'!A:A,0)),IF(C298="Australia",INDEX('Currency Master'!T:T,MATCH(DATE(N298,MONTH(DATEVALUE(O298&amp;" 1")),1),'Currency Master'!A:A,0)),"")))</f>
        <v>82.16</v>
      </c>
      <c r="J298" s="3">
        <f t="shared" si="16"/>
        <v>74685.097599999994</v>
      </c>
      <c r="K298" s="3" t="str">
        <f t="shared" si="17"/>
        <v>₹/Candy</v>
      </c>
      <c r="L298" s="3">
        <v>-4.1095890410958798E-2</v>
      </c>
      <c r="M298" s="3"/>
      <c r="N298" s="3">
        <f t="shared" si="18"/>
        <v>2023</v>
      </c>
      <c r="O298" s="3" t="str">
        <f t="shared" si="19"/>
        <v>March</v>
      </c>
      <c r="P298" s="3" t="s">
        <v>22</v>
      </c>
      <c r="Q298" s="3"/>
    </row>
    <row r="299" spans="1:17" hidden="1" x14ac:dyDescent="0.3">
      <c r="A299" s="2">
        <v>44958</v>
      </c>
      <c r="B299" s="3" t="s">
        <v>12</v>
      </c>
      <c r="C299" s="3" t="s">
        <v>19</v>
      </c>
      <c r="D299" s="3" t="s">
        <v>20</v>
      </c>
      <c r="E299" s="3" t="s">
        <v>21</v>
      </c>
      <c r="F299" s="3">
        <v>77992.394560000001</v>
      </c>
      <c r="G299" s="3" t="s">
        <v>16</v>
      </c>
      <c r="H299" s="3" t="s">
        <v>17</v>
      </c>
      <c r="I299" s="3">
        <f>IF(C299="India",1,IF(C299="USA",INDEX('Currency Master'!B:B,MATCH(DATE(N299,MONTH(DATEVALUE(O299&amp;" 1")),1),'Currency Master'!A:A,0)),IF(C299="Australia",INDEX('Currency Master'!T:T,MATCH(DATE(N299,MONTH(DATEVALUE(O299&amp;" 1")),1),'Currency Master'!A:A,0)),"")))</f>
        <v>82.64</v>
      </c>
      <c r="J299" s="3">
        <f t="shared" si="16"/>
        <v>77992.394560000001</v>
      </c>
      <c r="K299" s="3" t="str">
        <f t="shared" si="17"/>
        <v>₹/Candy</v>
      </c>
      <c r="L299" s="3">
        <v>-1.3513513513513599E-2</v>
      </c>
      <c r="M299" s="3"/>
      <c r="N299" s="3">
        <f t="shared" si="18"/>
        <v>2023</v>
      </c>
      <c r="O299" s="3" t="str">
        <f t="shared" si="19"/>
        <v>February</v>
      </c>
      <c r="P299" s="3" t="s">
        <v>22</v>
      </c>
      <c r="Q299" s="3"/>
    </row>
    <row r="300" spans="1:17" hidden="1" x14ac:dyDescent="0.3">
      <c r="A300" s="2">
        <v>44927</v>
      </c>
      <c r="B300" s="3" t="s">
        <v>12</v>
      </c>
      <c r="C300" s="3" t="s">
        <v>19</v>
      </c>
      <c r="D300" s="3" t="s">
        <v>20</v>
      </c>
      <c r="E300" s="3" t="s">
        <v>21</v>
      </c>
      <c r="F300" s="3">
        <v>77852.084279999995</v>
      </c>
      <c r="G300" s="3" t="s">
        <v>16</v>
      </c>
      <c r="H300" s="3" t="s">
        <v>17</v>
      </c>
      <c r="I300" s="3">
        <f>IF(C300="India",1,IF(C300="USA",INDEX('Currency Master'!B:B,MATCH(DATE(N300,MONTH(DATEVALUE(O300&amp;" 1")),1),'Currency Master'!A:A,0)),IF(C300="Australia",INDEX('Currency Master'!T:T,MATCH(DATE(N300,MONTH(DATEVALUE(O300&amp;" 1")),1),'Currency Master'!A:A,0)),"")))</f>
        <v>81.73</v>
      </c>
      <c r="J300" s="3">
        <f t="shared" si="16"/>
        <v>77852.084279999995</v>
      </c>
      <c r="K300" s="3" t="str">
        <f t="shared" si="17"/>
        <v>₹/Candy</v>
      </c>
      <c r="L300" s="3">
        <v>-8.9686098654708796E-3</v>
      </c>
      <c r="M300" s="3"/>
      <c r="N300" s="3">
        <f t="shared" si="18"/>
        <v>2023</v>
      </c>
      <c r="O300" s="3" t="str">
        <f t="shared" si="19"/>
        <v>January</v>
      </c>
      <c r="P300" s="3" t="s">
        <v>22</v>
      </c>
      <c r="Q300" s="3"/>
    </row>
    <row r="301" spans="1:17" hidden="1" x14ac:dyDescent="0.3">
      <c r="A301" s="2">
        <v>44896</v>
      </c>
      <c r="B301" s="3" t="s">
        <v>12</v>
      </c>
      <c r="C301" s="3" t="s">
        <v>19</v>
      </c>
      <c r="D301" s="3" t="s">
        <v>20</v>
      </c>
      <c r="E301" s="3" t="s">
        <v>21</v>
      </c>
      <c r="F301" s="3">
        <v>78824.006039511994</v>
      </c>
      <c r="G301" s="3" t="s">
        <v>16</v>
      </c>
      <c r="H301" s="3" t="s">
        <v>17</v>
      </c>
      <c r="I301" s="3">
        <f>IF(C301="India",1,IF(C301="USA",INDEX('Currency Master'!B:B,MATCH(DATE(N301,MONTH(DATEVALUE(O301&amp;" 1")),1),'Currency Master'!A:A,0)),IF(C301="Australia",INDEX('Currency Master'!T:T,MATCH(DATE(N301,MONTH(DATEVALUE(O301&amp;" 1")),1),'Currency Master'!A:A,0)),"")))</f>
        <v>82.479831000000004</v>
      </c>
      <c r="J301" s="3">
        <f t="shared" si="16"/>
        <v>78824.006039511994</v>
      </c>
      <c r="K301" s="3" t="str">
        <f t="shared" si="17"/>
        <v>₹/Candy</v>
      </c>
      <c r="L301" s="3">
        <v>-4.4843049327353297E-3</v>
      </c>
      <c r="M301" s="3"/>
      <c r="N301" s="3">
        <f t="shared" si="18"/>
        <v>2022</v>
      </c>
      <c r="O301" s="3" t="str">
        <f t="shared" si="19"/>
        <v>December</v>
      </c>
      <c r="P301" s="3" t="s">
        <v>22</v>
      </c>
      <c r="Q301" s="3"/>
    </row>
    <row r="302" spans="1:17" hidden="1" x14ac:dyDescent="0.3">
      <c r="A302" s="2">
        <v>44866</v>
      </c>
      <c r="B302" s="3" t="s">
        <v>12</v>
      </c>
      <c r="C302" s="3" t="s">
        <v>19</v>
      </c>
      <c r="D302" s="3" t="s">
        <v>20</v>
      </c>
      <c r="E302" s="3" t="s">
        <v>21</v>
      </c>
      <c r="F302" s="3">
        <v>78467.287163372006</v>
      </c>
      <c r="G302" s="3" t="s">
        <v>16</v>
      </c>
      <c r="H302" s="3" t="s">
        <v>17</v>
      </c>
      <c r="I302" s="3">
        <f>IF(C302="India",1,IF(C302="USA",INDEX('Currency Master'!B:B,MATCH(DATE(N302,MONTH(DATEVALUE(O302&amp;" 1")),1),'Currency Master'!A:A,0)),IF(C302="Australia",INDEX('Currency Master'!T:T,MATCH(DATE(N302,MONTH(DATEVALUE(O302&amp;" 1")),1),'Currency Master'!A:A,0)),"")))</f>
        <v>81.701479000000006</v>
      </c>
      <c r="J302" s="3">
        <f t="shared" si="16"/>
        <v>78467.287163372006</v>
      </c>
      <c r="K302" s="3" t="str">
        <f t="shared" si="17"/>
        <v>₹/Candy</v>
      </c>
      <c r="L302" s="3">
        <v>1.36363636363634E-2</v>
      </c>
      <c r="M302" s="3"/>
      <c r="N302" s="3">
        <f t="shared" si="18"/>
        <v>2022</v>
      </c>
      <c r="O302" s="3" t="str">
        <f t="shared" si="19"/>
        <v>November</v>
      </c>
      <c r="P302" s="3" t="s">
        <v>22</v>
      </c>
      <c r="Q302" s="3"/>
    </row>
    <row r="303" spans="1:17" hidden="1" x14ac:dyDescent="0.3">
      <c r="A303" s="2">
        <v>44835</v>
      </c>
      <c r="B303" s="3" t="s">
        <v>12</v>
      </c>
      <c r="C303" s="3" t="s">
        <v>19</v>
      </c>
      <c r="D303" s="3" t="s">
        <v>20</v>
      </c>
      <c r="E303" s="3" t="s">
        <v>21</v>
      </c>
      <c r="F303" s="3">
        <v>78069.930811760001</v>
      </c>
      <c r="G303" s="3" t="s">
        <v>16</v>
      </c>
      <c r="H303" s="3" t="s">
        <v>17</v>
      </c>
      <c r="I303" s="3">
        <f>IF(C303="India",1,IF(C303="USA",INDEX('Currency Master'!B:B,MATCH(DATE(N303,MONTH(DATEVALUE(O303&amp;" 1")),1),'Currency Master'!A:A,0)),IF(C303="Australia",INDEX('Currency Master'!T:T,MATCH(DATE(N303,MONTH(DATEVALUE(O303&amp;" 1")),1),'Currency Master'!A:A,0)),"")))</f>
        <v>82.354363000000006</v>
      </c>
      <c r="J303" s="3">
        <f t="shared" si="16"/>
        <v>78069.930811760001</v>
      </c>
      <c r="K303" s="3" t="str">
        <f t="shared" si="17"/>
        <v>₹/Candy</v>
      </c>
      <c r="L303" s="3">
        <v>-0.150579150579151</v>
      </c>
      <c r="M303" s="3"/>
      <c r="N303" s="3">
        <f t="shared" si="18"/>
        <v>2022</v>
      </c>
      <c r="O303" s="3" t="str">
        <f t="shared" si="19"/>
        <v>October</v>
      </c>
      <c r="P303" s="3" t="s">
        <v>22</v>
      </c>
      <c r="Q303" s="3"/>
    </row>
    <row r="304" spans="1:17" hidden="1" x14ac:dyDescent="0.3">
      <c r="A304" s="2">
        <v>44805</v>
      </c>
      <c r="B304" s="3" t="s">
        <v>12</v>
      </c>
      <c r="C304" s="3" t="s">
        <v>19</v>
      </c>
      <c r="D304" s="3" t="s">
        <v>20</v>
      </c>
      <c r="E304" s="3" t="s">
        <v>21</v>
      </c>
      <c r="F304" s="3">
        <v>88503.553191864004</v>
      </c>
      <c r="G304" s="3" t="s">
        <v>16</v>
      </c>
      <c r="H304" s="3" t="s">
        <v>17</v>
      </c>
      <c r="I304" s="3">
        <f>IF(C304="India",1,IF(C304="USA",INDEX('Currency Master'!B:B,MATCH(DATE(N304,MONTH(DATEVALUE(O304&amp;" 1")),1),'Currency Master'!A:A,0)),IF(C304="Australia",INDEX('Currency Master'!T:T,MATCH(DATE(N304,MONTH(DATEVALUE(O304&amp;" 1")),1),'Currency Master'!A:A,0)),"")))</f>
        <v>80.240606</v>
      </c>
      <c r="J304" s="3">
        <f t="shared" si="16"/>
        <v>88503.553191864004</v>
      </c>
      <c r="K304" s="3" t="str">
        <f t="shared" si="17"/>
        <v>₹/Candy</v>
      </c>
      <c r="L304" s="3">
        <v>-4.7399999999999998E-2</v>
      </c>
      <c r="M304" s="3"/>
      <c r="N304" s="3">
        <f t="shared" si="18"/>
        <v>2022</v>
      </c>
      <c r="O304" s="3" t="str">
        <f t="shared" si="19"/>
        <v>September</v>
      </c>
      <c r="P304" s="3" t="s">
        <v>22</v>
      </c>
      <c r="Q304" s="3"/>
    </row>
    <row r="305" spans="1:17" hidden="1" x14ac:dyDescent="0.3">
      <c r="A305" s="2">
        <v>44774</v>
      </c>
      <c r="B305" s="3" t="s">
        <v>12</v>
      </c>
      <c r="C305" s="3" t="s">
        <v>19</v>
      </c>
      <c r="D305" s="3" t="s">
        <v>20</v>
      </c>
      <c r="E305" s="3" t="s">
        <v>21</v>
      </c>
      <c r="F305" s="3">
        <v>92461.923043079994</v>
      </c>
      <c r="G305" s="3" t="s">
        <v>16</v>
      </c>
      <c r="H305" s="3" t="s">
        <v>17</v>
      </c>
      <c r="I305" s="3">
        <f>IF(C305="India",1,IF(C305="USA",INDEX('Currency Master'!B:B,MATCH(DATE(N305,MONTH(DATEVALUE(O305&amp;" 1")),1),'Currency Master'!A:A,0)),IF(C305="Australia",INDEX('Currency Master'!T:T,MATCH(DATE(N305,MONTH(DATEVALUE(O305&amp;" 1")),1),'Currency Master'!A:A,0)),"")))</f>
        <v>79.536995000000005</v>
      </c>
      <c r="J305" s="3">
        <f t="shared" si="16"/>
        <v>92461.923043079994</v>
      </c>
      <c r="K305" s="3" t="str">
        <f t="shared" si="17"/>
        <v>₹/Candy</v>
      </c>
      <c r="L305" s="3">
        <v>-5.1900000000000002E-2</v>
      </c>
      <c r="M305" s="3"/>
      <c r="N305" s="3">
        <f t="shared" si="18"/>
        <v>2022</v>
      </c>
      <c r="O305" s="3" t="str">
        <f t="shared" si="19"/>
        <v>August</v>
      </c>
      <c r="P305" s="3" t="s">
        <v>22</v>
      </c>
      <c r="Q305" s="3"/>
    </row>
    <row r="306" spans="1:17" hidden="1" x14ac:dyDescent="0.3">
      <c r="A306" s="2">
        <v>44743</v>
      </c>
      <c r="B306" s="3" t="s">
        <v>12</v>
      </c>
      <c r="C306" s="3" t="s">
        <v>19</v>
      </c>
      <c r="D306" s="3" t="s">
        <v>20</v>
      </c>
      <c r="E306" s="3" t="s">
        <v>21</v>
      </c>
      <c r="F306" s="3">
        <v>97201.072446024002</v>
      </c>
      <c r="G306" s="3" t="s">
        <v>16</v>
      </c>
      <c r="H306" s="3" t="s">
        <v>17</v>
      </c>
      <c r="I306" s="3">
        <f>IF(C306="India",1,IF(C306="USA",INDEX('Currency Master'!B:B,MATCH(DATE(N306,MONTH(DATEVALUE(O306&amp;" 1")),1),'Currency Master'!A:A,0)),IF(C306="Australia",INDEX('Currency Master'!T:T,MATCH(DATE(N306,MONTH(DATEVALUE(O306&amp;" 1")),1),'Currency Master'!A:A,0)),"")))</f>
        <v>79.596326000000005</v>
      </c>
      <c r="J306" s="3">
        <f t="shared" si="16"/>
        <v>97201.072446024002</v>
      </c>
      <c r="K306" s="3" t="str">
        <f t="shared" si="17"/>
        <v>₹/Candy</v>
      </c>
      <c r="L306" s="3">
        <v>-0.15</v>
      </c>
      <c r="M306" s="3"/>
      <c r="N306" s="3">
        <f t="shared" si="18"/>
        <v>2022</v>
      </c>
      <c r="O306" s="3" t="str">
        <f t="shared" si="19"/>
        <v>July</v>
      </c>
      <c r="P306" s="3" t="s">
        <v>22</v>
      </c>
      <c r="Q306" s="3"/>
    </row>
    <row r="307" spans="1:17" hidden="1" x14ac:dyDescent="0.3">
      <c r="A307" s="2">
        <v>44713</v>
      </c>
      <c r="B307" s="3" t="s">
        <v>12</v>
      </c>
      <c r="C307" s="3" t="s">
        <v>19</v>
      </c>
      <c r="D307" s="3" t="s">
        <v>20</v>
      </c>
      <c r="E307" s="3" t="s">
        <v>21</v>
      </c>
      <c r="F307" s="3">
        <v>111099.68155608</v>
      </c>
      <c r="G307" s="3" t="s">
        <v>16</v>
      </c>
      <c r="H307" s="3" t="s">
        <v>17</v>
      </c>
      <c r="I307" s="3">
        <f>IF(C307="India",1,IF(C307="USA",INDEX('Currency Master'!B:B,MATCH(DATE(N307,MONTH(DATEVALUE(O307&amp;" 1")),1),'Currency Master'!A:A,0)),IF(C307="Australia",INDEX('Currency Master'!T:T,MATCH(DATE(N307,MONTH(DATEVALUE(O307&amp;" 1")),1),'Currency Master'!A:A,0)),"")))</f>
        <v>78.095657000000003</v>
      </c>
      <c r="J307" s="3">
        <f t="shared" si="16"/>
        <v>111099.68155608</v>
      </c>
      <c r="K307" s="3" t="str">
        <f t="shared" si="17"/>
        <v>₹/Candy</v>
      </c>
      <c r="L307" s="3">
        <v>-5.8200000000000002E-2</v>
      </c>
      <c r="M307" s="3"/>
      <c r="N307" s="3">
        <f t="shared" si="18"/>
        <v>2022</v>
      </c>
      <c r="O307" s="3" t="str">
        <f t="shared" si="19"/>
        <v>June</v>
      </c>
      <c r="P307" s="3" t="s">
        <v>22</v>
      </c>
      <c r="Q307" s="3"/>
    </row>
    <row r="308" spans="1:17" hidden="1" x14ac:dyDescent="0.3">
      <c r="A308" s="2">
        <v>44682</v>
      </c>
      <c r="B308" s="3" t="s">
        <v>12</v>
      </c>
      <c r="C308" s="3" t="s">
        <v>19</v>
      </c>
      <c r="D308" s="3" t="s">
        <v>20</v>
      </c>
      <c r="E308" s="3" t="s">
        <v>21</v>
      </c>
      <c r="F308" s="3">
        <v>116410.621477576</v>
      </c>
      <c r="G308" s="3" t="s">
        <v>16</v>
      </c>
      <c r="H308" s="3" t="s">
        <v>17</v>
      </c>
      <c r="I308" s="3">
        <f>IF(C308="India",1,IF(C308="USA",INDEX('Currency Master'!B:B,MATCH(DATE(N308,MONTH(DATEVALUE(O308&amp;" 1")),1),'Currency Master'!A:A,0)),IF(C308="Australia",INDEX('Currency Master'!T:T,MATCH(DATE(N308,MONTH(DATEVALUE(O308&amp;" 1")),1),'Currency Master'!A:A,0)),"")))</f>
        <v>77.309526000000005</v>
      </c>
      <c r="J308" s="3">
        <f t="shared" si="16"/>
        <v>116410.621477576</v>
      </c>
      <c r="K308" s="3" t="str">
        <f t="shared" si="17"/>
        <v>₹/Candy</v>
      </c>
      <c r="L308" s="3">
        <v>5.5599999999999997E-2</v>
      </c>
      <c r="M308" s="3"/>
      <c r="N308" s="3">
        <f t="shared" si="18"/>
        <v>2022</v>
      </c>
      <c r="O308" s="3" t="str">
        <f t="shared" si="19"/>
        <v>May</v>
      </c>
      <c r="P308" s="3" t="s">
        <v>22</v>
      </c>
      <c r="Q308" s="3"/>
    </row>
    <row r="309" spans="1:17" hidden="1" x14ac:dyDescent="0.3">
      <c r="A309" s="2">
        <v>44652</v>
      </c>
      <c r="B309" s="3" t="s">
        <v>12</v>
      </c>
      <c r="C309" s="3" t="s">
        <v>19</v>
      </c>
      <c r="D309" s="3" t="s">
        <v>20</v>
      </c>
      <c r="E309" s="3" t="s">
        <v>21</v>
      </c>
      <c r="F309" s="3">
        <v>109133.93527731999</v>
      </c>
      <c r="G309" s="3" t="s">
        <v>16</v>
      </c>
      <c r="H309" s="3" t="s">
        <v>17</v>
      </c>
      <c r="I309" s="3">
        <f>IF(C309="India",1,IF(C309="USA",INDEX('Currency Master'!B:B,MATCH(DATE(N309,MONTH(DATEVALUE(O309&amp;" 1")),1),'Currency Master'!A:A,0)),IF(C309="Australia",INDEX('Currency Master'!T:T,MATCH(DATE(N309,MONTH(DATEVALUE(O309&amp;" 1")),1),'Currency Master'!A:A,0)),"")))</f>
        <v>76.171184999999994</v>
      </c>
      <c r="J309" s="3">
        <f t="shared" si="16"/>
        <v>109133.93527731999</v>
      </c>
      <c r="K309" s="3" t="str">
        <f t="shared" si="17"/>
        <v>₹/Candy</v>
      </c>
      <c r="L309" s="3">
        <v>9.9699999999999997E-2</v>
      </c>
      <c r="M309" s="3"/>
      <c r="N309" s="3">
        <f t="shared" si="18"/>
        <v>2022</v>
      </c>
      <c r="O309" s="3" t="str">
        <f t="shared" si="19"/>
        <v>April</v>
      </c>
      <c r="P309" s="3" t="s">
        <v>22</v>
      </c>
      <c r="Q309" s="3"/>
    </row>
    <row r="310" spans="1:17" hidden="1" x14ac:dyDescent="0.3">
      <c r="A310" s="2">
        <v>44621</v>
      </c>
      <c r="B310" s="3" t="s">
        <v>12</v>
      </c>
      <c r="C310" s="3" t="s">
        <v>19</v>
      </c>
      <c r="D310" s="3" t="s">
        <v>20</v>
      </c>
      <c r="E310" s="3" t="s">
        <v>21</v>
      </c>
      <c r="F310" s="3">
        <v>99956.431973647996</v>
      </c>
      <c r="G310" s="3" t="s">
        <v>16</v>
      </c>
      <c r="H310" s="3" t="s">
        <v>17</v>
      </c>
      <c r="I310" s="3">
        <f>IF(C310="India",1,IF(C310="USA",INDEX('Currency Master'!B:B,MATCH(DATE(N310,MONTH(DATEVALUE(O310&amp;" 1")),1),'Currency Master'!A:A,0)),IF(C310="Australia",INDEX('Currency Master'!T:T,MATCH(DATE(N310,MONTH(DATEVALUE(O310&amp;" 1")),1),'Currency Master'!A:A,0)),"")))</f>
        <v>76.228148000000004</v>
      </c>
      <c r="J310" s="3">
        <f t="shared" si="16"/>
        <v>99956.431973647996</v>
      </c>
      <c r="K310" s="3" t="str">
        <f t="shared" si="17"/>
        <v>₹/Candy</v>
      </c>
      <c r="L310" s="3">
        <v>1.9699999999999999E-2</v>
      </c>
      <c r="M310" s="3"/>
      <c r="N310" s="3">
        <f t="shared" si="18"/>
        <v>2022</v>
      </c>
      <c r="O310" s="3" t="str">
        <f t="shared" si="19"/>
        <v>March</v>
      </c>
      <c r="P310" s="3" t="s">
        <v>22</v>
      </c>
      <c r="Q310" s="3"/>
    </row>
    <row r="311" spans="1:17" hidden="1" x14ac:dyDescent="0.3">
      <c r="A311" s="2">
        <v>44593</v>
      </c>
      <c r="B311" s="3" t="s">
        <v>12</v>
      </c>
      <c r="C311" s="3" t="s">
        <v>19</v>
      </c>
      <c r="D311" s="3" t="s">
        <v>20</v>
      </c>
      <c r="E311" s="3" t="s">
        <v>21</v>
      </c>
      <c r="F311" s="3">
        <v>96664.946282660007</v>
      </c>
      <c r="G311" s="3" t="s">
        <v>16</v>
      </c>
      <c r="H311" s="3" t="s">
        <v>17</v>
      </c>
      <c r="I311" s="3">
        <f>IF(C311="India",1,IF(C311="USA",INDEX('Currency Master'!B:B,MATCH(DATE(N311,MONTH(DATEVALUE(O311&amp;" 1")),1),'Currency Master'!A:A,0)),IF(C311="Australia",INDEX('Currency Master'!T:T,MATCH(DATE(N311,MONTH(DATEVALUE(O311&amp;" 1")),1),'Currency Master'!A:A,0)),"")))</f>
        <v>74.971907000000002</v>
      </c>
      <c r="J311" s="3">
        <f t="shared" si="16"/>
        <v>96664.946282660007</v>
      </c>
      <c r="K311" s="3" t="str">
        <f t="shared" si="17"/>
        <v>₹/Candy</v>
      </c>
      <c r="L311" s="3">
        <v>4.8099999999999997E-2</v>
      </c>
      <c r="M311" s="3"/>
      <c r="N311" s="3">
        <f t="shared" si="18"/>
        <v>2022</v>
      </c>
      <c r="O311" s="3" t="str">
        <f t="shared" si="19"/>
        <v>February</v>
      </c>
      <c r="P311" s="3" t="s">
        <v>22</v>
      </c>
      <c r="Q311" s="3"/>
    </row>
    <row r="312" spans="1:17" hidden="1" x14ac:dyDescent="0.3">
      <c r="A312" s="2">
        <v>44562</v>
      </c>
      <c r="B312" s="3" t="s">
        <v>12</v>
      </c>
      <c r="C312" s="3" t="s">
        <v>19</v>
      </c>
      <c r="D312" s="3" t="s">
        <v>20</v>
      </c>
      <c r="E312" s="3" t="s">
        <v>21</v>
      </c>
      <c r="F312" s="3">
        <v>91953.120538671996</v>
      </c>
      <c r="G312" s="3" t="s">
        <v>16</v>
      </c>
      <c r="H312" s="3" t="s">
        <v>17</v>
      </c>
      <c r="I312" s="3">
        <f>IF(C312="India",1,IF(C312="USA",INDEX('Currency Master'!B:B,MATCH(DATE(N312,MONTH(DATEVALUE(O312&amp;" 1")),1),'Currency Master'!A:A,0)),IF(C312="Australia",INDEX('Currency Master'!T:T,MATCH(DATE(N312,MONTH(DATEVALUE(O312&amp;" 1")),1),'Currency Master'!A:A,0)),"")))</f>
        <v>74.444012000000001</v>
      </c>
      <c r="J312" s="3">
        <f t="shared" si="16"/>
        <v>91953.120538671996</v>
      </c>
      <c r="K312" s="3" t="str">
        <f t="shared" si="17"/>
        <v>₹/Candy</v>
      </c>
      <c r="L312" s="3">
        <v>9.8100000000000007E-2</v>
      </c>
      <c r="M312" s="3"/>
      <c r="N312" s="3">
        <f t="shared" si="18"/>
        <v>2022</v>
      </c>
      <c r="O312" s="3" t="str">
        <f t="shared" si="19"/>
        <v>January</v>
      </c>
      <c r="P312" s="3" t="s">
        <v>22</v>
      </c>
      <c r="Q312" s="3"/>
    </row>
    <row r="313" spans="1:17" hidden="1" x14ac:dyDescent="0.3">
      <c r="A313" s="2">
        <v>44531</v>
      </c>
      <c r="B313" s="3" t="s">
        <v>12</v>
      </c>
      <c r="C313" s="3" t="s">
        <v>19</v>
      </c>
      <c r="D313" s="3" t="s">
        <v>20</v>
      </c>
      <c r="E313" s="3" t="s">
        <v>21</v>
      </c>
      <c r="F313" s="3">
        <v>85316.198538259996</v>
      </c>
      <c r="G313" s="3" t="s">
        <v>16</v>
      </c>
      <c r="H313" s="3" t="s">
        <v>17</v>
      </c>
      <c r="I313" s="3">
        <f>IF(C313="India",1,IF(C313="USA",INDEX('Currency Master'!B:B,MATCH(DATE(N313,MONTH(DATEVALUE(O313&amp;" 1")),1),'Currency Master'!A:A,0)),IF(C313="Australia",INDEX('Currency Master'!T:T,MATCH(DATE(N313,MONTH(DATEVALUE(O313&amp;" 1")),1),'Currency Master'!A:A,0)),"")))</f>
        <v>75.352399000000005</v>
      </c>
      <c r="J313" s="3">
        <f t="shared" si="16"/>
        <v>85316.198538259996</v>
      </c>
      <c r="K313" s="3" t="str">
        <f t="shared" si="17"/>
        <v>₹/Candy</v>
      </c>
      <c r="L313" s="3">
        <v>-5.0200000000000002E-2</v>
      </c>
      <c r="M313" s="3"/>
      <c r="N313" s="3">
        <f t="shared" si="18"/>
        <v>2021</v>
      </c>
      <c r="O313" s="3" t="str">
        <f t="shared" si="19"/>
        <v>December</v>
      </c>
      <c r="P313" s="3" t="s">
        <v>22</v>
      </c>
      <c r="Q313" s="3"/>
    </row>
    <row r="314" spans="1:17" hidden="1" x14ac:dyDescent="0.3">
      <c r="A314" s="2">
        <v>44501</v>
      </c>
      <c r="B314" s="3" t="s">
        <v>12</v>
      </c>
      <c r="C314" s="3" t="s">
        <v>19</v>
      </c>
      <c r="D314" s="3" t="s">
        <v>20</v>
      </c>
      <c r="E314" s="3" t="s">
        <v>21</v>
      </c>
      <c r="F314" s="3">
        <v>88487.131700404003</v>
      </c>
      <c r="G314" s="3" t="s">
        <v>16</v>
      </c>
      <c r="H314" s="3" t="s">
        <v>17</v>
      </c>
      <c r="I314" s="3">
        <f>IF(C314="India",1,IF(C314="USA",INDEX('Currency Master'!B:B,MATCH(DATE(N314,MONTH(DATEVALUE(O314&amp;" 1")),1),'Currency Master'!A:A,0)),IF(C314="Australia",INDEX('Currency Master'!T:T,MATCH(DATE(N314,MONTH(DATEVALUE(O314&amp;" 1")),1),'Currency Master'!A:A,0)),"")))</f>
        <v>74.473561000000004</v>
      </c>
      <c r="J314" s="3">
        <f t="shared" si="16"/>
        <v>88487.131700404003</v>
      </c>
      <c r="K314" s="3" t="str">
        <f t="shared" si="17"/>
        <v>₹/Candy</v>
      </c>
      <c r="L314" s="3">
        <v>7.7200000000000005E-2</v>
      </c>
      <c r="M314" s="3"/>
      <c r="N314" s="3">
        <f t="shared" si="18"/>
        <v>2021</v>
      </c>
      <c r="O314" s="3" t="str">
        <f t="shared" si="19"/>
        <v>November</v>
      </c>
      <c r="P314" s="3" t="s">
        <v>22</v>
      </c>
      <c r="Q314" s="3"/>
    </row>
    <row r="315" spans="1:17" hidden="1" x14ac:dyDescent="0.3">
      <c r="A315" s="2">
        <v>44470</v>
      </c>
      <c r="B315" s="3" t="s">
        <v>12</v>
      </c>
      <c r="C315" s="3" t="s">
        <v>19</v>
      </c>
      <c r="D315" s="3" t="s">
        <v>20</v>
      </c>
      <c r="E315" s="3" t="s">
        <v>21</v>
      </c>
      <c r="F315" s="3">
        <v>83102.089259999993</v>
      </c>
      <c r="G315" s="3" t="s">
        <v>16</v>
      </c>
      <c r="H315" s="3" t="s">
        <v>17</v>
      </c>
      <c r="I315" s="3">
        <f>IF(C315="India",1,IF(C315="USA",INDEX('Currency Master'!B:B,MATCH(DATE(N315,MONTH(DATEVALUE(O315&amp;" 1")),1),'Currency Master'!A:A,0)),IF(C315="Australia",INDEX('Currency Master'!T:T,MATCH(DATE(N315,MONTH(DATEVALUE(O315&amp;" 1")),1),'Currency Master'!A:A,0)),"")))</f>
        <v>74.953777000000002</v>
      </c>
      <c r="J315" s="3">
        <f t="shared" si="16"/>
        <v>83102.089259999993</v>
      </c>
      <c r="K315" s="3" t="str">
        <f t="shared" si="17"/>
        <v>₹/Candy</v>
      </c>
      <c r="L315" s="3">
        <v>0.13100000000000001</v>
      </c>
      <c r="M315" s="3"/>
      <c r="N315" s="3">
        <f t="shared" si="18"/>
        <v>2021</v>
      </c>
      <c r="O315" s="3" t="str">
        <f t="shared" si="19"/>
        <v>October</v>
      </c>
      <c r="P315" s="3" t="s">
        <v>22</v>
      </c>
      <c r="Q315" s="3"/>
    </row>
    <row r="316" spans="1:17" hidden="1" x14ac:dyDescent="0.3">
      <c r="A316" s="2">
        <v>44440</v>
      </c>
      <c r="B316" s="3" t="s">
        <v>12</v>
      </c>
      <c r="C316" s="3" t="s">
        <v>19</v>
      </c>
      <c r="D316" s="3" t="s">
        <v>20</v>
      </c>
      <c r="E316" s="3" t="s">
        <v>21</v>
      </c>
      <c r="F316" s="3">
        <v>73627.605295999994</v>
      </c>
      <c r="G316" s="3" t="s">
        <v>16</v>
      </c>
      <c r="H316" s="3" t="s">
        <v>17</v>
      </c>
      <c r="I316" s="3">
        <f>IF(C316="India",1,IF(C316="USA",INDEX('Currency Master'!B:B,MATCH(DATE(N316,MONTH(DATEVALUE(O316&amp;" 1")),1),'Currency Master'!A:A,0)),IF(C316="Australia",INDEX('Currency Master'!T:T,MATCH(DATE(N316,MONTH(DATEVALUE(O316&amp;" 1")),1),'Currency Master'!A:A,0)),"")))</f>
        <v>73.604971000000006</v>
      </c>
      <c r="J316" s="3">
        <f t="shared" si="16"/>
        <v>73627.605295999994</v>
      </c>
      <c r="K316" s="3" t="str">
        <f t="shared" si="17"/>
        <v>₹/Candy</v>
      </c>
      <c r="L316" s="3">
        <v>2.69E-2</v>
      </c>
      <c r="M316" s="3"/>
      <c r="N316" s="3">
        <f t="shared" si="18"/>
        <v>2021</v>
      </c>
      <c r="O316" s="3" t="str">
        <f t="shared" si="19"/>
        <v>September</v>
      </c>
      <c r="P316" s="3" t="s">
        <v>22</v>
      </c>
      <c r="Q316" s="3"/>
    </row>
    <row r="317" spans="1:17" hidden="1" x14ac:dyDescent="0.3">
      <c r="A317" s="2">
        <v>44409</v>
      </c>
      <c r="B317" s="3" t="s">
        <v>12</v>
      </c>
      <c r="C317" s="3" t="s">
        <v>19</v>
      </c>
      <c r="D317" s="3" t="s">
        <v>20</v>
      </c>
      <c r="E317" s="3" t="s">
        <v>21</v>
      </c>
      <c r="F317" s="3">
        <v>70822.280796000006</v>
      </c>
      <c r="G317" s="3" t="s">
        <v>16</v>
      </c>
      <c r="H317" s="3" t="s">
        <v>17</v>
      </c>
      <c r="I317" s="3">
        <f>IF(C317="India",1,IF(C317="USA",INDEX('Currency Master'!B:B,MATCH(DATE(N317,MONTH(DATEVALUE(O317&amp;" 1")),1),'Currency Master'!A:A,0)),IF(C317="Australia",INDEX('Currency Master'!T:T,MATCH(DATE(N317,MONTH(DATEVALUE(O317&amp;" 1")),1),'Currency Master'!A:A,0)),"")))</f>
        <v>74.124448999999998</v>
      </c>
      <c r="J317" s="3">
        <f t="shared" si="16"/>
        <v>70822.280796000006</v>
      </c>
      <c r="K317" s="3" t="str">
        <f t="shared" si="17"/>
        <v>₹/Candy</v>
      </c>
      <c r="L317" s="3">
        <v>3.7199999999999997E-2</v>
      </c>
      <c r="M317" s="3"/>
      <c r="N317" s="3">
        <f t="shared" si="18"/>
        <v>2021</v>
      </c>
      <c r="O317" s="3" t="str">
        <f t="shared" si="19"/>
        <v>August</v>
      </c>
      <c r="P317" s="3" t="s">
        <v>22</v>
      </c>
      <c r="Q317" s="3"/>
    </row>
    <row r="318" spans="1:17" hidden="1" x14ac:dyDescent="0.3">
      <c r="A318" s="2">
        <v>44378</v>
      </c>
      <c r="B318" s="3" t="s">
        <v>12</v>
      </c>
      <c r="C318" s="3" t="s">
        <v>19</v>
      </c>
      <c r="D318" s="3" t="s">
        <v>20</v>
      </c>
      <c r="E318" s="3" t="s">
        <v>21</v>
      </c>
      <c r="F318" s="3">
        <v>69707.293780000007</v>
      </c>
      <c r="G318" s="3" t="s">
        <v>16</v>
      </c>
      <c r="H318" s="3" t="s">
        <v>17</v>
      </c>
      <c r="I318" s="3">
        <f>IF(C318="India",1,IF(C318="USA",INDEX('Currency Master'!B:B,MATCH(DATE(N318,MONTH(DATEVALUE(O318&amp;" 1")),1),'Currency Master'!A:A,0)),IF(C318="Australia",INDEX('Currency Master'!T:T,MATCH(DATE(N318,MONTH(DATEVALUE(O318&amp;" 1")),1),'Currency Master'!A:A,0)),"")))</f>
        <v>74.534734999999998</v>
      </c>
      <c r="J318" s="3">
        <f t="shared" si="16"/>
        <v>69707.293780000007</v>
      </c>
      <c r="K318" s="3" t="str">
        <f t="shared" si="17"/>
        <v>₹/Candy</v>
      </c>
      <c r="L318" s="3">
        <v>3.3700000000000001E-2</v>
      </c>
      <c r="M318" s="3"/>
      <c r="N318" s="3">
        <f t="shared" si="18"/>
        <v>2021</v>
      </c>
      <c r="O318" s="3" t="str">
        <f t="shared" si="19"/>
        <v>July</v>
      </c>
      <c r="P318" s="3" t="s">
        <v>22</v>
      </c>
      <c r="Q318" s="3"/>
    </row>
    <row r="319" spans="1:17" hidden="1" x14ac:dyDescent="0.3">
      <c r="A319" s="2">
        <v>44348</v>
      </c>
      <c r="B319" s="3" t="s">
        <v>12</v>
      </c>
      <c r="C319" s="3" t="s">
        <v>19</v>
      </c>
      <c r="D319" s="3" t="s">
        <v>20</v>
      </c>
      <c r="E319" s="3" t="s">
        <v>21</v>
      </c>
      <c r="F319" s="3">
        <v>67688.302079999994</v>
      </c>
      <c r="G319" s="3" t="s">
        <v>16</v>
      </c>
      <c r="H319" s="3" t="s">
        <v>17</v>
      </c>
      <c r="I319" s="3">
        <f>IF(C319="India",1,IF(C319="USA",INDEX('Currency Master'!B:B,MATCH(DATE(N319,MONTH(DATEVALUE(O319&amp;" 1")),1),'Currency Master'!A:A,0)),IF(C319="Australia",INDEX('Currency Master'!T:T,MATCH(DATE(N319,MONTH(DATEVALUE(O319&amp;" 1")),1),'Currency Master'!A:A,0)),"")))</f>
        <v>73.575495000000004</v>
      </c>
      <c r="J319" s="3">
        <f t="shared" si="16"/>
        <v>67688.302079999994</v>
      </c>
      <c r="K319" s="3" t="str">
        <f t="shared" si="17"/>
        <v>₹/Candy</v>
      </c>
      <c r="L319" s="3">
        <v>0.04</v>
      </c>
      <c r="M319" s="3"/>
      <c r="N319" s="3">
        <f t="shared" si="18"/>
        <v>2021</v>
      </c>
      <c r="O319" s="3" t="str">
        <f t="shared" si="19"/>
        <v>June</v>
      </c>
      <c r="P319" s="3" t="s">
        <v>22</v>
      </c>
      <c r="Q319" s="3"/>
    </row>
    <row r="320" spans="1:17" hidden="1" x14ac:dyDescent="0.3">
      <c r="A320" s="2">
        <v>44317</v>
      </c>
      <c r="B320" s="3" t="s">
        <v>12</v>
      </c>
      <c r="C320" s="3" t="s">
        <v>19</v>
      </c>
      <c r="D320" s="3" t="s">
        <v>20</v>
      </c>
      <c r="E320" s="3" t="s">
        <v>21</v>
      </c>
      <c r="F320" s="3">
        <v>63910.6152</v>
      </c>
      <c r="G320" s="3" t="s">
        <v>16</v>
      </c>
      <c r="H320" s="3" t="s">
        <v>17</v>
      </c>
      <c r="I320" s="3">
        <f>IF(C320="India",1,IF(C320="USA",INDEX('Currency Master'!B:B,MATCH(DATE(N320,MONTH(DATEVALUE(O320&amp;" 1")),1),'Currency Master'!A:A,0)),IF(C320="Australia",INDEX('Currency Master'!T:T,MATCH(DATE(N320,MONTH(DATEVALUE(O320&amp;" 1")),1),'Currency Master'!A:A,0)),"")))</f>
        <v>73.209689999999995</v>
      </c>
      <c r="J320" s="3">
        <f t="shared" si="16"/>
        <v>63910.6152</v>
      </c>
      <c r="K320" s="3" t="str">
        <f t="shared" si="17"/>
        <v>₹/Candy</v>
      </c>
      <c r="L320" s="3">
        <v>0</v>
      </c>
      <c r="M320" s="3"/>
      <c r="N320" s="3">
        <f t="shared" si="18"/>
        <v>2021</v>
      </c>
      <c r="O320" s="3" t="str">
        <f t="shared" si="19"/>
        <v>May</v>
      </c>
      <c r="P320" s="3" t="s">
        <v>22</v>
      </c>
      <c r="Q320" s="3"/>
    </row>
    <row r="321" spans="1:17" hidden="1" x14ac:dyDescent="0.3">
      <c r="A321" s="2">
        <v>44287</v>
      </c>
      <c r="B321" s="3" t="s">
        <v>12</v>
      </c>
      <c r="C321" s="3" t="s">
        <v>19</v>
      </c>
      <c r="D321" s="3" t="s">
        <v>20</v>
      </c>
      <c r="E321" s="3" t="s">
        <v>21</v>
      </c>
      <c r="F321" s="3">
        <v>65115.96</v>
      </c>
      <c r="G321" s="3" t="s">
        <v>16</v>
      </c>
      <c r="H321" s="3" t="s">
        <v>17</v>
      </c>
      <c r="I321" s="3">
        <f>IF(C321="India",1,IF(C321="USA",INDEX('Currency Master'!B:B,MATCH(DATE(N321,MONTH(DATEVALUE(O321&amp;" 1")),1),'Currency Master'!A:A,0)),IF(C321="Australia",INDEX('Currency Master'!T:T,MATCH(DATE(N321,MONTH(DATEVALUE(O321&amp;" 1")),1),'Currency Master'!A:A,0)),"")))</f>
        <v>74.645910000000001</v>
      </c>
      <c r="J321" s="3">
        <f t="shared" si="16"/>
        <v>65115.96</v>
      </c>
      <c r="K321" s="3" t="str">
        <f t="shared" si="17"/>
        <v>₹/Candy</v>
      </c>
      <c r="L321" s="3">
        <v>-9.9000000000000008E-3</v>
      </c>
      <c r="M321" s="3"/>
      <c r="N321" s="3">
        <f t="shared" si="18"/>
        <v>2021</v>
      </c>
      <c r="O321" s="3" t="str">
        <f t="shared" si="19"/>
        <v>April</v>
      </c>
      <c r="P321" s="3" t="s">
        <v>22</v>
      </c>
      <c r="Q321" s="3"/>
    </row>
    <row r="322" spans="1:17" hidden="1" x14ac:dyDescent="0.3">
      <c r="A322" s="2">
        <v>44256</v>
      </c>
      <c r="B322" s="3" t="s">
        <v>12</v>
      </c>
      <c r="C322" s="3" t="s">
        <v>19</v>
      </c>
      <c r="D322" s="3" t="s">
        <v>20</v>
      </c>
      <c r="E322" s="3" t="s">
        <v>21</v>
      </c>
      <c r="F322" s="3">
        <v>64973.707384000001</v>
      </c>
      <c r="G322" s="3" t="s">
        <v>16</v>
      </c>
      <c r="H322" s="3" t="s">
        <v>17</v>
      </c>
      <c r="I322" s="3">
        <f>IF(C322="India",1,IF(C322="USA",INDEX('Currency Master'!B:B,MATCH(DATE(N322,MONTH(DATEVALUE(O322&amp;" 1")),1),'Currency Master'!A:A,0)),IF(C322="Australia",INDEX('Currency Master'!T:T,MATCH(DATE(N322,MONTH(DATEVALUE(O322&amp;" 1")),1),'Currency Master'!A:A,0)),"")))</f>
        <v>72.824742000000001</v>
      </c>
      <c r="J322" s="3">
        <f t="shared" si="16"/>
        <v>64973.707384000001</v>
      </c>
      <c r="K322" s="3" t="str">
        <f t="shared" si="17"/>
        <v>₹/Candy</v>
      </c>
      <c r="L322" s="3">
        <v>-1.46E-2</v>
      </c>
      <c r="M322" s="3"/>
      <c r="N322" s="3">
        <f t="shared" si="18"/>
        <v>2021</v>
      </c>
      <c r="O322" s="3" t="str">
        <f t="shared" si="19"/>
        <v>March</v>
      </c>
      <c r="P322" s="3" t="s">
        <v>22</v>
      </c>
      <c r="Q322" s="3"/>
    </row>
    <row r="323" spans="1:17" hidden="1" x14ac:dyDescent="0.3">
      <c r="A323" s="2">
        <v>44228</v>
      </c>
      <c r="B323" s="3" t="s">
        <v>12</v>
      </c>
      <c r="C323" s="3" t="s">
        <v>19</v>
      </c>
      <c r="D323" s="3" t="s">
        <v>20</v>
      </c>
      <c r="E323" s="3" t="s">
        <v>21</v>
      </c>
      <c r="F323" s="3">
        <v>66461.497600000002</v>
      </c>
      <c r="G323" s="3" t="s">
        <v>16</v>
      </c>
      <c r="H323" s="3" t="s">
        <v>17</v>
      </c>
      <c r="I323" s="3">
        <f>IF(C323="India",1,IF(C323="USA",INDEX('Currency Master'!B:B,MATCH(DATE(N323,MONTH(DATEVALUE(O323&amp;" 1")),1),'Currency Master'!A:A,0)),IF(C323="Australia",INDEX('Currency Master'!T:T,MATCH(DATE(N323,MONTH(DATEVALUE(O323&amp;" 1")),1),'Currency Master'!A:A,0)),"")))</f>
        <v>72.802874000000003</v>
      </c>
      <c r="J323" s="3">
        <f t="shared" ref="J323:J386" si="20">IF(C323="India",F323,IF(C323="USA",IF(G323="US Cents/Lb",ROUND(((F323/100)/0.453592)*I323*356,0),F323),IF(C323="Australia",IF(G323="AUc/kg",ROUND((F323/100)*I323,2),F323),"")))</f>
        <v>66461.497600000002</v>
      </c>
      <c r="K323" s="3" t="str">
        <f t="shared" ref="K323:K386" si="21">IF(C323="India",G323,IF(C323="USA","₹/Candy",IF(C323="Australia","₹/Kg","")))</f>
        <v>₹/Candy</v>
      </c>
      <c r="L323" s="3">
        <v>6.7699999999999996E-2</v>
      </c>
      <c r="M323" s="3"/>
      <c r="N323" s="3">
        <f t="shared" ref="N323:N386" si="22">YEAR(A323)</f>
        <v>2021</v>
      </c>
      <c r="O323" s="3" t="str">
        <f t="shared" ref="O323:O386" si="23">TEXT(A323,"mmmm")</f>
        <v>February</v>
      </c>
      <c r="P323" s="3" t="s">
        <v>22</v>
      </c>
      <c r="Q323" s="3"/>
    </row>
    <row r="324" spans="1:17" hidden="1" x14ac:dyDescent="0.3">
      <c r="A324" s="2">
        <v>44197</v>
      </c>
      <c r="B324" s="3" t="s">
        <v>12</v>
      </c>
      <c r="C324" s="3" t="s">
        <v>19</v>
      </c>
      <c r="D324" s="3" t="s">
        <v>20</v>
      </c>
      <c r="E324" s="3" t="s">
        <v>21</v>
      </c>
      <c r="F324" s="3">
        <v>61914.175744</v>
      </c>
      <c r="G324" s="3" t="s">
        <v>16</v>
      </c>
      <c r="H324" s="3" t="s">
        <v>17</v>
      </c>
      <c r="I324" s="3">
        <f>IF(C324="India",1,IF(C324="USA",INDEX('Currency Master'!B:B,MATCH(DATE(N324,MONTH(DATEVALUE(O324&amp;" 1")),1),'Currency Master'!A:A,0)),IF(C324="Australia",INDEX('Currency Master'!T:T,MATCH(DATE(N324,MONTH(DATEVALUE(O324&amp;" 1")),1),'Currency Master'!A:A,0)),"")))</f>
        <v>73.120053999999996</v>
      </c>
      <c r="J324" s="3">
        <f t="shared" si="20"/>
        <v>61914.175744</v>
      </c>
      <c r="K324" s="3" t="str">
        <f t="shared" si="21"/>
        <v>₹/Candy</v>
      </c>
      <c r="L324" s="3">
        <v>7.2599999999999998E-2</v>
      </c>
      <c r="M324" s="3"/>
      <c r="N324" s="3">
        <f t="shared" si="22"/>
        <v>2021</v>
      </c>
      <c r="O324" s="3" t="str">
        <f t="shared" si="23"/>
        <v>January</v>
      </c>
      <c r="P324" s="3" t="s">
        <v>22</v>
      </c>
      <c r="Q324" s="3"/>
    </row>
    <row r="325" spans="1:17" hidden="1" x14ac:dyDescent="0.3">
      <c r="A325" s="2">
        <v>44166</v>
      </c>
      <c r="B325" s="3" t="s">
        <v>12</v>
      </c>
      <c r="C325" s="3" t="s">
        <v>19</v>
      </c>
      <c r="D325" s="3" t="s">
        <v>20</v>
      </c>
      <c r="E325" s="3" t="s">
        <v>21</v>
      </c>
      <c r="F325" s="3">
        <v>58315.606703999998</v>
      </c>
      <c r="G325" s="3" t="s">
        <v>16</v>
      </c>
      <c r="H325" s="3" t="s">
        <v>17</v>
      </c>
      <c r="I325" s="3">
        <f>IF(C325="India",1,IF(C325="USA",INDEX('Currency Master'!B:B,MATCH(DATE(N325,MONTH(DATEVALUE(O325&amp;" 1")),1),'Currency Master'!A:A,0)),IF(C325="Australia",INDEX('Currency Master'!T:T,MATCH(DATE(N325,MONTH(DATEVALUE(O325&amp;" 1")),1),'Currency Master'!A:A,0)),"")))</f>
        <v>73.632669000000007</v>
      </c>
      <c r="J325" s="3">
        <f t="shared" si="20"/>
        <v>58315.606703999998</v>
      </c>
      <c r="K325" s="3" t="str">
        <f t="shared" si="21"/>
        <v>₹/Candy</v>
      </c>
      <c r="L325" s="3">
        <v>4.6800000000000001E-2</v>
      </c>
      <c r="M325" s="3"/>
      <c r="N325" s="3">
        <f t="shared" si="22"/>
        <v>2020</v>
      </c>
      <c r="O325" s="3" t="str">
        <f t="shared" si="23"/>
        <v>December</v>
      </c>
      <c r="P325" s="3" t="s">
        <v>22</v>
      </c>
      <c r="Q325" s="3"/>
    </row>
    <row r="326" spans="1:17" hidden="1" x14ac:dyDescent="0.3">
      <c r="A326" s="2">
        <v>44136</v>
      </c>
      <c r="B326" s="3" t="s">
        <v>12</v>
      </c>
      <c r="C326" s="3" t="s">
        <v>19</v>
      </c>
      <c r="D326" s="3" t="s">
        <v>20</v>
      </c>
      <c r="E326" s="3" t="s">
        <v>21</v>
      </c>
      <c r="F326" s="3">
        <v>56666.367639999997</v>
      </c>
      <c r="G326" s="3" t="s">
        <v>16</v>
      </c>
      <c r="H326" s="3" t="s">
        <v>17</v>
      </c>
      <c r="I326" s="3">
        <f>IF(C326="India",1,IF(C326="USA",INDEX('Currency Master'!B:B,MATCH(DATE(N326,MONTH(DATEVALUE(O326&amp;" 1")),1),'Currency Master'!A:A,0)),IF(C326="Australia",INDEX('Currency Master'!T:T,MATCH(DATE(N326,MONTH(DATEVALUE(O326&amp;" 1")),1),'Currency Master'!A:A,0)),"")))</f>
        <v>74.216222999999999</v>
      </c>
      <c r="J326" s="3">
        <f t="shared" si="20"/>
        <v>56666.367639999997</v>
      </c>
      <c r="K326" s="3" t="str">
        <f t="shared" si="21"/>
        <v>₹/Candy</v>
      </c>
      <c r="L326" s="3">
        <v>3.6400000000000002E-2</v>
      </c>
      <c r="M326" s="3"/>
      <c r="N326" s="3">
        <f t="shared" si="22"/>
        <v>2020</v>
      </c>
      <c r="O326" s="3" t="str">
        <f t="shared" si="23"/>
        <v>November</v>
      </c>
      <c r="P326" s="3" t="s">
        <v>22</v>
      </c>
      <c r="Q326" s="3"/>
    </row>
    <row r="327" spans="1:17" hidden="1" x14ac:dyDescent="0.3">
      <c r="A327" s="2">
        <v>44105</v>
      </c>
      <c r="B327" s="3" t="s">
        <v>12</v>
      </c>
      <c r="C327" s="3" t="s">
        <v>19</v>
      </c>
      <c r="D327" s="3" t="s">
        <v>20</v>
      </c>
      <c r="E327" s="3" t="s">
        <v>21</v>
      </c>
      <c r="F327" s="3">
        <v>55292.321559999997</v>
      </c>
      <c r="G327" s="3" t="s">
        <v>16</v>
      </c>
      <c r="H327" s="3" t="s">
        <v>17</v>
      </c>
      <c r="I327" s="3">
        <f>IF(C327="India",1,IF(C327="USA",INDEX('Currency Master'!B:B,MATCH(DATE(N327,MONTH(DATEVALUE(O327&amp;" 1")),1),'Currency Master'!A:A,0)),IF(C327="Australia",INDEX('Currency Master'!T:T,MATCH(DATE(N327,MONTH(DATEVALUE(O327&amp;" 1")),1),'Currency Master'!A:A,0)),"")))</f>
        <v>73.535523999999995</v>
      </c>
      <c r="J327" s="3">
        <f t="shared" si="20"/>
        <v>55292.321559999997</v>
      </c>
      <c r="K327" s="3" t="str">
        <f t="shared" si="21"/>
        <v>₹/Candy</v>
      </c>
      <c r="L327" s="3">
        <v>5.7700000000000001E-2</v>
      </c>
      <c r="M327" s="3"/>
      <c r="N327" s="3">
        <f t="shared" si="22"/>
        <v>2020</v>
      </c>
      <c r="O327" s="3" t="str">
        <f t="shared" si="23"/>
        <v>October</v>
      </c>
      <c r="P327" s="3" t="s">
        <v>22</v>
      </c>
      <c r="Q327" s="3"/>
    </row>
    <row r="328" spans="1:17" hidden="1" x14ac:dyDescent="0.3">
      <c r="A328" s="2">
        <v>44075</v>
      </c>
      <c r="B328" s="3" t="s">
        <v>12</v>
      </c>
      <c r="C328" s="3" t="s">
        <v>19</v>
      </c>
      <c r="D328" s="3" t="s">
        <v>20</v>
      </c>
      <c r="E328" s="3" t="s">
        <v>21</v>
      </c>
      <c r="F328" s="3">
        <v>52057.509760000001</v>
      </c>
      <c r="G328" s="3" t="s">
        <v>16</v>
      </c>
      <c r="H328" s="3" t="s">
        <v>17</v>
      </c>
      <c r="I328" s="3">
        <f>IF(C328="India",1,IF(C328="USA",INDEX('Currency Master'!B:B,MATCH(DATE(N328,MONTH(DATEVALUE(O328&amp;" 1")),1),'Currency Master'!A:A,0)),IF(C328="Australia",INDEX('Currency Master'!T:T,MATCH(DATE(N328,MONTH(DATEVALUE(O328&amp;" 1")),1),'Currency Master'!A:A,0)),"")))</f>
        <v>73.545564999999996</v>
      </c>
      <c r="J328" s="3">
        <f t="shared" si="20"/>
        <v>52057.509760000001</v>
      </c>
      <c r="K328" s="3" t="str">
        <f t="shared" si="21"/>
        <v>₹/Candy</v>
      </c>
      <c r="L328" s="3">
        <v>1.2999999999999999E-2</v>
      </c>
      <c r="M328" s="3"/>
      <c r="N328" s="3">
        <f t="shared" si="22"/>
        <v>2020</v>
      </c>
      <c r="O328" s="3" t="str">
        <f t="shared" si="23"/>
        <v>September</v>
      </c>
      <c r="P328" s="3" t="s">
        <v>22</v>
      </c>
      <c r="Q328" s="3"/>
    </row>
    <row r="329" spans="1:17" hidden="1" x14ac:dyDescent="0.3">
      <c r="A329" s="2">
        <v>44044</v>
      </c>
      <c r="B329" s="3" t="s">
        <v>12</v>
      </c>
      <c r="C329" s="3" t="s">
        <v>19</v>
      </c>
      <c r="D329" s="3" t="s">
        <v>20</v>
      </c>
      <c r="E329" s="3" t="s">
        <v>21</v>
      </c>
      <c r="F329" s="3">
        <v>51296.850255999998</v>
      </c>
      <c r="G329" s="3" t="s">
        <v>16</v>
      </c>
      <c r="H329" s="3" t="s">
        <v>17</v>
      </c>
      <c r="I329" s="3">
        <f>IF(C329="India",1,IF(C329="USA",INDEX('Currency Master'!B:B,MATCH(DATE(N329,MONTH(DATEVALUE(O329&amp;" 1")),1),'Currency Master'!A:A,0)),IF(C329="Australia",INDEX('Currency Master'!T:T,MATCH(DATE(N329,MONTH(DATEVALUE(O329&amp;" 1")),1),'Currency Master'!A:A,0)),"")))</f>
        <v>74.595697000000001</v>
      </c>
      <c r="J329" s="3">
        <f t="shared" si="20"/>
        <v>51296.850255999998</v>
      </c>
      <c r="K329" s="3" t="str">
        <f t="shared" si="21"/>
        <v>₹/Candy</v>
      </c>
      <c r="L329" s="3">
        <v>1.9900000000000001E-2</v>
      </c>
      <c r="M329" s="3"/>
      <c r="N329" s="3">
        <f t="shared" si="22"/>
        <v>2020</v>
      </c>
      <c r="O329" s="3" t="str">
        <f t="shared" si="23"/>
        <v>August</v>
      </c>
      <c r="P329" s="3" t="s">
        <v>22</v>
      </c>
      <c r="Q329" s="3"/>
    </row>
    <row r="330" spans="1:17" hidden="1" x14ac:dyDescent="0.3">
      <c r="A330" s="2">
        <v>44013</v>
      </c>
      <c r="B330" s="3" t="s">
        <v>12</v>
      </c>
      <c r="C330" s="3" t="s">
        <v>19</v>
      </c>
      <c r="D330" s="3" t="s">
        <v>20</v>
      </c>
      <c r="E330" s="3" t="s">
        <v>21</v>
      </c>
      <c r="F330" s="3">
        <v>51419.029455999997</v>
      </c>
      <c r="G330" s="3" t="s">
        <v>16</v>
      </c>
      <c r="H330" s="3" t="s">
        <v>17</v>
      </c>
      <c r="I330" s="3">
        <f>IF(C330="India",1,IF(C330="USA",INDEX('Currency Master'!B:B,MATCH(DATE(N330,MONTH(DATEVALUE(O330&amp;" 1")),1),'Currency Master'!A:A,0)),IF(C330="Australia",INDEX('Currency Master'!T:T,MATCH(DATE(N330,MONTH(DATEVALUE(O330&amp;" 1")),1),'Currency Master'!A:A,0)),"")))</f>
        <v>74.922385000000006</v>
      </c>
      <c r="J330" s="3">
        <f t="shared" si="20"/>
        <v>51419.029455999997</v>
      </c>
      <c r="K330" s="3" t="str">
        <f t="shared" si="21"/>
        <v>₹/Candy</v>
      </c>
      <c r="L330" s="3">
        <v>1.34E-2</v>
      </c>
      <c r="M330" s="3"/>
      <c r="N330" s="3">
        <f t="shared" si="22"/>
        <v>2020</v>
      </c>
      <c r="O330" s="3" t="str">
        <f t="shared" si="23"/>
        <v>July</v>
      </c>
      <c r="P330" s="3" t="s">
        <v>22</v>
      </c>
      <c r="Q330" s="3"/>
    </row>
    <row r="331" spans="1:17" hidden="1" x14ac:dyDescent="0.3">
      <c r="A331" s="2">
        <v>43983</v>
      </c>
      <c r="B331" s="3" t="s">
        <v>12</v>
      </c>
      <c r="C331" s="3" t="s">
        <v>19</v>
      </c>
      <c r="D331" s="3" t="s">
        <v>20</v>
      </c>
      <c r="E331" s="3" t="s">
        <v>21</v>
      </c>
      <c r="F331" s="3">
        <v>51196.381359999999</v>
      </c>
      <c r="G331" s="3" t="s">
        <v>16</v>
      </c>
      <c r="H331" s="3" t="s">
        <v>17</v>
      </c>
      <c r="I331" s="3">
        <f>IF(C331="India",1,IF(C331="USA",INDEX('Currency Master'!B:B,MATCH(DATE(N331,MONTH(DATEVALUE(O331&amp;" 1")),1),'Currency Master'!A:A,0)),IF(C331="Australia",INDEX('Currency Master'!T:T,MATCH(DATE(N331,MONTH(DATEVALUE(O331&amp;" 1")),1),'Currency Master'!A:A,0)),"")))</f>
        <v>75.721254000000002</v>
      </c>
      <c r="J331" s="3">
        <f t="shared" si="20"/>
        <v>51196.381359999999</v>
      </c>
      <c r="K331" s="3" t="str">
        <f t="shared" si="21"/>
        <v>₹/Candy</v>
      </c>
      <c r="L331" s="3">
        <v>2.76E-2</v>
      </c>
      <c r="M331" s="3"/>
      <c r="N331" s="3">
        <f t="shared" si="22"/>
        <v>2020</v>
      </c>
      <c r="O331" s="3" t="str">
        <f t="shared" si="23"/>
        <v>June</v>
      </c>
      <c r="P331" s="3" t="s">
        <v>22</v>
      </c>
      <c r="Q331" s="3"/>
    </row>
    <row r="332" spans="1:17" hidden="1" x14ac:dyDescent="0.3">
      <c r="A332" s="2">
        <v>43952</v>
      </c>
      <c r="B332" s="3" t="s">
        <v>12</v>
      </c>
      <c r="C332" s="3" t="s">
        <v>19</v>
      </c>
      <c r="D332" s="3" t="s">
        <v>20</v>
      </c>
      <c r="E332" s="3" t="s">
        <v>21</v>
      </c>
      <c r="F332" s="3">
        <v>50041.513800000001</v>
      </c>
      <c r="G332" s="3" t="s">
        <v>16</v>
      </c>
      <c r="H332" s="3" t="s">
        <v>17</v>
      </c>
      <c r="I332" s="3">
        <f>IF(C332="India",1,IF(C332="USA",INDEX('Currency Master'!B:B,MATCH(DATE(N332,MONTH(DATEVALUE(O332&amp;" 1")),1),'Currency Master'!A:A,0)),IF(C332="Australia",INDEX('Currency Master'!T:T,MATCH(DATE(N332,MONTH(DATEVALUE(O332&amp;" 1")),1),'Currency Master'!A:A,0)),"")))</f>
        <v>75.674092999999999</v>
      </c>
      <c r="J332" s="3">
        <f t="shared" si="20"/>
        <v>50041.513800000001</v>
      </c>
      <c r="K332" s="3" t="str">
        <f t="shared" si="21"/>
        <v>₹/Candy</v>
      </c>
      <c r="L332" s="3">
        <v>3.5700000000000003E-2</v>
      </c>
      <c r="M332" s="3"/>
      <c r="N332" s="3">
        <f t="shared" si="22"/>
        <v>2020</v>
      </c>
      <c r="O332" s="3" t="str">
        <f t="shared" si="23"/>
        <v>May</v>
      </c>
      <c r="P332" s="3" t="s">
        <v>22</v>
      </c>
      <c r="Q332" s="3"/>
    </row>
    <row r="333" spans="1:17" hidden="1" x14ac:dyDescent="0.3">
      <c r="A333" s="2">
        <v>43922</v>
      </c>
      <c r="B333" s="3" t="s">
        <v>12</v>
      </c>
      <c r="C333" s="3" t="s">
        <v>19</v>
      </c>
      <c r="D333" s="3" t="s">
        <v>20</v>
      </c>
      <c r="E333" s="3" t="s">
        <v>21</v>
      </c>
      <c r="F333" s="3">
        <v>48280.214480000002</v>
      </c>
      <c r="G333" s="3" t="s">
        <v>16</v>
      </c>
      <c r="H333" s="3" t="s">
        <v>17</v>
      </c>
      <c r="I333" s="3">
        <f>IF(C333="India",1,IF(C333="USA",INDEX('Currency Master'!B:B,MATCH(DATE(N333,MONTH(DATEVALUE(O333&amp;" 1")),1),'Currency Master'!A:A,0)),IF(C333="Australia",INDEX('Currency Master'!T:T,MATCH(DATE(N333,MONTH(DATEVALUE(O333&amp;" 1")),1),'Currency Master'!A:A,0)),"")))</f>
        <v>76.217590000000001</v>
      </c>
      <c r="J333" s="3">
        <f t="shared" si="20"/>
        <v>48280.214480000002</v>
      </c>
      <c r="K333" s="3" t="str">
        <f t="shared" si="21"/>
        <v>₹/Candy</v>
      </c>
      <c r="L333" s="3">
        <v>-6.0400000000000002E-2</v>
      </c>
      <c r="M333" s="3"/>
      <c r="N333" s="3">
        <f t="shared" si="22"/>
        <v>2020</v>
      </c>
      <c r="O333" s="3" t="str">
        <f t="shared" si="23"/>
        <v>April</v>
      </c>
      <c r="P333" s="3" t="s">
        <v>22</v>
      </c>
      <c r="Q333" s="3"/>
    </row>
    <row r="334" spans="1:17" hidden="1" x14ac:dyDescent="0.3">
      <c r="A334" s="2">
        <v>43891</v>
      </c>
      <c r="B334" s="3" t="s">
        <v>12</v>
      </c>
      <c r="C334" s="3" t="s">
        <v>19</v>
      </c>
      <c r="D334" s="3" t="s">
        <v>20</v>
      </c>
      <c r="E334" s="3" t="s">
        <v>21</v>
      </c>
      <c r="F334" s="3">
        <v>51075.600171999999</v>
      </c>
      <c r="G334" s="3" t="s">
        <v>16</v>
      </c>
      <c r="H334" s="3" t="s">
        <v>17</v>
      </c>
      <c r="I334" s="3">
        <f>IF(C334="India",1,IF(C334="USA",INDEX('Currency Master'!B:B,MATCH(DATE(N334,MONTH(DATEVALUE(O334&amp;" 1")),1),'Currency Master'!A:A,0)),IF(C334="Australia",INDEX('Currency Master'!T:T,MATCH(DATE(N334,MONTH(DATEVALUE(O334&amp;" 1")),1),'Currency Master'!A:A,0)),"")))</f>
        <v>74.526435000000006</v>
      </c>
      <c r="J334" s="3">
        <f t="shared" si="20"/>
        <v>51075.600171999999</v>
      </c>
      <c r="K334" s="3" t="str">
        <f t="shared" si="21"/>
        <v>₹/Candy</v>
      </c>
      <c r="L334" s="3">
        <v>-0.1183</v>
      </c>
      <c r="M334" s="3"/>
      <c r="N334" s="3">
        <f t="shared" si="22"/>
        <v>2020</v>
      </c>
      <c r="O334" s="3" t="str">
        <f t="shared" si="23"/>
        <v>March</v>
      </c>
      <c r="P334" s="3" t="s">
        <v>22</v>
      </c>
      <c r="Q334" s="3"/>
    </row>
    <row r="335" spans="1:17" hidden="1" x14ac:dyDescent="0.3">
      <c r="A335" s="2">
        <v>43862</v>
      </c>
      <c r="B335" s="3" t="s">
        <v>12</v>
      </c>
      <c r="C335" s="3" t="s">
        <v>19</v>
      </c>
      <c r="D335" s="3" t="s">
        <v>20</v>
      </c>
      <c r="E335" s="3" t="s">
        <v>21</v>
      </c>
      <c r="F335" s="3">
        <v>55123.291336000002</v>
      </c>
      <c r="G335" s="3" t="s">
        <v>16</v>
      </c>
      <c r="H335" s="3" t="s">
        <v>17</v>
      </c>
      <c r="I335" s="3">
        <f>IF(C335="India",1,IF(C335="USA",INDEX('Currency Master'!B:B,MATCH(DATE(N335,MONTH(DATEVALUE(O335&amp;" 1")),1),'Currency Master'!A:A,0)),IF(C335="Australia",INDEX('Currency Master'!T:T,MATCH(DATE(N335,MONTH(DATEVALUE(O335&amp;" 1")),1),'Currency Master'!A:A,0)),"")))</f>
        <v>71.510946000000004</v>
      </c>
      <c r="J335" s="3">
        <f t="shared" si="20"/>
        <v>55123.291336000002</v>
      </c>
      <c r="K335" s="3" t="str">
        <f t="shared" si="21"/>
        <v>₹/Candy</v>
      </c>
      <c r="L335" s="3">
        <v>-2.87E-2</v>
      </c>
      <c r="M335" s="3"/>
      <c r="N335" s="3">
        <f t="shared" si="22"/>
        <v>2020</v>
      </c>
      <c r="O335" s="3" t="str">
        <f t="shared" si="23"/>
        <v>February</v>
      </c>
      <c r="P335" s="3" t="s">
        <v>22</v>
      </c>
      <c r="Q335" s="3"/>
    </row>
    <row r="336" spans="1:17" hidden="1" x14ac:dyDescent="0.3">
      <c r="A336" s="2">
        <v>43831</v>
      </c>
      <c r="B336" s="3" t="s">
        <v>12</v>
      </c>
      <c r="C336" s="3" t="s">
        <v>19</v>
      </c>
      <c r="D336" s="3" t="s">
        <v>20</v>
      </c>
      <c r="E336" s="3" t="s">
        <v>21</v>
      </c>
      <c r="F336" s="3">
        <v>55866.211360000001</v>
      </c>
      <c r="G336" s="3" t="s">
        <v>16</v>
      </c>
      <c r="H336" s="3" t="s">
        <v>17</v>
      </c>
      <c r="I336" s="3">
        <f>IF(C336="India",1,IF(C336="USA",INDEX('Currency Master'!B:B,MATCH(DATE(N336,MONTH(DATEVALUE(O336&amp;" 1")),1),'Currency Master'!A:A,0)),IF(C336="Australia",INDEX('Currency Master'!T:T,MATCH(DATE(N336,MONTH(DATEVALUE(O336&amp;" 1")),1),'Currency Master'!A:A,0)),"")))</f>
        <v>71.289604999999995</v>
      </c>
      <c r="J336" s="3">
        <f t="shared" si="20"/>
        <v>55866.211360000001</v>
      </c>
      <c r="K336" s="3" t="str">
        <f t="shared" si="21"/>
        <v>₹/Candy</v>
      </c>
      <c r="L336" s="3">
        <v>4.19E-2</v>
      </c>
      <c r="M336" s="3"/>
      <c r="N336" s="3">
        <f t="shared" si="22"/>
        <v>2020</v>
      </c>
      <c r="O336" s="3" t="str">
        <f t="shared" si="23"/>
        <v>January</v>
      </c>
      <c r="P336" s="3" t="s">
        <v>22</v>
      </c>
      <c r="Q336" s="3"/>
    </row>
    <row r="337" spans="1:17" hidden="1" x14ac:dyDescent="0.3">
      <c r="A337" s="2">
        <v>43800</v>
      </c>
      <c r="B337" s="3" t="s">
        <v>12</v>
      </c>
      <c r="C337" s="3" t="s">
        <v>19</v>
      </c>
      <c r="D337" s="3" t="s">
        <v>20</v>
      </c>
      <c r="E337" s="3" t="s">
        <v>21</v>
      </c>
      <c r="F337" s="3">
        <v>53780.902199999997</v>
      </c>
      <c r="G337" s="3" t="s">
        <v>16</v>
      </c>
      <c r="H337" s="3" t="s">
        <v>17</v>
      </c>
      <c r="I337" s="3">
        <f>IF(C337="India",1,IF(C337="USA",INDEX('Currency Master'!B:B,MATCH(DATE(N337,MONTH(DATEVALUE(O337&amp;" 1")),1),'Currency Master'!A:A,0)),IF(C337="Australia",INDEX('Currency Master'!T:T,MATCH(DATE(N337,MONTH(DATEVALUE(O337&amp;" 1")),1),'Currency Master'!A:A,0)),"")))</f>
        <v>71.183558000000005</v>
      </c>
      <c r="J337" s="3">
        <f t="shared" si="20"/>
        <v>53780.902199999997</v>
      </c>
      <c r="K337" s="3" t="str">
        <f t="shared" si="21"/>
        <v>₹/Candy</v>
      </c>
      <c r="L337" s="3">
        <v>1.21E-2</v>
      </c>
      <c r="M337" s="3"/>
      <c r="N337" s="3">
        <f t="shared" si="22"/>
        <v>2019</v>
      </c>
      <c r="O337" s="3" t="str">
        <f t="shared" si="23"/>
        <v>December</v>
      </c>
      <c r="P337" s="3" t="s">
        <v>22</v>
      </c>
      <c r="Q337" s="3"/>
    </row>
    <row r="338" spans="1:17" hidden="1" x14ac:dyDescent="0.3">
      <c r="A338" s="2">
        <v>43770</v>
      </c>
      <c r="B338" s="3" t="s">
        <v>12</v>
      </c>
      <c r="C338" s="3" t="s">
        <v>19</v>
      </c>
      <c r="D338" s="3" t="s">
        <v>20</v>
      </c>
      <c r="E338" s="3" t="s">
        <v>21</v>
      </c>
      <c r="F338" s="3">
        <v>53477.960440000003</v>
      </c>
      <c r="G338" s="3" t="s">
        <v>16</v>
      </c>
      <c r="H338" s="3" t="s">
        <v>17</v>
      </c>
      <c r="I338" s="3">
        <f>IF(C338="India",1,IF(C338="USA",INDEX('Currency Master'!B:B,MATCH(DATE(N338,MONTH(DATEVALUE(O338&amp;" 1")),1),'Currency Master'!A:A,0)),IF(C338="Australia",INDEX('Currency Master'!T:T,MATCH(DATE(N338,MONTH(DATEVALUE(O338&amp;" 1")),1),'Currency Master'!A:A,0)),"")))</f>
        <v>71.470119999999994</v>
      </c>
      <c r="J338" s="3">
        <f t="shared" si="20"/>
        <v>53477.960440000003</v>
      </c>
      <c r="K338" s="3" t="str">
        <f t="shared" si="21"/>
        <v>₹/Candy</v>
      </c>
      <c r="L338" s="3">
        <v>1.23E-2</v>
      </c>
      <c r="M338" s="3"/>
      <c r="N338" s="3">
        <f t="shared" si="22"/>
        <v>2019</v>
      </c>
      <c r="O338" s="3" t="str">
        <f t="shared" si="23"/>
        <v>November</v>
      </c>
      <c r="P338" s="3" t="s">
        <v>22</v>
      </c>
      <c r="Q338" s="3"/>
    </row>
    <row r="339" spans="1:17" hidden="1" x14ac:dyDescent="0.3">
      <c r="A339" s="2">
        <v>43739</v>
      </c>
      <c r="B339" s="3" t="s">
        <v>12</v>
      </c>
      <c r="C339" s="3" t="s">
        <v>19</v>
      </c>
      <c r="D339" s="3" t="s">
        <v>20</v>
      </c>
      <c r="E339" s="3" t="s">
        <v>21</v>
      </c>
      <c r="F339" s="3">
        <v>52425.825224</v>
      </c>
      <c r="G339" s="3" t="s">
        <v>16</v>
      </c>
      <c r="H339" s="3" t="s">
        <v>17</v>
      </c>
      <c r="I339" s="3">
        <f>IF(C339="India",1,IF(C339="USA",INDEX('Currency Master'!B:B,MATCH(DATE(N339,MONTH(DATEVALUE(O339&amp;" 1")),1),'Currency Master'!A:A,0)),IF(C339="Australia",INDEX('Currency Master'!T:T,MATCH(DATE(N339,MONTH(DATEVALUE(O339&amp;" 1")),1),'Currency Master'!A:A,0)),"")))</f>
        <v>71.040744000000004</v>
      </c>
      <c r="J339" s="3">
        <f t="shared" si="20"/>
        <v>52425.825224</v>
      </c>
      <c r="K339" s="3" t="str">
        <f t="shared" si="21"/>
        <v>₹/Candy</v>
      </c>
      <c r="L339" s="3">
        <v>3.8199999999999998E-2</v>
      </c>
      <c r="M339" s="3"/>
      <c r="N339" s="3">
        <f t="shared" si="22"/>
        <v>2019</v>
      </c>
      <c r="O339" s="3" t="str">
        <f t="shared" si="23"/>
        <v>October</v>
      </c>
      <c r="P339" s="3" t="s">
        <v>22</v>
      </c>
      <c r="Q339" s="3"/>
    </row>
    <row r="340" spans="1:17" hidden="1" x14ac:dyDescent="0.3">
      <c r="A340" s="2">
        <v>43709</v>
      </c>
      <c r="B340" s="3" t="s">
        <v>12</v>
      </c>
      <c r="C340" s="3" t="s">
        <v>19</v>
      </c>
      <c r="D340" s="3" t="s">
        <v>20</v>
      </c>
      <c r="E340" s="3" t="s">
        <v>21</v>
      </c>
      <c r="F340" s="3">
        <v>50550.319680000001</v>
      </c>
      <c r="G340" s="3" t="s">
        <v>16</v>
      </c>
      <c r="H340" s="3" t="s">
        <v>17</v>
      </c>
      <c r="I340" s="3">
        <f>IF(C340="India",1,IF(C340="USA",INDEX('Currency Master'!B:B,MATCH(DATE(N340,MONTH(DATEVALUE(O340&amp;" 1")),1),'Currency Master'!A:A,0)),IF(C340="Australia",INDEX('Currency Master'!T:T,MATCH(DATE(N340,MONTH(DATEVALUE(O340&amp;" 1")),1),'Currency Master'!A:A,0)),"")))</f>
        <v>71.399432000000004</v>
      </c>
      <c r="J340" s="3">
        <f t="shared" si="20"/>
        <v>50550.319680000001</v>
      </c>
      <c r="K340" s="3" t="str">
        <f t="shared" si="21"/>
        <v>₹/Candy</v>
      </c>
      <c r="L340" s="3">
        <v>6.4000000000000003E-3</v>
      </c>
      <c r="M340" s="3"/>
      <c r="N340" s="3">
        <f t="shared" si="22"/>
        <v>2019</v>
      </c>
      <c r="O340" s="3" t="str">
        <f t="shared" si="23"/>
        <v>September</v>
      </c>
      <c r="P340" s="3" t="s">
        <v>22</v>
      </c>
      <c r="Q340" s="3"/>
    </row>
    <row r="341" spans="1:17" hidden="1" x14ac:dyDescent="0.3">
      <c r="A341" s="2">
        <v>43678</v>
      </c>
      <c r="B341" s="3" t="s">
        <v>12</v>
      </c>
      <c r="C341" s="3" t="s">
        <v>19</v>
      </c>
      <c r="D341" s="3" t="s">
        <v>20</v>
      </c>
      <c r="E341" s="3" t="s">
        <v>21</v>
      </c>
      <c r="F341" s="3">
        <v>50769.130096000001</v>
      </c>
      <c r="G341" s="3" t="s">
        <v>16</v>
      </c>
      <c r="H341" s="3" t="s">
        <v>17</v>
      </c>
      <c r="I341" s="3">
        <f>IF(C341="India",1,IF(C341="USA",INDEX('Currency Master'!B:B,MATCH(DATE(N341,MONTH(DATEVALUE(O341&amp;" 1")),1),'Currency Master'!A:A,0)),IF(C341="Australia",INDEX('Currency Master'!T:T,MATCH(DATE(N341,MONTH(DATEVALUE(O341&amp;" 1")),1),'Currency Master'!A:A,0)),"")))</f>
        <v>71.174543</v>
      </c>
      <c r="J341" s="3">
        <f t="shared" si="20"/>
        <v>50769.130096000001</v>
      </c>
      <c r="K341" s="3" t="str">
        <f t="shared" si="21"/>
        <v>₹/Candy</v>
      </c>
      <c r="L341" s="3">
        <v>-6.59E-2</v>
      </c>
      <c r="M341" s="3"/>
      <c r="N341" s="3">
        <f t="shared" si="22"/>
        <v>2019</v>
      </c>
      <c r="O341" s="3" t="str">
        <f t="shared" si="23"/>
        <v>August</v>
      </c>
      <c r="P341" s="3" t="s">
        <v>22</v>
      </c>
      <c r="Q341" s="3"/>
    </row>
    <row r="342" spans="1:17" hidden="1" x14ac:dyDescent="0.3">
      <c r="A342" s="2">
        <v>43647</v>
      </c>
      <c r="B342" s="3" t="s">
        <v>12</v>
      </c>
      <c r="C342" s="3" t="s">
        <v>19</v>
      </c>
      <c r="D342" s="3" t="s">
        <v>20</v>
      </c>
      <c r="E342" s="3" t="s">
        <v>21</v>
      </c>
      <c r="F342" s="3">
        <v>52152.511919999997</v>
      </c>
      <c r="G342" s="3" t="s">
        <v>16</v>
      </c>
      <c r="H342" s="3" t="s">
        <v>17</v>
      </c>
      <c r="I342" s="3">
        <f>IF(C342="India",1,IF(C342="USA",INDEX('Currency Master'!B:B,MATCH(DATE(N342,MONTH(DATEVALUE(O342&amp;" 1")),1),'Currency Master'!A:A,0)),IF(C342="Australia",INDEX('Currency Master'!T:T,MATCH(DATE(N342,MONTH(DATEVALUE(O342&amp;" 1")),1),'Currency Master'!A:A,0)),"")))</f>
        <v>68.751615999999999</v>
      </c>
      <c r="J342" s="3">
        <f t="shared" si="20"/>
        <v>52152.511919999997</v>
      </c>
      <c r="K342" s="3" t="str">
        <f t="shared" si="21"/>
        <v>₹/Candy</v>
      </c>
      <c r="L342" s="3">
        <v>-2.3400000000000001E-2</v>
      </c>
      <c r="M342" s="3"/>
      <c r="N342" s="3">
        <f t="shared" si="22"/>
        <v>2019</v>
      </c>
      <c r="O342" s="3" t="str">
        <f t="shared" si="23"/>
        <v>July</v>
      </c>
      <c r="P342" s="3" t="s">
        <v>22</v>
      </c>
      <c r="Q342" s="3"/>
    </row>
    <row r="343" spans="1:17" hidden="1" x14ac:dyDescent="0.3">
      <c r="A343" s="2">
        <v>43617</v>
      </c>
      <c r="B343" s="3" t="s">
        <v>12</v>
      </c>
      <c r="C343" s="3" t="s">
        <v>19</v>
      </c>
      <c r="D343" s="3" t="s">
        <v>20</v>
      </c>
      <c r="E343" s="3" t="s">
        <v>21</v>
      </c>
      <c r="F343" s="3">
        <v>53284.705840000002</v>
      </c>
      <c r="G343" s="3" t="s">
        <v>16</v>
      </c>
      <c r="H343" s="3" t="s">
        <v>17</v>
      </c>
      <c r="I343" s="3">
        <f>IF(C343="India",1,IF(C343="USA",INDEX('Currency Master'!B:B,MATCH(DATE(N343,MONTH(DATEVALUE(O343&amp;" 1")),1),'Currency Master'!A:A,0)),IF(C343="Australia",INDEX('Currency Master'!T:T,MATCH(DATE(N343,MONTH(DATEVALUE(O343&amp;" 1")),1),'Currency Master'!A:A,0)),"")))</f>
        <v>69.428644000000006</v>
      </c>
      <c r="J343" s="3">
        <f t="shared" si="20"/>
        <v>53284.705840000002</v>
      </c>
      <c r="K343" s="3" t="str">
        <f t="shared" si="21"/>
        <v>₹/Candy</v>
      </c>
      <c r="L343" s="3">
        <v>-3.39E-2</v>
      </c>
      <c r="M343" s="3"/>
      <c r="N343" s="3">
        <f t="shared" si="22"/>
        <v>2019</v>
      </c>
      <c r="O343" s="3" t="str">
        <f t="shared" si="23"/>
        <v>June</v>
      </c>
      <c r="P343" s="3" t="s">
        <v>22</v>
      </c>
      <c r="Q343" s="3"/>
    </row>
    <row r="344" spans="1:17" hidden="1" x14ac:dyDescent="0.3">
      <c r="A344" s="2">
        <v>43586</v>
      </c>
      <c r="B344" s="3" t="s">
        <v>12</v>
      </c>
      <c r="C344" s="3" t="s">
        <v>19</v>
      </c>
      <c r="D344" s="3" t="s">
        <v>20</v>
      </c>
      <c r="E344" s="3" t="s">
        <v>21</v>
      </c>
      <c r="F344" s="3">
        <v>55341.193240000001</v>
      </c>
      <c r="G344" s="3" t="s">
        <v>16</v>
      </c>
      <c r="H344" s="3" t="s">
        <v>17</v>
      </c>
      <c r="I344" s="3">
        <f>IF(C344="India",1,IF(C344="USA",INDEX('Currency Master'!B:B,MATCH(DATE(N344,MONTH(DATEVALUE(O344&amp;" 1")),1),'Currency Master'!A:A,0)),IF(C344="Australia",INDEX('Currency Master'!T:T,MATCH(DATE(N344,MONTH(DATEVALUE(O344&amp;" 1")),1),'Currency Master'!A:A,0)),"")))</f>
        <v>69.809849999999997</v>
      </c>
      <c r="J344" s="3">
        <f t="shared" si="20"/>
        <v>55341.193240000001</v>
      </c>
      <c r="K344" s="3" t="str">
        <f t="shared" si="21"/>
        <v>₹/Candy</v>
      </c>
      <c r="L344" s="3">
        <v>-7.8100000000000003E-2</v>
      </c>
      <c r="M344" s="3"/>
      <c r="N344" s="3">
        <f t="shared" si="22"/>
        <v>2019</v>
      </c>
      <c r="O344" s="3" t="str">
        <f t="shared" si="23"/>
        <v>May</v>
      </c>
      <c r="P344" s="3" t="s">
        <v>22</v>
      </c>
      <c r="Q344" s="3"/>
    </row>
    <row r="345" spans="1:17" hidden="1" x14ac:dyDescent="0.3">
      <c r="A345" s="2">
        <v>43556</v>
      </c>
      <c r="B345" s="3" t="s">
        <v>12</v>
      </c>
      <c r="C345" s="3" t="s">
        <v>19</v>
      </c>
      <c r="D345" s="3" t="s">
        <v>20</v>
      </c>
      <c r="E345" s="3" t="s">
        <v>21</v>
      </c>
      <c r="F345" s="3">
        <v>59477.358591999997</v>
      </c>
      <c r="G345" s="3" t="s">
        <v>16</v>
      </c>
      <c r="H345" s="3" t="s">
        <v>17</v>
      </c>
      <c r="I345" s="3">
        <f>IF(C345="India",1,IF(C345="USA",INDEX('Currency Master'!B:B,MATCH(DATE(N345,MONTH(DATEVALUE(O345&amp;" 1")),1),'Currency Master'!A:A,0)),IF(C345="Australia",INDEX('Currency Master'!T:T,MATCH(DATE(N345,MONTH(DATEVALUE(O345&amp;" 1")),1),'Currency Master'!A:A,0)),"")))</f>
        <v>69.409238999999999</v>
      </c>
      <c r="J345" s="3">
        <f t="shared" si="20"/>
        <v>59477.358591999997</v>
      </c>
      <c r="K345" s="3" t="str">
        <f t="shared" si="21"/>
        <v>₹/Candy</v>
      </c>
      <c r="L345" s="3">
        <v>3.78E-2</v>
      </c>
      <c r="M345" s="3"/>
      <c r="N345" s="3">
        <f t="shared" si="22"/>
        <v>2019</v>
      </c>
      <c r="O345" s="3" t="str">
        <f t="shared" si="23"/>
        <v>April</v>
      </c>
      <c r="P345" s="3" t="s">
        <v>22</v>
      </c>
      <c r="Q345" s="3"/>
    </row>
    <row r="346" spans="1:17" hidden="1" x14ac:dyDescent="0.3">
      <c r="A346" s="2">
        <v>43525</v>
      </c>
      <c r="B346" s="3" t="s">
        <v>12</v>
      </c>
      <c r="C346" s="3" t="s">
        <v>19</v>
      </c>
      <c r="D346" s="3" t="s">
        <v>20</v>
      </c>
      <c r="E346" s="3" t="s">
        <v>21</v>
      </c>
      <c r="F346" s="3">
        <v>57238.142800000001</v>
      </c>
      <c r="G346" s="3" t="s">
        <v>16</v>
      </c>
      <c r="H346" s="3" t="s">
        <v>17</v>
      </c>
      <c r="I346" s="3">
        <f>IF(C346="India",1,IF(C346="USA",INDEX('Currency Master'!B:B,MATCH(DATE(N346,MONTH(DATEVALUE(O346&amp;" 1")),1),'Currency Master'!A:A,0)),IF(C346="Australia",INDEX('Currency Master'!T:T,MATCH(DATE(N346,MONTH(DATEVALUE(O346&amp;" 1")),1),'Currency Master'!A:A,0)),"")))</f>
        <v>69.507559999999998</v>
      </c>
      <c r="J346" s="3">
        <f t="shared" si="20"/>
        <v>57238.142800000001</v>
      </c>
      <c r="K346" s="3" t="str">
        <f t="shared" si="21"/>
        <v>₹/Candy</v>
      </c>
      <c r="L346" s="3">
        <v>3.3500000000000002E-2</v>
      </c>
      <c r="M346" s="3"/>
      <c r="N346" s="3">
        <f t="shared" si="22"/>
        <v>2019</v>
      </c>
      <c r="O346" s="3" t="str">
        <f t="shared" si="23"/>
        <v>March</v>
      </c>
      <c r="P346" s="3" t="s">
        <v>22</v>
      </c>
      <c r="Q346" s="3"/>
    </row>
    <row r="347" spans="1:17" hidden="1" x14ac:dyDescent="0.3">
      <c r="A347" s="2">
        <v>43497</v>
      </c>
      <c r="B347" s="3" t="s">
        <v>12</v>
      </c>
      <c r="C347" s="3" t="s">
        <v>19</v>
      </c>
      <c r="D347" s="3" t="s">
        <v>20</v>
      </c>
      <c r="E347" s="3" t="s">
        <v>21</v>
      </c>
      <c r="F347" s="3">
        <v>56769.280120000003</v>
      </c>
      <c r="G347" s="3" t="s">
        <v>16</v>
      </c>
      <c r="H347" s="3" t="s">
        <v>17</v>
      </c>
      <c r="I347" s="3">
        <f>IF(C347="India",1,IF(C347="USA",INDEX('Currency Master'!B:B,MATCH(DATE(N347,MONTH(DATEVALUE(O347&amp;" 1")),1),'Currency Master'!A:A,0)),IF(C347="Australia",INDEX('Currency Master'!T:T,MATCH(DATE(N347,MONTH(DATEVALUE(O347&amp;" 1")),1),'Currency Master'!A:A,0)),"")))</f>
        <v>71.234618999999995</v>
      </c>
      <c r="J347" s="3">
        <f t="shared" si="20"/>
        <v>56769.280120000003</v>
      </c>
      <c r="K347" s="3" t="str">
        <f t="shared" si="21"/>
        <v>₹/Candy</v>
      </c>
      <c r="L347" s="3">
        <v>-1.6500000000000001E-2</v>
      </c>
      <c r="M347" s="3"/>
      <c r="N347" s="3">
        <f t="shared" si="22"/>
        <v>2019</v>
      </c>
      <c r="O347" s="3" t="str">
        <f t="shared" si="23"/>
        <v>February</v>
      </c>
      <c r="P347" s="3" t="s">
        <v>22</v>
      </c>
      <c r="Q347" s="3"/>
    </row>
    <row r="348" spans="1:17" hidden="1" x14ac:dyDescent="0.3">
      <c r="A348" s="2">
        <v>43466</v>
      </c>
      <c r="B348" s="3" t="s">
        <v>12</v>
      </c>
      <c r="C348" s="3" t="s">
        <v>19</v>
      </c>
      <c r="D348" s="3" t="s">
        <v>20</v>
      </c>
      <c r="E348" s="3" t="s">
        <v>21</v>
      </c>
      <c r="F348" s="3">
        <v>57686.916400000002</v>
      </c>
      <c r="G348" s="3" t="s">
        <v>16</v>
      </c>
      <c r="H348" s="3" t="s">
        <v>17</v>
      </c>
      <c r="I348" s="3">
        <f>IF(C348="India",1,IF(C348="USA",INDEX('Currency Master'!B:B,MATCH(DATE(N348,MONTH(DATEVALUE(O348&amp;" 1")),1),'Currency Master'!A:A,0)),IF(C348="Australia",INDEX('Currency Master'!T:T,MATCH(DATE(N348,MONTH(DATEVALUE(O348&amp;" 1")),1),'Currency Master'!A:A,0)),"")))</f>
        <v>70.774544000000006</v>
      </c>
      <c r="J348" s="3">
        <f t="shared" si="20"/>
        <v>57686.916400000002</v>
      </c>
      <c r="K348" s="3" t="str">
        <f t="shared" si="21"/>
        <v>₹/Candy</v>
      </c>
      <c r="L348" s="3">
        <v>-4.2099999999999999E-2</v>
      </c>
      <c r="M348" s="3"/>
      <c r="N348" s="3">
        <f t="shared" si="22"/>
        <v>2019</v>
      </c>
      <c r="O348" s="3" t="str">
        <f t="shared" si="23"/>
        <v>January</v>
      </c>
      <c r="P348" s="3" t="s">
        <v>22</v>
      </c>
      <c r="Q348" s="3"/>
    </row>
    <row r="349" spans="1:17" hidden="1" x14ac:dyDescent="0.3">
      <c r="A349" s="2">
        <v>43435</v>
      </c>
      <c r="B349" s="3" t="s">
        <v>12</v>
      </c>
      <c r="C349" s="3" t="s">
        <v>19</v>
      </c>
      <c r="D349" s="3" t="s">
        <v>20</v>
      </c>
      <c r="E349" s="3" t="s">
        <v>21</v>
      </c>
      <c r="F349" s="3">
        <v>58875.422400000003</v>
      </c>
      <c r="G349" s="3" t="s">
        <v>16</v>
      </c>
      <c r="H349" s="3" t="s">
        <v>17</v>
      </c>
      <c r="I349" s="3">
        <f>IF(C349="India",1,IF(C349="USA",INDEX('Currency Master'!B:B,MATCH(DATE(N349,MONTH(DATEVALUE(O349&amp;" 1")),1),'Currency Master'!A:A,0)),IF(C349="Australia",INDEX('Currency Master'!T:T,MATCH(DATE(N349,MONTH(DATEVALUE(O349&amp;" 1")),1),'Currency Master'!A:A,0)),"")))</f>
        <v>70.816106000000005</v>
      </c>
      <c r="J349" s="3">
        <f t="shared" si="20"/>
        <v>58875.422400000003</v>
      </c>
      <c r="K349" s="3" t="str">
        <f t="shared" si="21"/>
        <v>₹/Candy</v>
      </c>
      <c r="L349" s="3">
        <v>-5.1999999999999998E-3</v>
      </c>
      <c r="M349" s="3"/>
      <c r="N349" s="3">
        <f t="shared" si="22"/>
        <v>2018</v>
      </c>
      <c r="O349" s="3" t="str">
        <f t="shared" si="23"/>
        <v>December</v>
      </c>
      <c r="P349" s="3" t="s">
        <v>22</v>
      </c>
      <c r="Q349" s="3"/>
    </row>
    <row r="350" spans="1:17" hidden="1" x14ac:dyDescent="0.3">
      <c r="A350" s="2">
        <v>43405</v>
      </c>
      <c r="B350" s="3" t="s">
        <v>12</v>
      </c>
      <c r="C350" s="3" t="s">
        <v>19</v>
      </c>
      <c r="D350" s="3" t="s">
        <v>20</v>
      </c>
      <c r="E350" s="3" t="s">
        <v>21</v>
      </c>
      <c r="F350" s="3">
        <v>59207.655839999999</v>
      </c>
      <c r="G350" s="3" t="s">
        <v>16</v>
      </c>
      <c r="H350" s="3" t="s">
        <v>17</v>
      </c>
      <c r="I350" s="3">
        <f>IF(C350="India",1,IF(C350="USA",INDEX('Currency Master'!B:B,MATCH(DATE(N350,MONTH(DATEVALUE(O350&amp;" 1")),1),'Currency Master'!A:A,0)),IF(C350="Australia",INDEX('Currency Master'!T:T,MATCH(DATE(N350,MONTH(DATEVALUE(O350&amp;" 1")),1),'Currency Master'!A:A,0)),"")))</f>
        <v>71.753184000000005</v>
      </c>
      <c r="J350" s="3">
        <f t="shared" si="20"/>
        <v>59207.655839999999</v>
      </c>
      <c r="K350" s="3" t="str">
        <f t="shared" si="21"/>
        <v>₹/Candy</v>
      </c>
      <c r="L350" s="3">
        <v>0</v>
      </c>
      <c r="M350" s="3"/>
      <c r="N350" s="3">
        <f t="shared" si="22"/>
        <v>2018</v>
      </c>
      <c r="O350" s="3" t="str">
        <f t="shared" si="23"/>
        <v>November</v>
      </c>
      <c r="P350" s="3" t="s">
        <v>22</v>
      </c>
      <c r="Q350" s="3"/>
    </row>
    <row r="351" spans="1:17" hidden="1" x14ac:dyDescent="0.3">
      <c r="A351" s="2">
        <v>43374</v>
      </c>
      <c r="B351" s="3" t="s">
        <v>12</v>
      </c>
      <c r="C351" s="3" t="s">
        <v>19</v>
      </c>
      <c r="D351" s="3" t="s">
        <v>20</v>
      </c>
      <c r="E351" s="3" t="s">
        <v>21</v>
      </c>
      <c r="F351" s="3">
        <v>62431.3462</v>
      </c>
      <c r="G351" s="3" t="s">
        <v>16</v>
      </c>
      <c r="H351" s="3" t="s">
        <v>17</v>
      </c>
      <c r="I351" s="3">
        <f>IF(C351="India",1,IF(C351="USA",INDEX('Currency Master'!B:B,MATCH(DATE(N351,MONTH(DATEVALUE(O351&amp;" 1")),1),'Currency Master'!A:A,0)),IF(C351="Australia",INDEX('Currency Master'!T:T,MATCH(DATE(N351,MONTH(DATEVALUE(O351&amp;" 1")),1),'Currency Master'!A:A,0)),"")))</f>
        <v>73.619440999999995</v>
      </c>
      <c r="J351" s="3">
        <f t="shared" si="20"/>
        <v>62431.3462</v>
      </c>
      <c r="K351" s="3" t="str">
        <f t="shared" si="21"/>
        <v>₹/Candy</v>
      </c>
      <c r="L351" s="3">
        <v>-4.02E-2</v>
      </c>
      <c r="M351" s="3"/>
      <c r="N351" s="3">
        <f t="shared" si="22"/>
        <v>2018</v>
      </c>
      <c r="O351" s="3" t="str">
        <f t="shared" si="23"/>
        <v>October</v>
      </c>
      <c r="P351" s="3" t="s">
        <v>22</v>
      </c>
      <c r="Q351" s="3"/>
    </row>
    <row r="352" spans="1:17" hidden="1" x14ac:dyDescent="0.3">
      <c r="A352" s="2">
        <v>43344</v>
      </c>
      <c r="B352" s="3" t="s">
        <v>12</v>
      </c>
      <c r="C352" s="3" t="s">
        <v>19</v>
      </c>
      <c r="D352" s="3" t="s">
        <v>20</v>
      </c>
      <c r="E352" s="3" t="s">
        <v>21</v>
      </c>
      <c r="F352" s="3">
        <v>63618.09</v>
      </c>
      <c r="G352" s="3" t="s">
        <v>16</v>
      </c>
      <c r="H352" s="3" t="s">
        <v>17</v>
      </c>
      <c r="I352" s="3">
        <f>IF(C352="India",1,IF(C352="USA",INDEX('Currency Master'!B:B,MATCH(DATE(N352,MONTH(DATEVALUE(O352&amp;" 1")),1),'Currency Master'!A:A,0)),IF(C352="Australia",INDEX('Currency Master'!T:T,MATCH(DATE(N352,MONTH(DATEVALUE(O352&amp;" 1")),1),'Currency Master'!A:A,0)),"")))</f>
        <v>72.229001999999994</v>
      </c>
      <c r="J352" s="3">
        <f t="shared" si="20"/>
        <v>63618.09</v>
      </c>
      <c r="K352" s="3" t="str">
        <f t="shared" si="21"/>
        <v>₹/Candy</v>
      </c>
      <c r="L352" s="3">
        <v>-4.3299999999999998E-2</v>
      </c>
      <c r="M352" s="3"/>
      <c r="N352" s="3">
        <f t="shared" si="22"/>
        <v>2018</v>
      </c>
      <c r="O352" s="3" t="str">
        <f t="shared" si="23"/>
        <v>September</v>
      </c>
      <c r="P352" s="3" t="s">
        <v>22</v>
      </c>
      <c r="Q352" s="3"/>
    </row>
    <row r="353" spans="1:17" hidden="1" x14ac:dyDescent="0.3">
      <c r="A353" s="2">
        <v>43313</v>
      </c>
      <c r="B353" s="3" t="s">
        <v>12</v>
      </c>
      <c r="C353" s="3" t="s">
        <v>19</v>
      </c>
      <c r="D353" s="3" t="s">
        <v>20</v>
      </c>
      <c r="E353" s="3" t="s">
        <v>21</v>
      </c>
      <c r="F353" s="3">
        <v>64951.487999999998</v>
      </c>
      <c r="G353" s="3" t="s">
        <v>16</v>
      </c>
      <c r="H353" s="3" t="s">
        <v>17</v>
      </c>
      <c r="I353" s="3">
        <f>IF(C353="India",1,IF(C353="USA",INDEX('Currency Master'!B:B,MATCH(DATE(N353,MONTH(DATEVALUE(O353&amp;" 1")),1),'Currency Master'!A:A,0)),IF(C353="Australia",INDEX('Currency Master'!T:T,MATCH(DATE(N353,MONTH(DATEVALUE(O353&amp;" 1")),1),'Currency Master'!A:A,0)),"")))</f>
        <v>69.639795000000007</v>
      </c>
      <c r="J353" s="3">
        <f t="shared" si="20"/>
        <v>64951.487999999998</v>
      </c>
      <c r="K353" s="3" t="str">
        <f t="shared" si="21"/>
        <v>₹/Candy</v>
      </c>
      <c r="L353" s="3">
        <v>-1.89E-2</v>
      </c>
      <c r="M353" s="3"/>
      <c r="N353" s="3">
        <f t="shared" si="22"/>
        <v>2018</v>
      </c>
      <c r="O353" s="3" t="str">
        <f t="shared" si="23"/>
        <v>August</v>
      </c>
      <c r="P353" s="3" t="s">
        <v>22</v>
      </c>
      <c r="Q353" s="3"/>
    </row>
    <row r="354" spans="1:17" hidden="1" x14ac:dyDescent="0.3">
      <c r="A354" s="2">
        <v>43282</v>
      </c>
      <c r="B354" s="3" t="s">
        <v>12</v>
      </c>
      <c r="C354" s="3" t="s">
        <v>19</v>
      </c>
      <c r="D354" s="3" t="s">
        <v>20</v>
      </c>
      <c r="E354" s="3" t="s">
        <v>21</v>
      </c>
      <c r="F354" s="3">
        <v>63946.642399999997</v>
      </c>
      <c r="G354" s="3" t="s">
        <v>16</v>
      </c>
      <c r="H354" s="3" t="s">
        <v>17</v>
      </c>
      <c r="I354" s="3">
        <f>IF(C354="India",1,IF(C354="USA",INDEX('Currency Master'!B:B,MATCH(DATE(N354,MONTH(DATEVALUE(O354&amp;" 1")),1),'Currency Master'!A:A,0)),IF(C354="Australia",INDEX('Currency Master'!T:T,MATCH(DATE(N354,MONTH(DATEVALUE(O354&amp;" 1")),1),'Currency Master'!A:A,0)),"")))</f>
        <v>68.716033999999993</v>
      </c>
      <c r="J354" s="3">
        <f t="shared" si="20"/>
        <v>63946.642399999997</v>
      </c>
      <c r="K354" s="3" t="str">
        <f t="shared" si="21"/>
        <v>₹/Candy</v>
      </c>
      <c r="L354" s="3">
        <v>-1.4E-2</v>
      </c>
      <c r="M354" s="3"/>
      <c r="N354" s="3">
        <f t="shared" si="22"/>
        <v>2018</v>
      </c>
      <c r="O354" s="3" t="str">
        <f t="shared" si="23"/>
        <v>July</v>
      </c>
      <c r="P354" s="3" t="s">
        <v>22</v>
      </c>
      <c r="Q354" s="3"/>
    </row>
    <row r="355" spans="1:17" hidden="1" x14ac:dyDescent="0.3">
      <c r="A355" s="2">
        <v>43252</v>
      </c>
      <c r="B355" s="3" t="s">
        <v>12</v>
      </c>
      <c r="C355" s="3" t="s">
        <v>19</v>
      </c>
      <c r="D355" s="3" t="s">
        <v>20</v>
      </c>
      <c r="E355" s="3" t="s">
        <v>21</v>
      </c>
      <c r="F355" s="3">
        <v>64750.792999999998</v>
      </c>
      <c r="G355" s="3" t="s">
        <v>16</v>
      </c>
      <c r="H355" s="3" t="s">
        <v>17</v>
      </c>
      <c r="I355" s="3">
        <f>IF(C355="India",1,IF(C355="USA",INDEX('Currency Master'!B:B,MATCH(DATE(N355,MONTH(DATEVALUE(O355&amp;" 1")),1),'Currency Master'!A:A,0)),IF(C355="Australia",INDEX('Currency Master'!T:T,MATCH(DATE(N355,MONTH(DATEVALUE(O355&amp;" 1")),1),'Currency Master'!A:A,0)),"")))</f>
        <v>67.786743000000001</v>
      </c>
      <c r="J355" s="3">
        <f t="shared" si="20"/>
        <v>64750.792999999998</v>
      </c>
      <c r="K355" s="3" t="str">
        <f t="shared" si="21"/>
        <v>₹/Candy</v>
      </c>
      <c r="L355" s="3">
        <v>3.3700000000000001E-2</v>
      </c>
      <c r="M355" s="3"/>
      <c r="N355" s="3">
        <f t="shared" si="22"/>
        <v>2018</v>
      </c>
      <c r="O355" s="3" t="str">
        <f t="shared" si="23"/>
        <v>June</v>
      </c>
      <c r="P355" s="3" t="s">
        <v>22</v>
      </c>
      <c r="Q355" s="3"/>
    </row>
    <row r="356" spans="1:17" hidden="1" x14ac:dyDescent="0.3">
      <c r="A356" s="2">
        <v>43221</v>
      </c>
      <c r="B356" s="3" t="s">
        <v>12</v>
      </c>
      <c r="C356" s="3" t="s">
        <v>19</v>
      </c>
      <c r="D356" s="3" t="s">
        <v>20</v>
      </c>
      <c r="E356" s="3" t="s">
        <v>21</v>
      </c>
      <c r="F356" s="3">
        <v>62035.477760000002</v>
      </c>
      <c r="G356" s="3" t="s">
        <v>16</v>
      </c>
      <c r="H356" s="3" t="s">
        <v>17</v>
      </c>
      <c r="I356" s="3">
        <f>IF(C356="India",1,IF(C356="USA",INDEX('Currency Master'!B:B,MATCH(DATE(N356,MONTH(DATEVALUE(O356&amp;" 1")),1),'Currency Master'!A:A,0)),IF(C356="Australia",INDEX('Currency Master'!T:T,MATCH(DATE(N356,MONTH(DATEVALUE(O356&amp;" 1")),1),'Currency Master'!A:A,0)),"")))</f>
        <v>67.551006999999998</v>
      </c>
      <c r="J356" s="3">
        <f t="shared" si="20"/>
        <v>62035.477760000002</v>
      </c>
      <c r="K356" s="3" t="str">
        <f t="shared" si="21"/>
        <v>₹/Candy</v>
      </c>
      <c r="L356" s="3">
        <v>2.46E-2</v>
      </c>
      <c r="M356" s="3"/>
      <c r="N356" s="3">
        <f t="shared" si="22"/>
        <v>2018</v>
      </c>
      <c r="O356" s="3" t="str">
        <f t="shared" si="23"/>
        <v>May</v>
      </c>
      <c r="P356" s="3" t="s">
        <v>22</v>
      </c>
      <c r="Q356" s="3"/>
    </row>
    <row r="357" spans="1:17" hidden="1" x14ac:dyDescent="0.3">
      <c r="A357" s="2">
        <v>43191</v>
      </c>
      <c r="B357" s="3" t="s">
        <v>12</v>
      </c>
      <c r="C357" s="3" t="s">
        <v>19</v>
      </c>
      <c r="D357" s="3" t="s">
        <v>20</v>
      </c>
      <c r="E357" s="3" t="s">
        <v>21</v>
      </c>
      <c r="F357" s="3">
        <v>59944.294600000001</v>
      </c>
      <c r="G357" s="3" t="s">
        <v>16</v>
      </c>
      <c r="H357" s="3" t="s">
        <v>17</v>
      </c>
      <c r="I357" s="3">
        <f>IF(C357="India",1,IF(C357="USA",INDEX('Currency Master'!B:B,MATCH(DATE(N357,MONTH(DATEVALUE(O357&amp;" 1")),1),'Currency Master'!A:A,0)),IF(C357="Australia",INDEX('Currency Master'!T:T,MATCH(DATE(N357,MONTH(DATEVALUE(O357&amp;" 1")),1),'Currency Master'!A:A,0)),"")))</f>
        <v>65.702752000000004</v>
      </c>
      <c r="J357" s="3">
        <f t="shared" si="20"/>
        <v>59944.294600000001</v>
      </c>
      <c r="K357" s="3" t="str">
        <f t="shared" si="21"/>
        <v>₹/Candy</v>
      </c>
      <c r="L357" s="3">
        <v>0</v>
      </c>
      <c r="M357" s="3"/>
      <c r="N357" s="3">
        <f t="shared" si="22"/>
        <v>2018</v>
      </c>
      <c r="O357" s="3" t="str">
        <f t="shared" si="23"/>
        <v>April</v>
      </c>
      <c r="P357" s="3" t="s">
        <v>22</v>
      </c>
      <c r="Q357" s="3"/>
    </row>
    <row r="358" spans="1:17" hidden="1" x14ac:dyDescent="0.3">
      <c r="A358" s="2">
        <v>43160</v>
      </c>
      <c r="B358" s="3" t="s">
        <v>12</v>
      </c>
      <c r="C358" s="3" t="s">
        <v>19</v>
      </c>
      <c r="D358" s="3" t="s">
        <v>20</v>
      </c>
      <c r="E358" s="3" t="s">
        <v>21</v>
      </c>
      <c r="F358" s="3">
        <v>58879.064279999999</v>
      </c>
      <c r="G358" s="3" t="s">
        <v>16</v>
      </c>
      <c r="H358" s="3" t="s">
        <v>17</v>
      </c>
      <c r="I358" s="3">
        <f>IF(C358="India",1,IF(C358="USA",INDEX('Currency Master'!B:B,MATCH(DATE(N358,MONTH(DATEVALUE(O358&amp;" 1")),1),'Currency Master'!A:A,0)),IF(C358="Australia",INDEX('Currency Master'!T:T,MATCH(DATE(N358,MONTH(DATEVALUE(O358&amp;" 1")),1),'Currency Master'!A:A,0)),"")))</f>
        <v>65.054934000000003</v>
      </c>
      <c r="J358" s="3">
        <f t="shared" si="20"/>
        <v>58879.064279999999</v>
      </c>
      <c r="K358" s="3" t="str">
        <f t="shared" si="21"/>
        <v>₹/Candy</v>
      </c>
      <c r="L358" s="3">
        <v>4.1000000000000002E-2</v>
      </c>
      <c r="M358" s="3"/>
      <c r="N358" s="3">
        <f t="shared" si="22"/>
        <v>2018</v>
      </c>
      <c r="O358" s="3" t="str">
        <f t="shared" si="23"/>
        <v>March</v>
      </c>
      <c r="P358" s="3" t="s">
        <v>22</v>
      </c>
      <c r="Q358" s="3"/>
    </row>
    <row r="359" spans="1:17" hidden="1" x14ac:dyDescent="0.3">
      <c r="A359" s="2">
        <v>43132</v>
      </c>
      <c r="B359" s="3" t="s">
        <v>12</v>
      </c>
      <c r="C359" s="3" t="s">
        <v>19</v>
      </c>
      <c r="D359" s="3" t="s">
        <v>20</v>
      </c>
      <c r="E359" s="3" t="s">
        <v>21</v>
      </c>
      <c r="F359" s="3">
        <v>56908.023999999998</v>
      </c>
      <c r="G359" s="3" t="s">
        <v>16</v>
      </c>
      <c r="H359" s="3" t="s">
        <v>17</v>
      </c>
      <c r="I359" s="3">
        <f>IF(C359="India",1,IF(C359="USA",INDEX('Currency Master'!B:B,MATCH(DATE(N359,MONTH(DATEVALUE(O359&amp;" 1")),1),'Currency Master'!A:A,0)),IF(C359="Australia",INDEX('Currency Master'!T:T,MATCH(DATE(N359,MONTH(DATEVALUE(O359&amp;" 1")),1),'Currency Master'!A:A,0)),"")))</f>
        <v>64.435411999999999</v>
      </c>
      <c r="J359" s="3">
        <f t="shared" si="20"/>
        <v>56908.023999999998</v>
      </c>
      <c r="K359" s="3" t="str">
        <f t="shared" si="21"/>
        <v>₹/Candy</v>
      </c>
      <c r="L359" s="3">
        <v>-2.9899999999999999E-2</v>
      </c>
      <c r="M359" s="3"/>
      <c r="N359" s="3">
        <f t="shared" si="22"/>
        <v>2018</v>
      </c>
      <c r="O359" s="3" t="str">
        <f t="shared" si="23"/>
        <v>February</v>
      </c>
      <c r="P359" s="3" t="s">
        <v>22</v>
      </c>
      <c r="Q359" s="3"/>
    </row>
    <row r="360" spans="1:17" hidden="1" x14ac:dyDescent="0.3">
      <c r="A360" s="2">
        <v>43101</v>
      </c>
      <c r="B360" s="3" t="s">
        <v>12</v>
      </c>
      <c r="C360" s="3" t="s">
        <v>19</v>
      </c>
      <c r="D360" s="3" t="s">
        <v>20</v>
      </c>
      <c r="E360" s="3" t="s">
        <v>21</v>
      </c>
      <c r="F360" s="3">
        <v>57133.350639999997</v>
      </c>
      <c r="G360" s="3" t="s">
        <v>16</v>
      </c>
      <c r="H360" s="3" t="s">
        <v>17</v>
      </c>
      <c r="I360" s="3">
        <f>IF(C360="India",1,IF(C360="USA",INDEX('Currency Master'!B:B,MATCH(DATE(N360,MONTH(DATEVALUE(O360&amp;" 1")),1),'Currency Master'!A:A,0)),IF(C360="Australia",INDEX('Currency Master'!T:T,MATCH(DATE(N360,MONTH(DATEVALUE(O360&amp;" 1")),1),'Currency Master'!A:A,0)),"")))</f>
        <v>63.654439000000004</v>
      </c>
      <c r="J360" s="3">
        <f t="shared" si="20"/>
        <v>57133.350639999997</v>
      </c>
      <c r="K360" s="3" t="str">
        <f t="shared" si="21"/>
        <v>₹/Candy</v>
      </c>
      <c r="L360" s="3">
        <v>6.9099999999999995E-2</v>
      </c>
      <c r="M360" s="3"/>
      <c r="N360" s="3">
        <f t="shared" si="22"/>
        <v>2018</v>
      </c>
      <c r="O360" s="3" t="str">
        <f t="shared" si="23"/>
        <v>January</v>
      </c>
      <c r="P360" s="3" t="s">
        <v>22</v>
      </c>
      <c r="Q360" s="3"/>
    </row>
    <row r="361" spans="1:17" hidden="1" x14ac:dyDescent="0.3">
      <c r="A361" s="2">
        <v>43070</v>
      </c>
      <c r="B361" s="3" t="s">
        <v>12</v>
      </c>
      <c r="C361" s="3" t="s">
        <v>19</v>
      </c>
      <c r="D361" s="3" t="s">
        <v>20</v>
      </c>
      <c r="E361" s="3" t="s">
        <v>21</v>
      </c>
      <c r="F361" s="3">
        <v>54112.156640000001</v>
      </c>
      <c r="G361" s="3" t="s">
        <v>16</v>
      </c>
      <c r="H361" s="3" t="s">
        <v>17</v>
      </c>
      <c r="I361" s="3">
        <f>IF(C361="India",1,IF(C361="USA",INDEX('Currency Master'!B:B,MATCH(DATE(N361,MONTH(DATEVALUE(O361&amp;" 1")),1),'Currency Master'!A:A,0)),IF(C361="Australia",INDEX('Currency Master'!T:T,MATCH(DATE(N361,MONTH(DATEVALUE(O361&amp;" 1")),1),'Currency Master'!A:A,0)),"")))</f>
        <v>64.266334999999998</v>
      </c>
      <c r="J361" s="3">
        <f t="shared" si="20"/>
        <v>54112.156640000001</v>
      </c>
      <c r="K361" s="3" t="str">
        <f t="shared" si="21"/>
        <v>₹/Candy</v>
      </c>
      <c r="L361" s="3">
        <v>6.2100000000000002E-2</v>
      </c>
      <c r="M361" s="3"/>
      <c r="N361" s="3">
        <f t="shared" si="22"/>
        <v>2017</v>
      </c>
      <c r="O361" s="3" t="str">
        <f t="shared" si="23"/>
        <v>December</v>
      </c>
      <c r="P361" s="3" t="s">
        <v>22</v>
      </c>
      <c r="Q361" s="3"/>
    </row>
    <row r="362" spans="1:17" hidden="1" x14ac:dyDescent="0.3">
      <c r="A362" s="2">
        <v>43040</v>
      </c>
      <c r="B362" s="3" t="s">
        <v>12</v>
      </c>
      <c r="C362" s="3" t="s">
        <v>19</v>
      </c>
      <c r="D362" s="3" t="s">
        <v>20</v>
      </c>
      <c r="E362" s="3" t="s">
        <v>21</v>
      </c>
      <c r="F362" s="3">
        <v>51813.151360000003</v>
      </c>
      <c r="G362" s="3" t="s">
        <v>16</v>
      </c>
      <c r="H362" s="3" t="s">
        <v>17</v>
      </c>
      <c r="I362" s="3">
        <f>IF(C362="India",1,IF(C362="USA",INDEX('Currency Master'!B:B,MATCH(DATE(N362,MONTH(DATEVALUE(O362&amp;" 1")),1),'Currency Master'!A:A,0)),IF(C362="Australia",INDEX('Currency Master'!T:T,MATCH(DATE(N362,MONTH(DATEVALUE(O362&amp;" 1")),1),'Currency Master'!A:A,0)),"")))</f>
        <v>64.854237999999995</v>
      </c>
      <c r="J362" s="3">
        <f t="shared" si="20"/>
        <v>51813.151360000003</v>
      </c>
      <c r="K362" s="3" t="str">
        <f t="shared" si="21"/>
        <v>₹/Candy</v>
      </c>
      <c r="L362" s="3">
        <v>2.3099999999999999E-2</v>
      </c>
      <c r="M362" s="3"/>
      <c r="N362" s="3">
        <f t="shared" si="22"/>
        <v>2017</v>
      </c>
      <c r="O362" s="3" t="str">
        <f t="shared" si="23"/>
        <v>November</v>
      </c>
      <c r="P362" s="3" t="s">
        <v>22</v>
      </c>
      <c r="Q362" s="3"/>
    </row>
    <row r="363" spans="1:17" hidden="1" x14ac:dyDescent="0.3">
      <c r="A363" s="2">
        <v>43009</v>
      </c>
      <c r="B363" s="3" t="s">
        <v>12</v>
      </c>
      <c r="C363" s="3" t="s">
        <v>19</v>
      </c>
      <c r="D363" s="3" t="s">
        <v>20</v>
      </c>
      <c r="E363" s="3" t="s">
        <v>21</v>
      </c>
      <c r="F363" s="3">
        <v>50979.278319999998</v>
      </c>
      <c r="G363" s="3" t="s">
        <v>16</v>
      </c>
      <c r="H363" s="3" t="s">
        <v>17</v>
      </c>
      <c r="I363" s="3">
        <f>IF(C363="India",1,IF(C363="USA",INDEX('Currency Master'!B:B,MATCH(DATE(N363,MONTH(DATEVALUE(O363&amp;" 1")),1),'Currency Master'!A:A,0)),IF(C363="Australia",INDEX('Currency Master'!T:T,MATCH(DATE(N363,MONTH(DATEVALUE(O363&amp;" 1")),1),'Currency Master'!A:A,0)),"")))</f>
        <v>65.071886000000006</v>
      </c>
      <c r="J363" s="3">
        <f t="shared" si="20"/>
        <v>50979.278319999998</v>
      </c>
      <c r="K363" s="3" t="str">
        <f t="shared" si="21"/>
        <v>₹/Candy</v>
      </c>
      <c r="L363" s="3">
        <v>-2.81E-2</v>
      </c>
      <c r="M363" s="3"/>
      <c r="N363" s="3">
        <f t="shared" si="22"/>
        <v>2017</v>
      </c>
      <c r="O363" s="3" t="str">
        <f t="shared" si="23"/>
        <v>October</v>
      </c>
      <c r="P363" s="3" t="s">
        <v>22</v>
      </c>
      <c r="Q363" s="3"/>
    </row>
    <row r="364" spans="1:17" hidden="1" x14ac:dyDescent="0.3">
      <c r="A364" s="2">
        <v>42979</v>
      </c>
      <c r="B364" s="3" t="s">
        <v>12</v>
      </c>
      <c r="C364" s="3" t="s">
        <v>19</v>
      </c>
      <c r="D364" s="3" t="s">
        <v>20</v>
      </c>
      <c r="E364" s="3" t="s">
        <v>21</v>
      </c>
      <c r="F364" s="3">
        <v>52640.719640000003</v>
      </c>
      <c r="G364" s="3" t="s">
        <v>16</v>
      </c>
      <c r="H364" s="3" t="s">
        <v>17</v>
      </c>
      <c r="I364" s="3">
        <f>IF(C364="India",1,IF(C364="USA",INDEX('Currency Master'!B:B,MATCH(DATE(N364,MONTH(DATEVALUE(O364&amp;" 1")),1),'Currency Master'!A:A,0)),IF(C364="Australia",INDEX('Currency Master'!T:T,MATCH(DATE(N364,MONTH(DATEVALUE(O364&amp;" 1")),1),'Currency Master'!A:A,0)),"")))</f>
        <v>64.462391999999994</v>
      </c>
      <c r="J364" s="3">
        <f t="shared" si="20"/>
        <v>52640.719640000003</v>
      </c>
      <c r="K364" s="3" t="str">
        <f t="shared" si="21"/>
        <v>₹/Candy</v>
      </c>
      <c r="L364" s="3">
        <v>1.7100000000000001E-2</v>
      </c>
      <c r="M364" s="3"/>
      <c r="N364" s="3">
        <f t="shared" si="22"/>
        <v>2017</v>
      </c>
      <c r="O364" s="3" t="str">
        <f t="shared" si="23"/>
        <v>September</v>
      </c>
      <c r="P364" s="3" t="s">
        <v>22</v>
      </c>
      <c r="Q364" s="3"/>
    </row>
    <row r="365" spans="1:17" hidden="1" x14ac:dyDescent="0.3">
      <c r="A365" s="2">
        <v>42948</v>
      </c>
      <c r="B365" s="3" t="s">
        <v>12</v>
      </c>
      <c r="C365" s="3" t="s">
        <v>19</v>
      </c>
      <c r="D365" s="3" t="s">
        <v>20</v>
      </c>
      <c r="E365" s="3" t="s">
        <v>21</v>
      </c>
      <c r="F365" s="3">
        <v>50931.228999999999</v>
      </c>
      <c r="G365" s="3" t="s">
        <v>16</v>
      </c>
      <c r="H365" s="3" t="s">
        <v>17</v>
      </c>
      <c r="I365" s="3">
        <f>IF(C365="India",1,IF(C365="USA",INDEX('Currency Master'!B:B,MATCH(DATE(N365,MONTH(DATEVALUE(O365&amp;" 1")),1),'Currency Master'!A:A,0)),IF(C365="Australia",INDEX('Currency Master'!T:T,MATCH(DATE(N365,MONTH(DATEVALUE(O365&amp;" 1")),1),'Currency Master'!A:A,0)),"")))</f>
        <v>63.987231000000001</v>
      </c>
      <c r="J365" s="3">
        <f t="shared" si="20"/>
        <v>50931.228999999999</v>
      </c>
      <c r="K365" s="3" t="str">
        <f t="shared" si="21"/>
        <v>₹/Candy</v>
      </c>
      <c r="L365" s="3">
        <v>-5.4100000000000002E-2</v>
      </c>
      <c r="M365" s="3"/>
      <c r="N365" s="3">
        <f t="shared" si="22"/>
        <v>2017</v>
      </c>
      <c r="O365" s="3" t="str">
        <f t="shared" si="23"/>
        <v>August</v>
      </c>
      <c r="P365" s="3" t="s">
        <v>22</v>
      </c>
      <c r="Q365" s="3"/>
    </row>
    <row r="366" spans="1:17" hidden="1" x14ac:dyDescent="0.3">
      <c r="A366" s="2">
        <v>42917</v>
      </c>
      <c r="B366" s="3" t="s">
        <v>12</v>
      </c>
      <c r="C366" s="3" t="s">
        <v>19</v>
      </c>
      <c r="D366" s="3" t="s">
        <v>20</v>
      </c>
      <c r="E366" s="3" t="s">
        <v>21</v>
      </c>
      <c r="F366" s="3">
        <v>53608.5982</v>
      </c>
      <c r="G366" s="3" t="s">
        <v>16</v>
      </c>
      <c r="H366" s="3" t="s">
        <v>17</v>
      </c>
      <c r="I366" s="3">
        <f>IF(C366="India",1,IF(C366="USA",INDEX('Currency Master'!B:B,MATCH(DATE(N366,MONTH(DATEVALUE(O366&amp;" 1")),1),'Currency Master'!A:A,0)),IF(C366="Australia",INDEX('Currency Master'!T:T,MATCH(DATE(N366,MONTH(DATEVALUE(O366&amp;" 1")),1),'Currency Master'!A:A,0)),"")))</f>
        <v>64.456379999999996</v>
      </c>
      <c r="J366" s="3">
        <f t="shared" si="20"/>
        <v>53608.5982</v>
      </c>
      <c r="K366" s="3" t="str">
        <f t="shared" si="21"/>
        <v>₹/Candy</v>
      </c>
      <c r="L366" s="3">
        <v>-1.0699999999999999E-2</v>
      </c>
      <c r="M366" s="3"/>
      <c r="N366" s="3">
        <f t="shared" si="22"/>
        <v>2017</v>
      </c>
      <c r="O366" s="3" t="str">
        <f t="shared" si="23"/>
        <v>July</v>
      </c>
      <c r="P366" s="3" t="s">
        <v>22</v>
      </c>
      <c r="Q366" s="3"/>
    </row>
    <row r="367" spans="1:17" hidden="1" x14ac:dyDescent="0.3">
      <c r="A367" s="2">
        <v>42887</v>
      </c>
      <c r="B367" s="3" t="s">
        <v>12</v>
      </c>
      <c r="C367" s="3" t="s">
        <v>19</v>
      </c>
      <c r="D367" s="3" t="s">
        <v>20</v>
      </c>
      <c r="E367" s="3" t="s">
        <v>21</v>
      </c>
      <c r="F367" s="3">
        <v>54437.047579999999</v>
      </c>
      <c r="G367" s="3" t="s">
        <v>16</v>
      </c>
      <c r="H367" s="3" t="s">
        <v>17</v>
      </c>
      <c r="I367" s="3">
        <f>IF(C367="India",1,IF(C367="USA",INDEX('Currency Master'!B:B,MATCH(DATE(N367,MONTH(DATEVALUE(O367&amp;" 1")),1),'Currency Master'!A:A,0)),IF(C367="Australia",INDEX('Currency Master'!T:T,MATCH(DATE(N367,MONTH(DATEVALUE(O367&amp;" 1")),1),'Currency Master'!A:A,0)),"")))</f>
        <v>64.455022999999997</v>
      </c>
      <c r="J367" s="3">
        <f t="shared" si="20"/>
        <v>54437.047579999999</v>
      </c>
      <c r="K367" s="3" t="str">
        <f t="shared" si="21"/>
        <v>₹/Candy</v>
      </c>
      <c r="L367" s="3">
        <v>-4.1000000000000002E-2</v>
      </c>
      <c r="M367" s="3"/>
      <c r="N367" s="3">
        <f t="shared" si="22"/>
        <v>2017</v>
      </c>
      <c r="O367" s="3" t="str">
        <f t="shared" si="23"/>
        <v>June</v>
      </c>
      <c r="P367" s="3" t="s">
        <v>22</v>
      </c>
      <c r="Q367" s="3"/>
    </row>
    <row r="368" spans="1:17" hidden="1" x14ac:dyDescent="0.3">
      <c r="A368" s="2">
        <v>42856</v>
      </c>
      <c r="B368" s="3" t="s">
        <v>12</v>
      </c>
      <c r="C368" s="3" t="s">
        <v>19</v>
      </c>
      <c r="D368" s="3" t="s">
        <v>20</v>
      </c>
      <c r="E368" s="3" t="s">
        <v>21</v>
      </c>
      <c r="F368" s="3">
        <v>56377.308100000002</v>
      </c>
      <c r="G368" s="3" t="s">
        <v>16</v>
      </c>
      <c r="H368" s="3" t="s">
        <v>17</v>
      </c>
      <c r="I368" s="3">
        <f>IF(C368="India",1,IF(C368="USA",INDEX('Currency Master'!B:B,MATCH(DATE(N368,MONTH(DATEVALUE(O368&amp;" 1")),1),'Currency Master'!A:A,0)),IF(C368="Australia",INDEX('Currency Master'!T:T,MATCH(DATE(N368,MONTH(DATEVALUE(O368&amp;" 1")),1),'Currency Master'!A:A,0)),"")))</f>
        <v>64.450710999999998</v>
      </c>
      <c r="J368" s="3">
        <f t="shared" si="20"/>
        <v>56377.308100000002</v>
      </c>
      <c r="K368" s="3" t="str">
        <f t="shared" si="21"/>
        <v>₹/Candy</v>
      </c>
      <c r="L368" s="3">
        <v>1.5599999999999999E-2</v>
      </c>
      <c r="M368" s="3"/>
      <c r="N368" s="3">
        <f t="shared" si="22"/>
        <v>2017</v>
      </c>
      <c r="O368" s="3" t="str">
        <f t="shared" si="23"/>
        <v>May</v>
      </c>
      <c r="P368" s="3" t="s">
        <v>22</v>
      </c>
      <c r="Q368" s="3"/>
    </row>
    <row r="369" spans="1:17" hidden="1" x14ac:dyDescent="0.3">
      <c r="A369" s="2">
        <v>42826</v>
      </c>
      <c r="B369" s="3" t="s">
        <v>12</v>
      </c>
      <c r="C369" s="3" t="s">
        <v>19</v>
      </c>
      <c r="D369" s="3" t="s">
        <v>20</v>
      </c>
      <c r="E369" s="3" t="s">
        <v>21</v>
      </c>
      <c r="F369" s="3">
        <v>55442.813439999998</v>
      </c>
      <c r="G369" s="3" t="s">
        <v>16</v>
      </c>
      <c r="H369" s="3" t="s">
        <v>17</v>
      </c>
      <c r="I369" s="3">
        <f>IF(C369="India",1,IF(C369="USA",INDEX('Currency Master'!B:B,MATCH(DATE(N369,MONTH(DATEVALUE(O369&amp;" 1")),1),'Currency Master'!A:A,0)),IF(C369="Australia",INDEX('Currency Master'!T:T,MATCH(DATE(N369,MONTH(DATEVALUE(O369&amp;" 1")),1),'Currency Master'!A:A,0)),"")))</f>
        <v>64.539287999999999</v>
      </c>
      <c r="J369" s="3">
        <f t="shared" si="20"/>
        <v>55442.813439999998</v>
      </c>
      <c r="K369" s="3" t="str">
        <f t="shared" si="21"/>
        <v>₹/Candy</v>
      </c>
      <c r="L369" s="3">
        <v>5.1999999999999998E-3</v>
      </c>
      <c r="M369" s="3"/>
      <c r="N369" s="3">
        <f t="shared" si="22"/>
        <v>2017</v>
      </c>
      <c r="O369" s="3" t="str">
        <f t="shared" si="23"/>
        <v>April</v>
      </c>
      <c r="P369" s="3" t="s">
        <v>22</v>
      </c>
      <c r="Q369" s="3"/>
    </row>
    <row r="370" spans="1:17" hidden="1" x14ac:dyDescent="0.3">
      <c r="A370" s="2">
        <v>42795</v>
      </c>
      <c r="B370" s="3" t="s">
        <v>12</v>
      </c>
      <c r="C370" s="3" t="s">
        <v>19</v>
      </c>
      <c r="D370" s="3" t="s">
        <v>20</v>
      </c>
      <c r="E370" s="3" t="s">
        <v>21</v>
      </c>
      <c r="F370" s="3">
        <v>55624.946600000003</v>
      </c>
      <c r="G370" s="3" t="s">
        <v>16</v>
      </c>
      <c r="H370" s="3" t="s">
        <v>17</v>
      </c>
      <c r="I370" s="3">
        <f>IF(C370="India",1,IF(C370="USA",INDEX('Currency Master'!B:B,MATCH(DATE(N370,MONTH(DATEVALUE(O370&amp;" 1")),1),'Currency Master'!A:A,0)),IF(C370="Australia",INDEX('Currency Master'!T:T,MATCH(DATE(N370,MONTH(DATEVALUE(O370&amp;" 1")),1),'Currency Master'!A:A,0)),"")))</f>
        <v>65.823712999999998</v>
      </c>
      <c r="J370" s="3">
        <f t="shared" si="20"/>
        <v>55624.946600000003</v>
      </c>
      <c r="K370" s="3" t="str">
        <f t="shared" si="21"/>
        <v>₹/Candy</v>
      </c>
      <c r="L370" s="3">
        <v>1.6E-2</v>
      </c>
      <c r="M370" s="3"/>
      <c r="N370" s="3">
        <f t="shared" si="22"/>
        <v>2017</v>
      </c>
      <c r="O370" s="3" t="str">
        <f t="shared" si="23"/>
        <v>March</v>
      </c>
      <c r="P370" s="3" t="s">
        <v>22</v>
      </c>
      <c r="Q370" s="3"/>
    </row>
    <row r="371" spans="1:17" hidden="1" x14ac:dyDescent="0.3">
      <c r="A371" s="2">
        <v>42767</v>
      </c>
      <c r="B371" s="3" t="s">
        <v>12</v>
      </c>
      <c r="C371" s="3" t="s">
        <v>19</v>
      </c>
      <c r="D371" s="3" t="s">
        <v>20</v>
      </c>
      <c r="E371" s="3" t="s">
        <v>21</v>
      </c>
      <c r="F371" s="3">
        <v>56225.073600000003</v>
      </c>
      <c r="G371" s="3" t="s">
        <v>16</v>
      </c>
      <c r="H371" s="3" t="s">
        <v>17</v>
      </c>
      <c r="I371" s="3">
        <f>IF(C371="India",1,IF(C371="USA",INDEX('Currency Master'!B:B,MATCH(DATE(N371,MONTH(DATEVALUE(O371&amp;" 1")),1),'Currency Master'!A:A,0)),IF(C371="Australia",INDEX('Currency Master'!T:T,MATCH(DATE(N371,MONTH(DATEVALUE(O371&amp;" 1")),1),'Currency Master'!A:A,0)),"")))</f>
        <v>66.984848</v>
      </c>
      <c r="J371" s="3">
        <f t="shared" si="20"/>
        <v>56225.073600000003</v>
      </c>
      <c r="K371" s="3" t="str">
        <f t="shared" si="21"/>
        <v>₹/Candy</v>
      </c>
      <c r="L371" s="3">
        <v>3.3000000000000002E-2</v>
      </c>
      <c r="M371" s="3"/>
      <c r="N371" s="3">
        <f t="shared" si="22"/>
        <v>2017</v>
      </c>
      <c r="O371" s="3" t="str">
        <f t="shared" si="23"/>
        <v>February</v>
      </c>
      <c r="P371" s="3" t="s">
        <v>22</v>
      </c>
      <c r="Q371" s="3"/>
    </row>
    <row r="372" spans="1:17" hidden="1" x14ac:dyDescent="0.3">
      <c r="A372" s="2">
        <v>42736</v>
      </c>
      <c r="B372" s="3" t="s">
        <v>12</v>
      </c>
      <c r="C372" s="3" t="s">
        <v>19</v>
      </c>
      <c r="D372" s="3" t="s">
        <v>20</v>
      </c>
      <c r="E372" s="3" t="s">
        <v>21</v>
      </c>
      <c r="F372" s="3">
        <v>55220.93288</v>
      </c>
      <c r="G372" s="3" t="s">
        <v>16</v>
      </c>
      <c r="H372" s="3" t="s">
        <v>17</v>
      </c>
      <c r="I372" s="3">
        <f>IF(C372="India",1,IF(C372="USA",INDEX('Currency Master'!B:B,MATCH(DATE(N372,MONTH(DATEVALUE(O372&amp;" 1")),1),'Currency Master'!A:A,0)),IF(C372="Australia",INDEX('Currency Master'!T:T,MATCH(DATE(N372,MONTH(DATEVALUE(O372&amp;" 1")),1),'Currency Master'!A:A,0)),"")))</f>
        <v>68.098877000000002</v>
      </c>
      <c r="J372" s="3">
        <f t="shared" si="20"/>
        <v>55220.93288</v>
      </c>
      <c r="K372" s="3" t="str">
        <f t="shared" si="21"/>
        <v>₹/Candy</v>
      </c>
      <c r="L372" s="3">
        <v>0.04</v>
      </c>
      <c r="M372" s="3"/>
      <c r="N372" s="3">
        <f t="shared" si="22"/>
        <v>2017</v>
      </c>
      <c r="O372" s="3" t="str">
        <f t="shared" si="23"/>
        <v>January</v>
      </c>
      <c r="P372" s="3" t="s">
        <v>22</v>
      </c>
      <c r="Q372" s="3"/>
    </row>
    <row r="373" spans="1:17" hidden="1" x14ac:dyDescent="0.3">
      <c r="A373" s="2">
        <v>42705</v>
      </c>
      <c r="B373" s="3" t="s">
        <v>12</v>
      </c>
      <c r="C373" s="3" t="s">
        <v>19</v>
      </c>
      <c r="D373" s="3" t="s">
        <v>20</v>
      </c>
      <c r="E373" s="3" t="s">
        <v>21</v>
      </c>
      <c r="F373" s="3">
        <v>53682.708500000001</v>
      </c>
      <c r="G373" s="3" t="s">
        <v>16</v>
      </c>
      <c r="H373" s="3" t="s">
        <v>17</v>
      </c>
      <c r="I373" s="3">
        <f>IF(C373="India",1,IF(C373="USA",INDEX('Currency Master'!B:B,MATCH(DATE(N373,MONTH(DATEVALUE(O373&amp;" 1")),1),'Currency Master'!A:A,0)),IF(C373="Australia",INDEX('Currency Master'!T:T,MATCH(DATE(N373,MONTH(DATEVALUE(O373&amp;" 1")),1),'Currency Master'!A:A,0)),"")))</f>
        <v>67.856139999999996</v>
      </c>
      <c r="J373" s="3">
        <f t="shared" si="20"/>
        <v>53682.708500000001</v>
      </c>
      <c r="K373" s="3" t="str">
        <f t="shared" si="21"/>
        <v>₹/Candy</v>
      </c>
      <c r="L373" s="3">
        <v>5.7000000000000002E-3</v>
      </c>
      <c r="M373" s="3"/>
      <c r="N373" s="3">
        <f t="shared" si="22"/>
        <v>2016</v>
      </c>
      <c r="O373" s="3" t="str">
        <f t="shared" si="23"/>
        <v>December</v>
      </c>
      <c r="P373" s="3" t="s">
        <v>22</v>
      </c>
      <c r="Q373" s="3"/>
    </row>
    <row r="374" spans="1:17" hidden="1" x14ac:dyDescent="0.3">
      <c r="A374" s="2">
        <v>42675</v>
      </c>
      <c r="B374" s="3" t="s">
        <v>12</v>
      </c>
      <c r="C374" s="3" t="s">
        <v>19</v>
      </c>
      <c r="D374" s="3" t="s">
        <v>20</v>
      </c>
      <c r="E374" s="3" t="s">
        <v>21</v>
      </c>
      <c r="F374" s="3">
        <v>53854.765791999998</v>
      </c>
      <c r="G374" s="3" t="s">
        <v>16</v>
      </c>
      <c r="H374" s="3" t="s">
        <v>17</v>
      </c>
      <c r="I374" s="3">
        <f>IF(C374="India",1,IF(C374="USA",INDEX('Currency Master'!B:B,MATCH(DATE(N374,MONTH(DATEVALUE(O374&amp;" 1")),1),'Currency Master'!A:A,0)),IF(C374="Australia",INDEX('Currency Master'!T:T,MATCH(DATE(N374,MONTH(DATEVALUE(O374&amp;" 1")),1),'Currency Master'!A:A,0)),"")))</f>
        <v>67.664608000000001</v>
      </c>
      <c r="J374" s="3">
        <f t="shared" si="20"/>
        <v>53854.765791999998</v>
      </c>
      <c r="K374" s="3" t="str">
        <f t="shared" si="21"/>
        <v>₹/Candy</v>
      </c>
      <c r="L374" s="3">
        <v>5.7999999999999996E-3</v>
      </c>
      <c r="M374" s="3"/>
      <c r="N374" s="3">
        <f t="shared" si="22"/>
        <v>2016</v>
      </c>
      <c r="O374" s="3" t="str">
        <f t="shared" si="23"/>
        <v>November</v>
      </c>
      <c r="P374" s="3" t="s">
        <v>22</v>
      </c>
      <c r="Q374" s="3"/>
    </row>
    <row r="375" spans="1:17" hidden="1" x14ac:dyDescent="0.3">
      <c r="A375" s="2">
        <v>42644</v>
      </c>
      <c r="B375" s="3" t="s">
        <v>12</v>
      </c>
      <c r="C375" s="3" t="s">
        <v>19</v>
      </c>
      <c r="D375" s="3" t="s">
        <v>20</v>
      </c>
      <c r="E375" s="3" t="s">
        <v>21</v>
      </c>
      <c r="F375" s="3">
        <v>52290.178899999999</v>
      </c>
      <c r="G375" s="3" t="s">
        <v>16</v>
      </c>
      <c r="H375" s="3" t="s">
        <v>17</v>
      </c>
      <c r="I375" s="3">
        <f>IF(C375="India",1,IF(C375="USA",INDEX('Currency Master'!B:B,MATCH(DATE(N375,MONTH(DATEVALUE(O375&amp;" 1")),1),'Currency Master'!A:A,0)),IF(C375="Australia",INDEX('Currency Master'!T:T,MATCH(DATE(N375,MONTH(DATEVALUE(O375&amp;" 1")),1),'Currency Master'!A:A,0)),"")))</f>
        <v>66.731599000000003</v>
      </c>
      <c r="J375" s="3">
        <f t="shared" si="20"/>
        <v>52290.178899999999</v>
      </c>
      <c r="K375" s="3" t="str">
        <f t="shared" si="21"/>
        <v>₹/Candy</v>
      </c>
      <c r="L375" s="3">
        <v>5.7999999999999996E-3</v>
      </c>
      <c r="M375" s="3"/>
      <c r="N375" s="3">
        <f t="shared" si="22"/>
        <v>2016</v>
      </c>
      <c r="O375" s="3" t="str">
        <f t="shared" si="23"/>
        <v>October</v>
      </c>
      <c r="P375" s="3" t="s">
        <v>22</v>
      </c>
      <c r="Q375" s="3"/>
    </row>
    <row r="376" spans="1:17" hidden="1" x14ac:dyDescent="0.3">
      <c r="A376" s="2">
        <v>42614</v>
      </c>
      <c r="B376" s="3" t="s">
        <v>12</v>
      </c>
      <c r="C376" s="3" t="s">
        <v>19</v>
      </c>
      <c r="D376" s="3" t="s">
        <v>20</v>
      </c>
      <c r="E376" s="3" t="s">
        <v>21</v>
      </c>
      <c r="F376" s="3">
        <v>51942.191392000001</v>
      </c>
      <c r="G376" s="3" t="s">
        <v>16</v>
      </c>
      <c r="H376" s="3" t="s">
        <v>17</v>
      </c>
      <c r="I376" s="3">
        <f>IF(C376="India",1,IF(C376="USA",INDEX('Currency Master'!B:B,MATCH(DATE(N376,MONTH(DATEVALUE(O376&amp;" 1")),1),'Currency Master'!A:A,0)),IF(C376="Australia",INDEX('Currency Master'!T:T,MATCH(DATE(N376,MONTH(DATEVALUE(O376&amp;" 1")),1),'Currency Master'!A:A,0)),"")))</f>
        <v>66.733506000000006</v>
      </c>
      <c r="J376" s="3">
        <f t="shared" si="20"/>
        <v>51942.191392000001</v>
      </c>
      <c r="K376" s="3" t="str">
        <f t="shared" si="21"/>
        <v>₹/Candy</v>
      </c>
      <c r="L376" s="3">
        <v>-2.8199999999999999E-2</v>
      </c>
      <c r="M376" s="3"/>
      <c r="N376" s="3">
        <f t="shared" si="22"/>
        <v>2016</v>
      </c>
      <c r="O376" s="3" t="str">
        <f t="shared" si="23"/>
        <v>September</v>
      </c>
      <c r="P376" s="3" t="s">
        <v>22</v>
      </c>
      <c r="Q376" s="3"/>
    </row>
    <row r="377" spans="1:17" hidden="1" x14ac:dyDescent="0.3">
      <c r="A377" s="2">
        <v>42583</v>
      </c>
      <c r="B377" s="3" t="s">
        <v>12</v>
      </c>
      <c r="C377" s="3" t="s">
        <v>19</v>
      </c>
      <c r="D377" s="3" t="s">
        <v>20</v>
      </c>
      <c r="E377" s="3" t="s">
        <v>21</v>
      </c>
      <c r="F377" s="3">
        <v>53534.198116</v>
      </c>
      <c r="G377" s="3" t="s">
        <v>16</v>
      </c>
      <c r="H377" s="3" t="s">
        <v>17</v>
      </c>
      <c r="I377" s="3">
        <f>IF(C377="India",1,IF(C377="USA",INDEX('Currency Master'!B:B,MATCH(DATE(N377,MONTH(DATEVALUE(O377&amp;" 1")),1),'Currency Master'!A:A,0)),IF(C377="Australia",INDEX('Currency Master'!T:T,MATCH(DATE(N377,MONTH(DATEVALUE(O377&amp;" 1")),1),'Currency Master'!A:A,0)),"")))</f>
        <v>66.920762999999994</v>
      </c>
      <c r="J377" s="3">
        <f t="shared" si="20"/>
        <v>53534.198116</v>
      </c>
      <c r="K377" s="3" t="str">
        <f t="shared" si="21"/>
        <v>₹/Candy</v>
      </c>
      <c r="L377" s="3">
        <v>-1.12E-2</v>
      </c>
      <c r="M377" s="3"/>
      <c r="N377" s="3">
        <f t="shared" si="22"/>
        <v>2016</v>
      </c>
      <c r="O377" s="3" t="str">
        <f t="shared" si="23"/>
        <v>August</v>
      </c>
      <c r="P377" s="3" t="s">
        <v>22</v>
      </c>
      <c r="Q377" s="3"/>
    </row>
    <row r="378" spans="1:17" hidden="1" x14ac:dyDescent="0.3">
      <c r="A378" s="2">
        <v>42552</v>
      </c>
      <c r="B378" s="3" t="s">
        <v>12</v>
      </c>
      <c r="C378" s="3" t="s">
        <v>19</v>
      </c>
      <c r="D378" s="3" t="s">
        <v>20</v>
      </c>
      <c r="E378" s="3" t="s">
        <v>21</v>
      </c>
      <c r="F378" s="3">
        <v>53825.231319999999</v>
      </c>
      <c r="G378" s="3" t="s">
        <v>16</v>
      </c>
      <c r="H378" s="3" t="s">
        <v>17</v>
      </c>
      <c r="I378" s="3">
        <f>IF(C378="India",1,IF(C378="USA",INDEX('Currency Master'!B:B,MATCH(DATE(N378,MONTH(DATEVALUE(O378&amp;" 1")),1),'Currency Master'!A:A,0)),IF(C378="Australia",INDEX('Currency Master'!T:T,MATCH(DATE(N378,MONTH(DATEVALUE(O378&amp;" 1")),1),'Currency Master'!A:A,0)),"")))</f>
        <v>67.194143999999994</v>
      </c>
      <c r="J378" s="3">
        <f t="shared" si="20"/>
        <v>53825.231319999999</v>
      </c>
      <c r="K378" s="3" t="str">
        <f t="shared" si="21"/>
        <v>₹/Candy</v>
      </c>
      <c r="L378" s="3">
        <v>9.8199999999999996E-2</v>
      </c>
      <c r="M378" s="3"/>
      <c r="N378" s="3">
        <f t="shared" si="22"/>
        <v>2016</v>
      </c>
      <c r="O378" s="3" t="str">
        <f t="shared" si="23"/>
        <v>July</v>
      </c>
      <c r="P378" s="3" t="s">
        <v>22</v>
      </c>
      <c r="Q378" s="3"/>
    </row>
    <row r="379" spans="1:17" hidden="1" x14ac:dyDescent="0.3">
      <c r="A379" s="2">
        <v>42522</v>
      </c>
      <c r="B379" s="3" t="s">
        <v>12</v>
      </c>
      <c r="C379" s="3" t="s">
        <v>19</v>
      </c>
      <c r="D379" s="3" t="s">
        <v>20</v>
      </c>
      <c r="E379" s="3" t="s">
        <v>21</v>
      </c>
      <c r="F379" s="3">
        <v>50201.321843999998</v>
      </c>
      <c r="G379" s="3" t="s">
        <v>16</v>
      </c>
      <c r="H379" s="3" t="s">
        <v>17</v>
      </c>
      <c r="I379" s="3">
        <f>IF(C379="India",1,IF(C379="USA",INDEX('Currency Master'!B:B,MATCH(DATE(N379,MONTH(DATEVALUE(O379&amp;" 1")),1),'Currency Master'!A:A,0)),IF(C379="Australia",INDEX('Currency Master'!T:T,MATCH(DATE(N379,MONTH(DATEVALUE(O379&amp;" 1")),1),'Currency Master'!A:A,0)),"")))</f>
        <v>67.292874999999995</v>
      </c>
      <c r="J379" s="3">
        <f t="shared" si="20"/>
        <v>50201.321843999998</v>
      </c>
      <c r="K379" s="3" t="str">
        <f t="shared" si="21"/>
        <v>₹/Candy</v>
      </c>
      <c r="L379" s="3">
        <v>5.16E-2</v>
      </c>
      <c r="M379" s="3"/>
      <c r="N379" s="3">
        <f t="shared" si="22"/>
        <v>2016</v>
      </c>
      <c r="O379" s="3" t="str">
        <f t="shared" si="23"/>
        <v>June</v>
      </c>
      <c r="P379" s="3" t="s">
        <v>22</v>
      </c>
      <c r="Q379" s="3"/>
    </row>
    <row r="380" spans="1:17" hidden="1" x14ac:dyDescent="0.3">
      <c r="A380" s="2">
        <v>42491</v>
      </c>
      <c r="B380" s="3" t="s">
        <v>12</v>
      </c>
      <c r="C380" s="3" t="s">
        <v>19</v>
      </c>
      <c r="D380" s="3" t="s">
        <v>20</v>
      </c>
      <c r="E380" s="3" t="s">
        <v>21</v>
      </c>
      <c r="F380" s="3">
        <v>47908.44902</v>
      </c>
      <c r="G380" s="3" t="s">
        <v>16</v>
      </c>
      <c r="H380" s="3" t="s">
        <v>17</v>
      </c>
      <c r="I380" s="3">
        <f>IF(C380="India",1,IF(C380="USA",INDEX('Currency Master'!B:B,MATCH(DATE(N380,MONTH(DATEVALUE(O380&amp;" 1")),1),'Currency Master'!A:A,0)),IF(C380="Australia",INDEX('Currency Master'!T:T,MATCH(DATE(N380,MONTH(DATEVALUE(O380&amp;" 1")),1),'Currency Master'!A:A,0)),"")))</f>
        <v>66.930688000000004</v>
      </c>
      <c r="J380" s="3">
        <f t="shared" si="20"/>
        <v>47908.44902</v>
      </c>
      <c r="K380" s="3" t="str">
        <f t="shared" si="21"/>
        <v>₹/Candy</v>
      </c>
      <c r="L380" s="3">
        <v>1.3100000000000001E-2</v>
      </c>
      <c r="M380" s="3"/>
      <c r="N380" s="3">
        <f t="shared" si="22"/>
        <v>2016</v>
      </c>
      <c r="O380" s="3" t="str">
        <f t="shared" si="23"/>
        <v>May</v>
      </c>
      <c r="P380" s="3" t="s">
        <v>22</v>
      </c>
      <c r="Q380" s="3"/>
    </row>
    <row r="381" spans="1:17" hidden="1" x14ac:dyDescent="0.3">
      <c r="A381" s="2">
        <v>42461</v>
      </c>
      <c r="B381" s="3" t="s">
        <v>12</v>
      </c>
      <c r="C381" s="3" t="s">
        <v>19</v>
      </c>
      <c r="D381" s="3" t="s">
        <v>20</v>
      </c>
      <c r="E381" s="3" t="s">
        <v>21</v>
      </c>
      <c r="F381" s="3">
        <v>46912.414420000001</v>
      </c>
      <c r="G381" s="3" t="s">
        <v>16</v>
      </c>
      <c r="H381" s="3" t="s">
        <v>17</v>
      </c>
      <c r="I381" s="3">
        <f>IF(C381="India",1,IF(C381="USA",INDEX('Currency Master'!B:B,MATCH(DATE(N381,MONTH(DATEVALUE(O381&amp;" 1")),1),'Currency Master'!A:A,0)),IF(C381="Australia",INDEX('Currency Master'!T:T,MATCH(DATE(N381,MONTH(DATEVALUE(O381&amp;" 1")),1),'Currency Master'!A:A,0)),"")))</f>
        <v>66.479806999999994</v>
      </c>
      <c r="J381" s="3">
        <f t="shared" si="20"/>
        <v>46912.414420000001</v>
      </c>
      <c r="K381" s="3" t="str">
        <f t="shared" si="21"/>
        <v>₹/Candy</v>
      </c>
      <c r="L381" s="3">
        <v>6.25E-2</v>
      </c>
      <c r="M381" s="3"/>
      <c r="N381" s="3">
        <f t="shared" si="22"/>
        <v>2016</v>
      </c>
      <c r="O381" s="3" t="str">
        <f t="shared" si="23"/>
        <v>April</v>
      </c>
      <c r="P381" s="3" t="s">
        <v>22</v>
      </c>
      <c r="Q381" s="3"/>
    </row>
    <row r="382" spans="1:17" hidden="1" x14ac:dyDescent="0.3">
      <c r="A382" s="2">
        <v>42430</v>
      </c>
      <c r="B382" s="3" t="s">
        <v>12</v>
      </c>
      <c r="C382" s="3" t="s">
        <v>19</v>
      </c>
      <c r="D382" s="3" t="s">
        <v>20</v>
      </c>
      <c r="E382" s="3" t="s">
        <v>21</v>
      </c>
      <c r="F382" s="3">
        <v>44478.64</v>
      </c>
      <c r="G382" s="3" t="s">
        <v>16</v>
      </c>
      <c r="H382" s="3" t="s">
        <v>17</v>
      </c>
      <c r="I382" s="3">
        <f>IF(C382="India",1,IF(C382="USA",INDEX('Currency Master'!B:B,MATCH(DATE(N382,MONTH(DATEVALUE(O382&amp;" 1")),1),'Currency Master'!A:A,0)),IF(C382="Australia",INDEX('Currency Master'!T:T,MATCH(DATE(N382,MONTH(DATEVALUE(O382&amp;" 1")),1),'Currency Master'!A:A,0)),"")))</f>
        <v>66.945571999999999</v>
      </c>
      <c r="J382" s="3">
        <f t="shared" si="20"/>
        <v>44478.64</v>
      </c>
      <c r="K382" s="3" t="str">
        <f t="shared" si="21"/>
        <v>₹/Candy</v>
      </c>
      <c r="L382" s="3">
        <v>-2.0400000000000001E-2</v>
      </c>
      <c r="M382" s="3"/>
      <c r="N382" s="3">
        <f t="shared" si="22"/>
        <v>2016</v>
      </c>
      <c r="O382" s="3" t="str">
        <f t="shared" si="23"/>
        <v>March</v>
      </c>
      <c r="P382" s="3" t="s">
        <v>22</v>
      </c>
      <c r="Q382" s="3"/>
    </row>
    <row r="383" spans="1:17" hidden="1" x14ac:dyDescent="0.3">
      <c r="A383" s="2">
        <v>42401</v>
      </c>
      <c r="B383" s="3" t="s">
        <v>12</v>
      </c>
      <c r="C383" s="3" t="s">
        <v>19</v>
      </c>
      <c r="D383" s="3" t="s">
        <v>20</v>
      </c>
      <c r="E383" s="3" t="s">
        <v>21</v>
      </c>
      <c r="F383" s="3">
        <v>46378.315095999998</v>
      </c>
      <c r="G383" s="3" t="s">
        <v>16</v>
      </c>
      <c r="H383" s="3" t="s">
        <v>17</v>
      </c>
      <c r="I383" s="3">
        <f>IF(C383="India",1,IF(C383="USA",INDEX('Currency Master'!B:B,MATCH(DATE(N383,MONTH(DATEVALUE(O383&amp;" 1")),1),'Currency Master'!A:A,0)),IF(C383="Australia",INDEX('Currency Master'!T:T,MATCH(DATE(N383,MONTH(DATEVALUE(O383&amp;" 1")),1),'Currency Master'!A:A,0)),"")))</f>
        <v>68.257846000000001</v>
      </c>
      <c r="J383" s="3">
        <f t="shared" si="20"/>
        <v>46378.315095999998</v>
      </c>
      <c r="K383" s="3" t="str">
        <f t="shared" si="21"/>
        <v>₹/Candy</v>
      </c>
      <c r="L383" s="3">
        <v>-3.2899999999999999E-2</v>
      </c>
      <c r="M383" s="3"/>
      <c r="N383" s="3">
        <f t="shared" si="22"/>
        <v>2016</v>
      </c>
      <c r="O383" s="3" t="str">
        <f t="shared" si="23"/>
        <v>February</v>
      </c>
      <c r="P383" s="3" t="s">
        <v>22</v>
      </c>
      <c r="Q383" s="3"/>
    </row>
    <row r="384" spans="1:17" hidden="1" x14ac:dyDescent="0.3">
      <c r="A384" s="2">
        <v>42370</v>
      </c>
      <c r="B384" s="3" t="s">
        <v>12</v>
      </c>
      <c r="C384" s="3" t="s">
        <v>19</v>
      </c>
      <c r="D384" s="3" t="s">
        <v>20</v>
      </c>
      <c r="E384" s="3" t="s">
        <v>21</v>
      </c>
      <c r="F384" s="3">
        <v>47517.205375999998</v>
      </c>
      <c r="G384" s="3" t="s">
        <v>16</v>
      </c>
      <c r="H384" s="3" t="s">
        <v>17</v>
      </c>
      <c r="I384" s="3">
        <f>IF(C384="India",1,IF(C384="USA",INDEX('Currency Master'!B:B,MATCH(DATE(N384,MONTH(DATEVALUE(O384&amp;" 1")),1),'Currency Master'!A:A,0)),IF(C384="Australia",INDEX('Currency Master'!T:T,MATCH(DATE(N384,MONTH(DATEVALUE(O384&amp;" 1")),1),'Currency Master'!A:A,0)),"")))</f>
        <v>67.407629</v>
      </c>
      <c r="J384" s="3">
        <f t="shared" si="20"/>
        <v>47517.205375999998</v>
      </c>
      <c r="K384" s="3" t="str">
        <f t="shared" si="21"/>
        <v>₹/Candy</v>
      </c>
      <c r="L384" s="3">
        <v>-1.9400000000000001E-2</v>
      </c>
      <c r="M384" s="3"/>
      <c r="N384" s="3">
        <f t="shared" si="22"/>
        <v>2016</v>
      </c>
      <c r="O384" s="3" t="str">
        <f t="shared" si="23"/>
        <v>January</v>
      </c>
      <c r="P384" s="3" t="s">
        <v>22</v>
      </c>
      <c r="Q384" s="3"/>
    </row>
    <row r="385" spans="1:17" hidden="1" x14ac:dyDescent="0.3">
      <c r="A385" s="2">
        <v>42339</v>
      </c>
      <c r="B385" s="3" t="s">
        <v>12</v>
      </c>
      <c r="C385" s="3" t="s">
        <v>19</v>
      </c>
      <c r="D385" s="3" t="s">
        <v>20</v>
      </c>
      <c r="E385" s="3" t="s">
        <v>21</v>
      </c>
      <c r="F385" s="3">
        <v>47300.86204</v>
      </c>
      <c r="G385" s="3" t="s">
        <v>16</v>
      </c>
      <c r="H385" s="3" t="s">
        <v>17</v>
      </c>
      <c r="I385" s="3">
        <f>IF(C385="India",1,IF(C385="USA",INDEX('Currency Master'!B:B,MATCH(DATE(N385,MONTH(DATEVALUE(O385&amp;" 1")),1),'Currency Master'!A:A,0)),IF(C385="Australia",INDEX('Currency Master'!T:T,MATCH(DATE(N385,MONTH(DATEVALUE(O385&amp;" 1")),1),'Currency Master'!A:A,0)),"")))</f>
        <v>66.547421</v>
      </c>
      <c r="J385" s="3">
        <f t="shared" si="20"/>
        <v>47300.86204</v>
      </c>
      <c r="K385" s="3" t="str">
        <f t="shared" si="21"/>
        <v>₹/Candy</v>
      </c>
      <c r="L385" s="3">
        <v>1.3100000000000001E-2</v>
      </c>
      <c r="M385" s="3"/>
      <c r="N385" s="3">
        <f t="shared" si="22"/>
        <v>2015</v>
      </c>
      <c r="O385" s="3" t="str">
        <f t="shared" si="23"/>
        <v>December</v>
      </c>
      <c r="P385" s="3" t="s">
        <v>22</v>
      </c>
      <c r="Q385" s="3"/>
    </row>
    <row r="386" spans="1:17" hidden="1" x14ac:dyDescent="0.3">
      <c r="A386" s="2">
        <v>42309</v>
      </c>
      <c r="B386" s="3" t="s">
        <v>12</v>
      </c>
      <c r="C386" s="3" t="s">
        <v>19</v>
      </c>
      <c r="D386" s="3" t="s">
        <v>20</v>
      </c>
      <c r="E386" s="3" t="s">
        <v>21</v>
      </c>
      <c r="F386" s="3">
        <v>46934.582896</v>
      </c>
      <c r="G386" s="3" t="s">
        <v>16</v>
      </c>
      <c r="H386" s="3" t="s">
        <v>17</v>
      </c>
      <c r="I386" s="3">
        <f>IF(C386="India",1,IF(C386="USA",INDEX('Currency Master'!B:B,MATCH(DATE(N386,MONTH(DATEVALUE(O386&amp;" 1")),1),'Currency Master'!A:A,0)),IF(C386="Australia",INDEX('Currency Master'!T:T,MATCH(DATE(N386,MONTH(DATEVALUE(O386&amp;" 1")),1),'Currency Master'!A:A,0)),"")))</f>
        <v>66.173863999999995</v>
      </c>
      <c r="J386" s="3">
        <f t="shared" si="20"/>
        <v>46934.582896</v>
      </c>
      <c r="K386" s="3" t="str">
        <f t="shared" si="21"/>
        <v>₹/Candy</v>
      </c>
      <c r="L386" s="3">
        <v>6.6E-3</v>
      </c>
      <c r="M386" s="3"/>
      <c r="N386" s="3">
        <f t="shared" si="22"/>
        <v>2015</v>
      </c>
      <c r="O386" s="3" t="str">
        <f t="shared" si="23"/>
        <v>November</v>
      </c>
      <c r="P386" s="3" t="s">
        <v>22</v>
      </c>
      <c r="Q386" s="3"/>
    </row>
    <row r="387" spans="1:17" hidden="1" x14ac:dyDescent="0.3">
      <c r="A387" s="2">
        <v>42278</v>
      </c>
      <c r="B387" s="3" t="s">
        <v>12</v>
      </c>
      <c r="C387" s="3" t="s">
        <v>19</v>
      </c>
      <c r="D387" s="3" t="s">
        <v>20</v>
      </c>
      <c r="E387" s="3" t="s">
        <v>21</v>
      </c>
      <c r="F387" s="3">
        <v>46055.910816000003</v>
      </c>
      <c r="G387" s="3" t="s">
        <v>16</v>
      </c>
      <c r="H387" s="3" t="s">
        <v>17</v>
      </c>
      <c r="I387" s="3">
        <f>IF(C387="India",1,IF(C387="USA",INDEX('Currency Master'!B:B,MATCH(DATE(N387,MONTH(DATEVALUE(O387&amp;" 1")),1),'Currency Master'!A:A,0)),IF(C387="Australia",INDEX('Currency Master'!T:T,MATCH(DATE(N387,MONTH(DATEVALUE(O387&amp;" 1")),1),'Currency Master'!A:A,0)),"")))</f>
        <v>65.075531999999995</v>
      </c>
      <c r="J387" s="3">
        <f t="shared" ref="J387:J450" si="24">IF(C387="India",F387,IF(C387="USA",IF(G387="US Cents/Lb",ROUND(((F387/100)/0.453592)*I387*356,0),F387),IF(C387="Australia",IF(G387="AUc/kg",ROUND((F387/100)*I387,2),F387),"")))</f>
        <v>46055.910816000003</v>
      </c>
      <c r="K387" s="3" t="str">
        <f t="shared" ref="K387:K450" si="25">IF(C387="India",G387,IF(C387="USA","₹/Candy",IF(C387="Australia","₹/Kg","")))</f>
        <v>₹/Candy</v>
      </c>
      <c r="L387" s="3">
        <v>0</v>
      </c>
      <c r="M387" s="3"/>
      <c r="N387" s="3">
        <f t="shared" ref="N387:N450" si="26">YEAR(A387)</f>
        <v>2015</v>
      </c>
      <c r="O387" s="3" t="str">
        <f t="shared" ref="O387:O450" si="27">TEXT(A387,"mmmm")</f>
        <v>October</v>
      </c>
      <c r="P387" s="3" t="s">
        <v>22</v>
      </c>
      <c r="Q387" s="3"/>
    </row>
    <row r="388" spans="1:17" hidden="1" x14ac:dyDescent="0.3">
      <c r="A388" s="2">
        <v>42248</v>
      </c>
      <c r="B388" s="3" t="s">
        <v>12</v>
      </c>
      <c r="C388" s="3" t="s">
        <v>19</v>
      </c>
      <c r="D388" s="3" t="s">
        <v>20</v>
      </c>
      <c r="E388" s="3" t="s">
        <v>21</v>
      </c>
      <c r="F388" s="3">
        <v>46111.862624000001</v>
      </c>
      <c r="G388" s="3" t="s">
        <v>16</v>
      </c>
      <c r="H388" s="3" t="s">
        <v>17</v>
      </c>
      <c r="I388" s="3">
        <f>IF(C388="India",1,IF(C388="USA",INDEX('Currency Master'!B:B,MATCH(DATE(N388,MONTH(DATEVALUE(O388&amp;" 1")),1),'Currency Master'!A:A,0)),IF(C388="Australia",INDEX('Currency Master'!T:T,MATCH(DATE(N388,MONTH(DATEVALUE(O388&amp;" 1")),1),'Currency Master'!A:A,0)),"")))</f>
        <v>66.213695999999999</v>
      </c>
      <c r="J388" s="3">
        <f t="shared" si="24"/>
        <v>46111.862624000001</v>
      </c>
      <c r="K388" s="3" t="str">
        <f t="shared" si="25"/>
        <v>₹/Candy</v>
      </c>
      <c r="L388" s="3">
        <v>-3.7999999999999999E-2</v>
      </c>
      <c r="M388" s="3"/>
      <c r="N388" s="3">
        <f t="shared" si="26"/>
        <v>2015</v>
      </c>
      <c r="O388" s="3" t="str">
        <f t="shared" si="27"/>
        <v>September</v>
      </c>
      <c r="P388" s="3" t="s">
        <v>22</v>
      </c>
      <c r="Q388" s="3"/>
    </row>
    <row r="389" spans="1:17" hidden="1" x14ac:dyDescent="0.3">
      <c r="A389" s="2">
        <v>42217</v>
      </c>
      <c r="B389" s="3" t="s">
        <v>12</v>
      </c>
      <c r="C389" s="3" t="s">
        <v>19</v>
      </c>
      <c r="D389" s="3" t="s">
        <v>20</v>
      </c>
      <c r="E389" s="3" t="s">
        <v>21</v>
      </c>
      <c r="F389" s="3">
        <v>48204.776656000002</v>
      </c>
      <c r="G389" s="3" t="s">
        <v>16</v>
      </c>
      <c r="H389" s="3" t="s">
        <v>17</v>
      </c>
      <c r="I389" s="3">
        <f>IF(C389="India",1,IF(C389="USA",INDEX('Currency Master'!B:B,MATCH(DATE(N389,MONTH(DATEVALUE(O389&amp;" 1")),1),'Currency Master'!A:A,0)),IF(C389="Australia",INDEX('Currency Master'!T:T,MATCH(DATE(N389,MONTH(DATEVALUE(O389&amp;" 1")),1),'Currency Master'!A:A,0)),"")))</f>
        <v>65.104408000000006</v>
      </c>
      <c r="J389" s="3">
        <f t="shared" si="24"/>
        <v>48204.776656000002</v>
      </c>
      <c r="K389" s="3" t="str">
        <f t="shared" si="25"/>
        <v>₹/Candy</v>
      </c>
      <c r="L389" s="3">
        <v>-1.2500000000000001E-2</v>
      </c>
      <c r="M389" s="3"/>
      <c r="N389" s="3">
        <f t="shared" si="26"/>
        <v>2015</v>
      </c>
      <c r="O389" s="3" t="str">
        <f t="shared" si="27"/>
        <v>August</v>
      </c>
      <c r="P389" s="3" t="s">
        <v>22</v>
      </c>
      <c r="Q389" s="3"/>
    </row>
    <row r="390" spans="1:17" hidden="1" x14ac:dyDescent="0.3">
      <c r="A390" s="2">
        <v>42186</v>
      </c>
      <c r="B390" s="3" t="s">
        <v>12</v>
      </c>
      <c r="C390" s="3" t="s">
        <v>19</v>
      </c>
      <c r="D390" s="3" t="s">
        <v>20</v>
      </c>
      <c r="E390" s="3" t="s">
        <v>21</v>
      </c>
      <c r="F390" s="3">
        <v>47206.055679999998</v>
      </c>
      <c r="G390" s="3" t="s">
        <v>16</v>
      </c>
      <c r="H390" s="3" t="s">
        <v>17</v>
      </c>
      <c r="I390" s="3">
        <f>IF(C390="India",1,IF(C390="USA",INDEX('Currency Master'!B:B,MATCH(DATE(N390,MONTH(DATEVALUE(O390&amp;" 1")),1),'Currency Master'!A:A,0)),IF(C390="Australia",INDEX('Currency Master'!T:T,MATCH(DATE(N390,MONTH(DATEVALUE(O390&amp;" 1")),1),'Currency Master'!A:A,0)),"")))</f>
        <v>63.657459000000003</v>
      </c>
      <c r="J390" s="3">
        <f t="shared" si="24"/>
        <v>47206.055679999998</v>
      </c>
      <c r="K390" s="3" t="str">
        <f t="shared" si="25"/>
        <v>₹/Candy</v>
      </c>
      <c r="L390" s="3">
        <v>0</v>
      </c>
      <c r="M390" s="3"/>
      <c r="N390" s="3">
        <f t="shared" si="26"/>
        <v>2015</v>
      </c>
      <c r="O390" s="3" t="str">
        <f t="shared" si="27"/>
        <v>July</v>
      </c>
      <c r="P390" s="3" t="s">
        <v>22</v>
      </c>
      <c r="Q390" s="3"/>
    </row>
    <row r="391" spans="1:17" hidden="1" x14ac:dyDescent="0.3">
      <c r="A391" s="2">
        <v>42156</v>
      </c>
      <c r="B391" s="3" t="s">
        <v>12</v>
      </c>
      <c r="C391" s="3" t="s">
        <v>19</v>
      </c>
      <c r="D391" s="3" t="s">
        <v>20</v>
      </c>
      <c r="E391" s="3" t="s">
        <v>21</v>
      </c>
      <c r="F391" s="3">
        <v>46965.456639999997</v>
      </c>
      <c r="G391" s="3" t="s">
        <v>16</v>
      </c>
      <c r="H391" s="3" t="s">
        <v>17</v>
      </c>
      <c r="I391" s="3">
        <f>IF(C391="India",1,IF(C391="USA",INDEX('Currency Master'!B:B,MATCH(DATE(N391,MONTH(DATEVALUE(O391&amp;" 1")),1),'Currency Master'!A:A,0)),IF(C391="Australia",INDEX('Currency Master'!T:T,MATCH(DATE(N391,MONTH(DATEVALUE(O391&amp;" 1")),1),'Currency Master'!A:A,0)),"")))</f>
        <v>63.841814999999997</v>
      </c>
      <c r="J391" s="3">
        <f t="shared" si="24"/>
        <v>46965.456639999997</v>
      </c>
      <c r="K391" s="3" t="str">
        <f t="shared" si="25"/>
        <v>₹/Candy</v>
      </c>
      <c r="L391" s="3">
        <v>-6.1999999999999998E-3</v>
      </c>
      <c r="M391" s="3"/>
      <c r="N391" s="3">
        <f t="shared" si="26"/>
        <v>2015</v>
      </c>
      <c r="O391" s="3" t="str">
        <f t="shared" si="27"/>
        <v>June</v>
      </c>
      <c r="P391" s="3" t="s">
        <v>22</v>
      </c>
      <c r="Q391" s="3"/>
    </row>
    <row r="392" spans="1:17" hidden="1" x14ac:dyDescent="0.3">
      <c r="A392" s="2">
        <v>42125</v>
      </c>
      <c r="B392" s="3" t="s">
        <v>12</v>
      </c>
      <c r="C392" s="3" t="s">
        <v>19</v>
      </c>
      <c r="D392" s="3" t="s">
        <v>20</v>
      </c>
      <c r="E392" s="3" t="s">
        <v>21</v>
      </c>
      <c r="F392" s="3">
        <v>47302.126907999998</v>
      </c>
      <c r="G392" s="3" t="s">
        <v>16</v>
      </c>
      <c r="H392" s="3" t="s">
        <v>17</v>
      </c>
      <c r="I392" s="3">
        <f>IF(C392="India",1,IF(C392="USA",INDEX('Currency Master'!B:B,MATCH(DATE(N392,MONTH(DATEVALUE(O392&amp;" 1")),1),'Currency Master'!A:A,0)),IF(C392="Australia",INDEX('Currency Master'!T:T,MATCH(DATE(N392,MONTH(DATEVALUE(O392&amp;" 1")),1),'Currency Master'!A:A,0)),"")))</f>
        <v>63.783290000000001</v>
      </c>
      <c r="J392" s="3">
        <f t="shared" si="24"/>
        <v>47302.126907999998</v>
      </c>
      <c r="K392" s="3" t="str">
        <f t="shared" si="25"/>
        <v>₹/Candy</v>
      </c>
      <c r="L392" s="3">
        <v>1.8499999999999999E-2</v>
      </c>
      <c r="M392" s="3"/>
      <c r="N392" s="3">
        <f t="shared" si="26"/>
        <v>2015</v>
      </c>
      <c r="O392" s="3" t="str">
        <f t="shared" si="27"/>
        <v>May</v>
      </c>
      <c r="P392" s="3" t="s">
        <v>22</v>
      </c>
      <c r="Q392" s="3"/>
    </row>
    <row r="393" spans="1:17" hidden="1" x14ac:dyDescent="0.3">
      <c r="A393" s="2">
        <v>42095</v>
      </c>
      <c r="B393" s="3" t="s">
        <v>12</v>
      </c>
      <c r="C393" s="3" t="s">
        <v>19</v>
      </c>
      <c r="D393" s="3" t="s">
        <v>20</v>
      </c>
      <c r="E393" s="3" t="s">
        <v>21</v>
      </c>
      <c r="F393" s="3">
        <v>46421.602559999999</v>
      </c>
      <c r="G393" s="3" t="s">
        <v>16</v>
      </c>
      <c r="H393" s="3" t="s">
        <v>17</v>
      </c>
      <c r="I393" s="3">
        <f>IF(C393="India",1,IF(C393="USA",INDEX('Currency Master'!B:B,MATCH(DATE(N393,MONTH(DATEVALUE(O393&amp;" 1")),1),'Currency Master'!A:A,0)),IF(C393="Australia",INDEX('Currency Master'!T:T,MATCH(DATE(N393,MONTH(DATEVALUE(O393&amp;" 1")),1),'Currency Master'!A:A,0)),"")))</f>
        <v>62.749088</v>
      </c>
      <c r="J393" s="3">
        <f t="shared" si="24"/>
        <v>46421.602559999999</v>
      </c>
      <c r="K393" s="3" t="str">
        <f t="shared" si="25"/>
        <v>₹/Candy</v>
      </c>
      <c r="L393" s="3">
        <v>3.3099999999999997E-2</v>
      </c>
      <c r="M393" s="3"/>
      <c r="N393" s="3">
        <f t="shared" si="26"/>
        <v>2015</v>
      </c>
      <c r="O393" s="3" t="str">
        <f t="shared" si="27"/>
        <v>April</v>
      </c>
      <c r="P393" s="3" t="s">
        <v>22</v>
      </c>
      <c r="Q393" s="3"/>
    </row>
    <row r="394" spans="1:17" hidden="1" x14ac:dyDescent="0.3">
      <c r="A394" s="2">
        <v>42064</v>
      </c>
      <c r="B394" s="3" t="s">
        <v>12</v>
      </c>
      <c r="C394" s="3" t="s">
        <v>19</v>
      </c>
      <c r="D394" s="3" t="s">
        <v>20</v>
      </c>
      <c r="E394" s="3" t="s">
        <v>21</v>
      </c>
      <c r="F394" s="3">
        <v>44435.536588000003</v>
      </c>
      <c r="G394" s="3" t="s">
        <v>16</v>
      </c>
      <c r="H394" s="3" t="s">
        <v>17</v>
      </c>
      <c r="I394" s="3">
        <f>IF(C394="India",1,IF(C394="USA",INDEX('Currency Master'!B:B,MATCH(DATE(N394,MONTH(DATEVALUE(O394&amp;" 1")),1),'Currency Master'!A:A,0)),IF(C394="Australia",INDEX('Currency Master'!T:T,MATCH(DATE(N394,MONTH(DATEVALUE(O394&amp;" 1")),1),'Currency Master'!A:A,0)),"")))</f>
        <v>62.507221999999999</v>
      </c>
      <c r="J394" s="3">
        <f t="shared" si="24"/>
        <v>44435.536588000003</v>
      </c>
      <c r="K394" s="3" t="str">
        <f t="shared" si="25"/>
        <v>₹/Candy</v>
      </c>
      <c r="L394" s="3">
        <v>-6.4999999999999997E-3</v>
      </c>
      <c r="M394" s="3"/>
      <c r="N394" s="3">
        <f t="shared" si="26"/>
        <v>2015</v>
      </c>
      <c r="O394" s="3" t="str">
        <f t="shared" si="27"/>
        <v>March</v>
      </c>
      <c r="P394" s="3" t="s">
        <v>22</v>
      </c>
      <c r="Q394" s="3"/>
    </row>
    <row r="395" spans="1:17" hidden="1" x14ac:dyDescent="0.3">
      <c r="A395" s="2">
        <v>42036</v>
      </c>
      <c r="B395" s="3" t="s">
        <v>12</v>
      </c>
      <c r="C395" s="3" t="s">
        <v>19</v>
      </c>
      <c r="D395" s="3" t="s">
        <v>20</v>
      </c>
      <c r="E395" s="3" t="s">
        <v>21</v>
      </c>
      <c r="F395" s="3">
        <v>44298.292536000001</v>
      </c>
      <c r="G395" s="3" t="s">
        <v>16</v>
      </c>
      <c r="H395" s="3" t="s">
        <v>17</v>
      </c>
      <c r="I395" s="3">
        <f>IF(C395="India",1,IF(C395="USA",INDEX('Currency Master'!B:B,MATCH(DATE(N395,MONTH(DATEVALUE(O395&amp;" 1")),1),'Currency Master'!A:A,0)),IF(C395="Australia",INDEX('Currency Master'!T:T,MATCH(DATE(N395,MONTH(DATEVALUE(O395&amp;" 1")),1),'Currency Master'!A:A,0)),"")))</f>
        <v>62.060003000000002</v>
      </c>
      <c r="J395" s="3">
        <f t="shared" si="24"/>
        <v>44298.292536000001</v>
      </c>
      <c r="K395" s="3" t="str">
        <f t="shared" si="25"/>
        <v>₹/Candy</v>
      </c>
      <c r="L395" s="3">
        <v>4.0500000000000001E-2</v>
      </c>
      <c r="M395" s="3"/>
      <c r="N395" s="3">
        <f t="shared" si="26"/>
        <v>2015</v>
      </c>
      <c r="O395" s="3" t="str">
        <f t="shared" si="27"/>
        <v>February</v>
      </c>
      <c r="P395" s="3" t="s">
        <v>22</v>
      </c>
      <c r="Q395" s="3"/>
    </row>
    <row r="396" spans="1:17" hidden="1" x14ac:dyDescent="0.3">
      <c r="A396" s="2">
        <v>42005</v>
      </c>
      <c r="B396" s="3" t="s">
        <v>12</v>
      </c>
      <c r="C396" s="3" t="s">
        <v>19</v>
      </c>
      <c r="D396" s="3" t="s">
        <v>20</v>
      </c>
      <c r="E396" s="3" t="s">
        <v>21</v>
      </c>
      <c r="F396" s="3">
        <v>43059.011680000003</v>
      </c>
      <c r="G396" s="3" t="s">
        <v>16</v>
      </c>
      <c r="H396" s="3" t="s">
        <v>17</v>
      </c>
      <c r="I396" s="3">
        <f>IF(C396="India",1,IF(C396="USA",INDEX('Currency Master'!B:B,MATCH(DATE(N396,MONTH(DATEVALUE(O396&amp;" 1")),1),'Currency Master'!A:A,0)),IF(C396="Australia",INDEX('Currency Master'!T:T,MATCH(DATE(N396,MONTH(DATEVALUE(O396&amp;" 1")),1),'Currency Master'!A:A,0)),"")))</f>
        <v>62.127985000000002</v>
      </c>
      <c r="J396" s="3">
        <f t="shared" si="24"/>
        <v>43059.011680000003</v>
      </c>
      <c r="K396" s="3" t="str">
        <f t="shared" si="25"/>
        <v>₹/Candy</v>
      </c>
      <c r="L396" s="3">
        <v>-1.9900000000000001E-2</v>
      </c>
      <c r="M396" s="3"/>
      <c r="N396" s="3">
        <f t="shared" si="26"/>
        <v>2015</v>
      </c>
      <c r="O396" s="3" t="str">
        <f t="shared" si="27"/>
        <v>January</v>
      </c>
      <c r="P396" s="3" t="s">
        <v>22</v>
      </c>
      <c r="Q396" s="3"/>
    </row>
    <row r="397" spans="1:17" hidden="1" x14ac:dyDescent="0.3">
      <c r="A397" s="2">
        <v>41974</v>
      </c>
      <c r="B397" s="3" t="s">
        <v>12</v>
      </c>
      <c r="C397" s="3" t="s">
        <v>19</v>
      </c>
      <c r="D397" s="3" t="s">
        <v>20</v>
      </c>
      <c r="E397" s="3" t="s">
        <v>21</v>
      </c>
      <c r="F397" s="3">
        <v>44390.64748</v>
      </c>
      <c r="G397" s="3" t="s">
        <v>16</v>
      </c>
      <c r="H397" s="3" t="s">
        <v>17</v>
      </c>
      <c r="I397" s="3">
        <f>IF(C397="India",1,IF(C397="USA",INDEX('Currency Master'!B:B,MATCH(DATE(N397,MONTH(DATEVALUE(O397&amp;" 1")),1),'Currency Master'!A:A,0)),IF(C397="Australia",INDEX('Currency Master'!T:T,MATCH(DATE(N397,MONTH(DATEVALUE(O397&amp;" 1")),1),'Currency Master'!A:A,0)),"")))</f>
        <v>62.750776999999999</v>
      </c>
      <c r="J397" s="3">
        <f t="shared" si="24"/>
        <v>44390.64748</v>
      </c>
      <c r="K397" s="3" t="str">
        <f t="shared" si="25"/>
        <v>₹/Candy</v>
      </c>
      <c r="L397" s="3">
        <v>1.34E-2</v>
      </c>
      <c r="M397" s="3"/>
      <c r="N397" s="3">
        <f t="shared" si="26"/>
        <v>2014</v>
      </c>
      <c r="O397" s="3" t="str">
        <f t="shared" si="27"/>
        <v>December</v>
      </c>
      <c r="P397" s="3" t="s">
        <v>22</v>
      </c>
      <c r="Q397" s="3"/>
    </row>
    <row r="398" spans="1:17" hidden="1" x14ac:dyDescent="0.3">
      <c r="A398" s="2">
        <v>41944</v>
      </c>
      <c r="B398" s="3" t="s">
        <v>12</v>
      </c>
      <c r="C398" s="3" t="s">
        <v>19</v>
      </c>
      <c r="D398" s="3" t="s">
        <v>20</v>
      </c>
      <c r="E398" s="3" t="s">
        <v>21</v>
      </c>
      <c r="F398" s="3">
        <v>43409.787380000002</v>
      </c>
      <c r="G398" s="3" t="s">
        <v>16</v>
      </c>
      <c r="H398" s="3" t="s">
        <v>17</v>
      </c>
      <c r="I398" s="3">
        <f>IF(C398="India",1,IF(C398="USA",INDEX('Currency Master'!B:B,MATCH(DATE(N398,MONTH(DATEVALUE(O398&amp;" 1")),1),'Currency Master'!A:A,0)),IF(C398="Australia",INDEX('Currency Master'!T:T,MATCH(DATE(N398,MONTH(DATEVALUE(O398&amp;" 1")),1),'Currency Master'!A:A,0)),"")))</f>
        <v>61.702491999999999</v>
      </c>
      <c r="J398" s="3">
        <f t="shared" si="24"/>
        <v>43409.787380000002</v>
      </c>
      <c r="K398" s="3" t="str">
        <f t="shared" si="25"/>
        <v>₹/Candy</v>
      </c>
      <c r="L398" s="3">
        <v>-3.8699999999999998E-2</v>
      </c>
      <c r="M398" s="3"/>
      <c r="N398" s="3">
        <f t="shared" si="26"/>
        <v>2014</v>
      </c>
      <c r="O398" s="3" t="str">
        <f t="shared" si="27"/>
        <v>November</v>
      </c>
      <c r="P398" s="3" t="s">
        <v>22</v>
      </c>
      <c r="Q398" s="3"/>
    </row>
    <row r="399" spans="1:17" hidden="1" x14ac:dyDescent="0.3">
      <c r="A399" s="2">
        <v>41913</v>
      </c>
      <c r="B399" s="3" t="s">
        <v>12</v>
      </c>
      <c r="C399" s="3" t="s">
        <v>19</v>
      </c>
      <c r="D399" s="3" t="s">
        <v>20</v>
      </c>
      <c r="E399" s="3" t="s">
        <v>21</v>
      </c>
      <c r="F399" s="3">
        <v>44382.502200000003</v>
      </c>
      <c r="G399" s="3" t="s">
        <v>16</v>
      </c>
      <c r="H399" s="3" t="s">
        <v>17</v>
      </c>
      <c r="I399" s="3">
        <f>IF(C399="India",1,IF(C399="USA",INDEX('Currency Master'!B:B,MATCH(DATE(N399,MONTH(DATEVALUE(O399&amp;" 1")),1),'Currency Master'!A:A,0)),IF(C399="Australia",INDEX('Currency Master'!T:T,MATCH(DATE(N399,MONTH(DATEVALUE(O399&amp;" 1")),1),'Currency Master'!A:A,0)),"")))</f>
        <v>61.383819000000003</v>
      </c>
      <c r="J399" s="3">
        <f t="shared" si="24"/>
        <v>44382.502200000003</v>
      </c>
      <c r="K399" s="3" t="str">
        <f t="shared" si="25"/>
        <v>₹/Candy</v>
      </c>
      <c r="L399" s="3">
        <v>-4.3200000000000002E-2</v>
      </c>
      <c r="M399" s="3"/>
      <c r="N399" s="3">
        <f t="shared" si="26"/>
        <v>2014</v>
      </c>
      <c r="O399" s="3" t="str">
        <f t="shared" si="27"/>
        <v>October</v>
      </c>
      <c r="P399" s="3" t="s">
        <v>22</v>
      </c>
      <c r="Q399" s="3"/>
    </row>
    <row r="400" spans="1:17" hidden="1" x14ac:dyDescent="0.3">
      <c r="A400" s="2">
        <v>41883</v>
      </c>
      <c r="B400" s="3" t="s">
        <v>12</v>
      </c>
      <c r="C400" s="3" t="s">
        <v>19</v>
      </c>
      <c r="D400" s="3" t="s">
        <v>20</v>
      </c>
      <c r="E400" s="3" t="s">
        <v>21</v>
      </c>
      <c r="F400" s="3">
        <v>46404.724600000001</v>
      </c>
      <c r="G400" s="3" t="s">
        <v>16</v>
      </c>
      <c r="H400" s="3" t="s">
        <v>17</v>
      </c>
      <c r="I400" s="3">
        <f>IF(C400="India",1,IF(C400="USA",INDEX('Currency Master'!B:B,MATCH(DATE(N400,MONTH(DATEVALUE(O400&amp;" 1")),1),'Currency Master'!A:A,0)),IF(C400="Australia",INDEX('Currency Master'!T:T,MATCH(DATE(N400,MONTH(DATEVALUE(O400&amp;" 1")),1),'Currency Master'!A:A,0)),"")))</f>
        <v>60.902123000000003</v>
      </c>
      <c r="J400" s="3">
        <f t="shared" si="24"/>
        <v>46404.724600000001</v>
      </c>
      <c r="K400" s="3" t="str">
        <f t="shared" si="25"/>
        <v>₹/Candy</v>
      </c>
      <c r="L400" s="3">
        <v>-6.1000000000000004E-3</v>
      </c>
      <c r="M400" s="3"/>
      <c r="N400" s="3">
        <f t="shared" si="26"/>
        <v>2014</v>
      </c>
      <c r="O400" s="3" t="str">
        <f t="shared" si="27"/>
        <v>September</v>
      </c>
      <c r="P400" s="3" t="s">
        <v>22</v>
      </c>
      <c r="Q400" s="3"/>
    </row>
    <row r="401" spans="1:17" hidden="1" x14ac:dyDescent="0.3">
      <c r="A401" s="2">
        <v>41852</v>
      </c>
      <c r="B401" s="3" t="s">
        <v>12</v>
      </c>
      <c r="C401" s="3" t="s">
        <v>19</v>
      </c>
      <c r="D401" s="3" t="s">
        <v>20</v>
      </c>
      <c r="E401" s="3" t="s">
        <v>21</v>
      </c>
      <c r="F401" s="3">
        <v>45740.825539999998</v>
      </c>
      <c r="G401" s="3" t="s">
        <v>16</v>
      </c>
      <c r="H401" s="3" t="s">
        <v>17</v>
      </c>
      <c r="I401" s="3">
        <f>IF(C401="India",1,IF(C401="USA",INDEX('Currency Master'!B:B,MATCH(DATE(N401,MONTH(DATEVALUE(O401&amp;" 1")),1),'Currency Master'!A:A,0)),IF(C401="Australia",INDEX('Currency Master'!T:T,MATCH(DATE(N401,MONTH(DATEVALUE(O401&amp;" 1")),1),'Currency Master'!A:A,0)),"")))</f>
        <v>60.880533999999997</v>
      </c>
      <c r="J401" s="3">
        <f t="shared" si="24"/>
        <v>45740.825539999998</v>
      </c>
      <c r="K401" s="3" t="str">
        <f t="shared" si="25"/>
        <v>₹/Candy</v>
      </c>
      <c r="L401" s="3">
        <v>-0.11890000000000001</v>
      </c>
      <c r="M401" s="3"/>
      <c r="N401" s="3">
        <f t="shared" si="26"/>
        <v>2014</v>
      </c>
      <c r="O401" s="3" t="str">
        <f t="shared" si="27"/>
        <v>August</v>
      </c>
      <c r="P401" s="3" t="s">
        <v>22</v>
      </c>
      <c r="Q401" s="3"/>
    </row>
    <row r="402" spans="1:17" hidden="1" x14ac:dyDescent="0.3">
      <c r="A402" s="2">
        <v>41821</v>
      </c>
      <c r="B402" s="3" t="s">
        <v>12</v>
      </c>
      <c r="C402" s="3" t="s">
        <v>19</v>
      </c>
      <c r="D402" s="3" t="s">
        <v>20</v>
      </c>
      <c r="E402" s="3" t="s">
        <v>21</v>
      </c>
      <c r="F402" s="3">
        <v>50986.053</v>
      </c>
      <c r="G402" s="3" t="s">
        <v>16</v>
      </c>
      <c r="H402" s="3" t="s">
        <v>17</v>
      </c>
      <c r="I402" s="3">
        <f>IF(C402="India",1,IF(C402="USA",INDEX('Currency Master'!B:B,MATCH(DATE(N402,MONTH(DATEVALUE(O402&amp;" 1")),1),'Currency Master'!A:A,0)),IF(C402="Australia",INDEX('Currency Master'!T:T,MATCH(DATE(N402,MONTH(DATEVALUE(O402&amp;" 1")),1),'Currency Master'!A:A,0)),"")))</f>
        <v>60.053117999999998</v>
      </c>
      <c r="J402" s="3">
        <f t="shared" si="24"/>
        <v>50986.053</v>
      </c>
      <c r="K402" s="3" t="str">
        <f t="shared" si="25"/>
        <v>₹/Candy</v>
      </c>
      <c r="L402" s="3">
        <v>-7.4999999999999997E-2</v>
      </c>
      <c r="M402" s="3"/>
      <c r="N402" s="3">
        <f t="shared" si="26"/>
        <v>2014</v>
      </c>
      <c r="O402" s="3" t="str">
        <f t="shared" si="27"/>
        <v>July</v>
      </c>
      <c r="P402" s="3" t="s">
        <v>22</v>
      </c>
      <c r="Q402" s="3"/>
    </row>
    <row r="403" spans="1:17" hidden="1" x14ac:dyDescent="0.3">
      <c r="A403" s="2">
        <v>41791</v>
      </c>
      <c r="B403" s="3" t="s">
        <v>12</v>
      </c>
      <c r="C403" s="3" t="s">
        <v>19</v>
      </c>
      <c r="D403" s="3" t="s">
        <v>20</v>
      </c>
      <c r="E403" s="3" t="s">
        <v>21</v>
      </c>
      <c r="F403" s="3">
        <v>54147.243999999999</v>
      </c>
      <c r="G403" s="3" t="s">
        <v>16</v>
      </c>
      <c r="H403" s="3" t="s">
        <v>17</v>
      </c>
      <c r="I403" s="3">
        <f>IF(C403="India",1,IF(C403="USA",INDEX('Currency Master'!B:B,MATCH(DATE(N403,MONTH(DATEVALUE(O403&amp;" 1")),1),'Currency Master'!A:A,0)),IF(C403="Australia",INDEX('Currency Master'!T:T,MATCH(DATE(N403,MONTH(DATEVALUE(O403&amp;" 1")),1),'Currency Master'!A:A,0)),"")))</f>
        <v>59.742615999999998</v>
      </c>
      <c r="J403" s="3">
        <f t="shared" si="24"/>
        <v>54147.243999999999</v>
      </c>
      <c r="K403" s="3" t="str">
        <f t="shared" si="25"/>
        <v>₹/Candy</v>
      </c>
      <c r="L403" s="3">
        <v>-1.9599999999999999E-2</v>
      </c>
      <c r="M403" s="3"/>
      <c r="N403" s="3">
        <f t="shared" si="26"/>
        <v>2014</v>
      </c>
      <c r="O403" s="3" t="str">
        <f t="shared" si="27"/>
        <v>June</v>
      </c>
      <c r="P403" s="3" t="s">
        <v>22</v>
      </c>
      <c r="Q403" s="3"/>
    </row>
    <row r="404" spans="1:17" hidden="1" x14ac:dyDescent="0.3">
      <c r="A404" s="2">
        <v>41760</v>
      </c>
      <c r="B404" s="3" t="s">
        <v>12</v>
      </c>
      <c r="C404" s="3" t="s">
        <v>19</v>
      </c>
      <c r="D404" s="3" t="s">
        <v>20</v>
      </c>
      <c r="E404" s="3" t="s">
        <v>21</v>
      </c>
      <c r="F404" s="3">
        <v>54396.771520000002</v>
      </c>
      <c r="G404" s="3" t="s">
        <v>16</v>
      </c>
      <c r="H404" s="3" t="s">
        <v>17</v>
      </c>
      <c r="I404" s="3">
        <f>IF(C404="India",1,IF(C404="USA",INDEX('Currency Master'!B:B,MATCH(DATE(N404,MONTH(DATEVALUE(O404&amp;" 1")),1),'Currency Master'!A:A,0)),IF(C404="Australia",INDEX('Currency Master'!T:T,MATCH(DATE(N404,MONTH(DATEVALUE(O404&amp;" 1")),1),'Currency Master'!A:A,0)),"")))</f>
        <v>59.296067999999998</v>
      </c>
      <c r="J404" s="3">
        <f t="shared" si="24"/>
        <v>54396.771520000002</v>
      </c>
      <c r="K404" s="3" t="str">
        <f t="shared" si="25"/>
        <v>₹/Candy</v>
      </c>
      <c r="L404" s="3">
        <v>-1.9199999999999998E-2</v>
      </c>
      <c r="M404" s="3"/>
      <c r="N404" s="3">
        <f t="shared" si="26"/>
        <v>2014</v>
      </c>
      <c r="O404" s="3" t="str">
        <f t="shared" si="27"/>
        <v>May</v>
      </c>
      <c r="P404" s="3" t="s">
        <v>22</v>
      </c>
      <c r="Q404" s="3"/>
    </row>
    <row r="405" spans="1:17" hidden="1" x14ac:dyDescent="0.3">
      <c r="A405" s="2">
        <v>41730</v>
      </c>
      <c r="B405" s="3" t="s">
        <v>12</v>
      </c>
      <c r="C405" s="3" t="s">
        <v>19</v>
      </c>
      <c r="D405" s="3" t="s">
        <v>20</v>
      </c>
      <c r="E405" s="3" t="s">
        <v>21</v>
      </c>
      <c r="F405" s="3">
        <v>56268.61952</v>
      </c>
      <c r="G405" s="3" t="s">
        <v>16</v>
      </c>
      <c r="H405" s="3" t="s">
        <v>17</v>
      </c>
      <c r="I405" s="3">
        <f>IF(C405="India",1,IF(C405="USA",INDEX('Currency Master'!B:B,MATCH(DATE(N405,MONTH(DATEVALUE(O405&amp;" 1")),1),'Currency Master'!A:A,0)),IF(C405="Australia",INDEX('Currency Master'!T:T,MATCH(DATE(N405,MONTH(DATEVALUE(O405&amp;" 1")),1),'Currency Master'!A:A,0)),"")))</f>
        <v>60.352524000000003</v>
      </c>
      <c r="J405" s="3">
        <f t="shared" si="24"/>
        <v>56268.61952</v>
      </c>
      <c r="K405" s="3" t="str">
        <f t="shared" si="25"/>
        <v>₹/Candy</v>
      </c>
      <c r="L405" s="3">
        <v>-2.8000000000000001E-2</v>
      </c>
      <c r="M405" s="3"/>
      <c r="N405" s="3">
        <f t="shared" si="26"/>
        <v>2014</v>
      </c>
      <c r="O405" s="3" t="str">
        <f t="shared" si="27"/>
        <v>April</v>
      </c>
      <c r="P405" s="3" t="s">
        <v>22</v>
      </c>
      <c r="Q405" s="3"/>
    </row>
    <row r="406" spans="1:17" hidden="1" x14ac:dyDescent="0.3">
      <c r="A406" s="2">
        <v>41699</v>
      </c>
      <c r="B406" s="3" t="s">
        <v>12</v>
      </c>
      <c r="C406" s="3" t="s">
        <v>19</v>
      </c>
      <c r="D406" s="3" t="s">
        <v>20</v>
      </c>
      <c r="E406" s="3" t="s">
        <v>21</v>
      </c>
      <c r="F406" s="3">
        <v>57405.630120000002</v>
      </c>
      <c r="G406" s="3" t="s">
        <v>16</v>
      </c>
      <c r="H406" s="3" t="s">
        <v>17</v>
      </c>
      <c r="I406" s="3">
        <f>IF(C406="India",1,IF(C406="USA",INDEX('Currency Master'!B:B,MATCH(DATE(N406,MONTH(DATEVALUE(O406&amp;" 1")),1),'Currency Master'!A:A,0)),IF(C406="Australia",INDEX('Currency Master'!T:T,MATCH(DATE(N406,MONTH(DATEVALUE(O406&amp;" 1")),1),'Currency Master'!A:A,0)),"")))</f>
        <v>60.986502999999999</v>
      </c>
      <c r="J406" s="3">
        <f t="shared" si="24"/>
        <v>57405.630120000002</v>
      </c>
      <c r="K406" s="3" t="str">
        <f t="shared" si="25"/>
        <v>₹/Candy</v>
      </c>
      <c r="L406" s="3">
        <v>3.3799999999999997E-2</v>
      </c>
      <c r="M406" s="3"/>
      <c r="N406" s="3">
        <f t="shared" si="26"/>
        <v>2014</v>
      </c>
      <c r="O406" s="3" t="str">
        <f t="shared" si="27"/>
        <v>March</v>
      </c>
      <c r="P406" s="3" t="s">
        <v>22</v>
      </c>
      <c r="Q406" s="3"/>
    </row>
    <row r="407" spans="1:17" hidden="1" x14ac:dyDescent="0.3">
      <c r="A407" s="2">
        <v>41671</v>
      </c>
      <c r="B407" s="3" t="s">
        <v>12</v>
      </c>
      <c r="C407" s="3" t="s">
        <v>19</v>
      </c>
      <c r="D407" s="3" t="s">
        <v>20</v>
      </c>
      <c r="E407" s="3" t="s">
        <v>21</v>
      </c>
      <c r="F407" s="3">
        <v>57207.715479999999</v>
      </c>
      <c r="G407" s="3" t="s">
        <v>16</v>
      </c>
      <c r="H407" s="3" t="s">
        <v>17</v>
      </c>
      <c r="I407" s="3">
        <f>IF(C407="India",1,IF(C407="USA",INDEX('Currency Master'!B:B,MATCH(DATE(N407,MONTH(DATEVALUE(O407&amp;" 1")),1),'Currency Master'!A:A,0)),IF(C407="Australia",INDEX('Currency Master'!T:T,MATCH(DATE(N407,MONTH(DATEVALUE(O407&amp;" 1")),1),'Currency Master'!A:A,0)),"")))</f>
        <v>62.197125999999997</v>
      </c>
      <c r="J407" s="3">
        <f t="shared" si="24"/>
        <v>57207.715479999999</v>
      </c>
      <c r="K407" s="3" t="str">
        <f t="shared" si="25"/>
        <v>₹/Candy</v>
      </c>
      <c r="L407" s="3">
        <v>2.9899999999999999E-2</v>
      </c>
      <c r="M407" s="3"/>
      <c r="N407" s="3">
        <f t="shared" si="26"/>
        <v>2014</v>
      </c>
      <c r="O407" s="3" t="str">
        <f t="shared" si="27"/>
        <v>February</v>
      </c>
      <c r="P407" s="3" t="s">
        <v>22</v>
      </c>
      <c r="Q407" s="3"/>
    </row>
    <row r="408" spans="1:17" hidden="1" x14ac:dyDescent="0.3">
      <c r="A408" s="2">
        <v>41640</v>
      </c>
      <c r="B408" s="3" t="s">
        <v>12</v>
      </c>
      <c r="C408" s="3" t="s">
        <v>19</v>
      </c>
      <c r="D408" s="3" t="s">
        <v>20</v>
      </c>
      <c r="E408" s="3" t="s">
        <v>21</v>
      </c>
      <c r="F408" s="3">
        <v>56456.43088</v>
      </c>
      <c r="G408" s="3" t="s">
        <v>16</v>
      </c>
      <c r="H408" s="3" t="s">
        <v>17</v>
      </c>
      <c r="I408" s="3">
        <f>IF(C408="India",1,IF(C408="USA",INDEX('Currency Master'!B:B,MATCH(DATE(N408,MONTH(DATEVALUE(O408&amp;" 1")),1),'Currency Master'!A:A,0)),IF(C408="Australia",INDEX('Currency Master'!T:T,MATCH(DATE(N408,MONTH(DATEVALUE(O408&amp;" 1")),1),'Currency Master'!A:A,0)),"")))</f>
        <v>62.092844999999997</v>
      </c>
      <c r="J408" s="3">
        <f t="shared" si="24"/>
        <v>56456.43088</v>
      </c>
      <c r="K408" s="3" t="str">
        <f t="shared" si="25"/>
        <v>₹/Candy</v>
      </c>
      <c r="L408" s="3">
        <v>4.1500000000000002E-2</v>
      </c>
      <c r="M408" s="3"/>
      <c r="N408" s="3">
        <f t="shared" si="26"/>
        <v>2014</v>
      </c>
      <c r="O408" s="3" t="str">
        <f t="shared" si="27"/>
        <v>January</v>
      </c>
      <c r="P408" s="3" t="s">
        <v>22</v>
      </c>
      <c r="Q408" s="3"/>
    </row>
    <row r="409" spans="1:17" hidden="1" x14ac:dyDescent="0.3">
      <c r="A409" s="2">
        <v>41609</v>
      </c>
      <c r="B409" s="3" t="s">
        <v>12</v>
      </c>
      <c r="C409" s="3" t="s">
        <v>19</v>
      </c>
      <c r="D409" s="3" t="s">
        <v>20</v>
      </c>
      <c r="E409" s="3" t="s">
        <v>21</v>
      </c>
      <c r="F409" s="3">
        <v>53827.698400000001</v>
      </c>
      <c r="G409" s="3" t="s">
        <v>16</v>
      </c>
      <c r="H409" s="3" t="s">
        <v>17</v>
      </c>
      <c r="I409" s="3">
        <f>IF(C409="India",1,IF(C409="USA",INDEX('Currency Master'!B:B,MATCH(DATE(N409,MONTH(DATEVALUE(O409&amp;" 1")),1),'Currency Master'!A:A,0)),IF(C409="Australia",INDEX('Currency Master'!T:T,MATCH(DATE(N409,MONTH(DATEVALUE(O409&amp;" 1")),1),'Currency Master'!A:A,0)),"")))</f>
        <v>61.855358000000003</v>
      </c>
      <c r="J409" s="3">
        <f t="shared" si="24"/>
        <v>53827.698400000001</v>
      </c>
      <c r="K409" s="3" t="str">
        <f t="shared" si="25"/>
        <v>₹/Candy</v>
      </c>
      <c r="L409" s="3">
        <v>3.2099999999999997E-2</v>
      </c>
      <c r="M409" s="3"/>
      <c r="N409" s="3">
        <f t="shared" si="26"/>
        <v>2013</v>
      </c>
      <c r="O409" s="3" t="str">
        <f t="shared" si="27"/>
        <v>December</v>
      </c>
      <c r="P409" s="3" t="s">
        <v>22</v>
      </c>
      <c r="Q409" s="3"/>
    </row>
    <row r="410" spans="1:17" hidden="1" x14ac:dyDescent="0.3">
      <c r="A410" s="2">
        <v>41579</v>
      </c>
      <c r="B410" s="3" t="s">
        <v>12</v>
      </c>
      <c r="C410" s="3" t="s">
        <v>19</v>
      </c>
      <c r="D410" s="3" t="s">
        <v>20</v>
      </c>
      <c r="E410" s="3" t="s">
        <v>21</v>
      </c>
      <c r="F410" s="3">
        <v>52806.965587999999</v>
      </c>
      <c r="G410" s="3" t="s">
        <v>16</v>
      </c>
      <c r="H410" s="3" t="s">
        <v>17</v>
      </c>
      <c r="I410" s="3">
        <f>IF(C410="India",1,IF(C410="USA",INDEX('Currency Master'!B:B,MATCH(DATE(N410,MONTH(DATEVALUE(O410&amp;" 1")),1),'Currency Master'!A:A,0)),IF(C410="Australia",INDEX('Currency Master'!T:T,MATCH(DATE(N410,MONTH(DATEVALUE(O410&amp;" 1")),1),'Currency Master'!A:A,0)),"")))</f>
        <v>62.626136000000002</v>
      </c>
      <c r="J410" s="3">
        <f t="shared" si="24"/>
        <v>52806.965587999999</v>
      </c>
      <c r="K410" s="3" t="str">
        <f t="shared" si="25"/>
        <v>₹/Candy</v>
      </c>
      <c r="L410" s="3">
        <v>-5.0799999999999998E-2</v>
      </c>
      <c r="M410" s="3"/>
      <c r="N410" s="3">
        <f t="shared" si="26"/>
        <v>2013</v>
      </c>
      <c r="O410" s="3" t="str">
        <f t="shared" si="27"/>
        <v>November</v>
      </c>
      <c r="P410" s="3" t="s">
        <v>22</v>
      </c>
      <c r="Q410" s="3"/>
    </row>
    <row r="411" spans="1:17" hidden="1" x14ac:dyDescent="0.3">
      <c r="A411" s="2">
        <v>41548</v>
      </c>
      <c r="B411" s="3" t="s">
        <v>12</v>
      </c>
      <c r="C411" s="3" t="s">
        <v>19</v>
      </c>
      <c r="D411" s="3" t="s">
        <v>20</v>
      </c>
      <c r="E411" s="3" t="s">
        <v>21</v>
      </c>
      <c r="F411" s="3">
        <v>54652.243527999999</v>
      </c>
      <c r="G411" s="3" t="s">
        <v>16</v>
      </c>
      <c r="H411" s="3" t="s">
        <v>17</v>
      </c>
      <c r="I411" s="3">
        <f>IF(C411="India",1,IF(C411="USA",INDEX('Currency Master'!B:B,MATCH(DATE(N411,MONTH(DATEVALUE(O411&amp;" 1")),1),'Currency Master'!A:A,0)),IF(C411="Australia",INDEX('Currency Master'!T:T,MATCH(DATE(N411,MONTH(DATEVALUE(O411&amp;" 1")),1),'Currency Master'!A:A,0)),"")))</f>
        <v>61.612586999999998</v>
      </c>
      <c r="J411" s="3">
        <f t="shared" si="24"/>
        <v>54652.243527999999</v>
      </c>
      <c r="K411" s="3" t="str">
        <f t="shared" si="25"/>
        <v>₹/Candy</v>
      </c>
      <c r="L411" s="3">
        <v>-1.01E-2</v>
      </c>
      <c r="M411" s="3"/>
      <c r="N411" s="3">
        <f t="shared" si="26"/>
        <v>2013</v>
      </c>
      <c r="O411" s="3" t="str">
        <f t="shared" si="27"/>
        <v>October</v>
      </c>
      <c r="P411" s="3" t="s">
        <v>22</v>
      </c>
      <c r="Q411" s="3"/>
    </row>
    <row r="412" spans="1:17" hidden="1" x14ac:dyDescent="0.3">
      <c r="A412" s="2">
        <v>41518</v>
      </c>
      <c r="B412" s="3" t="s">
        <v>12</v>
      </c>
      <c r="C412" s="3" t="s">
        <v>19</v>
      </c>
      <c r="D412" s="3" t="s">
        <v>20</v>
      </c>
      <c r="E412" s="3" t="s">
        <v>21</v>
      </c>
      <c r="F412" s="3">
        <v>55883.696300000003</v>
      </c>
      <c r="G412" s="3" t="s">
        <v>16</v>
      </c>
      <c r="H412" s="3" t="s">
        <v>17</v>
      </c>
      <c r="I412" s="3">
        <f>IF(C412="India",1,IF(C412="USA",INDEX('Currency Master'!B:B,MATCH(DATE(N412,MONTH(DATEVALUE(O412&amp;" 1")),1),'Currency Master'!A:A,0)),IF(C412="Australia",INDEX('Currency Master'!T:T,MATCH(DATE(N412,MONTH(DATEVALUE(O412&amp;" 1")),1),'Currency Master'!A:A,0)),"")))</f>
        <v>63.896438000000003</v>
      </c>
      <c r="J412" s="3">
        <f t="shared" si="24"/>
        <v>55883.696300000003</v>
      </c>
      <c r="K412" s="3" t="str">
        <f t="shared" si="25"/>
        <v>₹/Candy</v>
      </c>
      <c r="L412" s="3">
        <v>-2.4500000000000001E-2</v>
      </c>
      <c r="M412" s="3"/>
      <c r="N412" s="3">
        <f t="shared" si="26"/>
        <v>2013</v>
      </c>
      <c r="O412" s="3" t="str">
        <f t="shared" si="27"/>
        <v>September</v>
      </c>
      <c r="P412" s="3" t="s">
        <v>22</v>
      </c>
      <c r="Q412" s="3"/>
    </row>
    <row r="413" spans="1:17" hidden="1" x14ac:dyDescent="0.3">
      <c r="A413" s="2">
        <v>41487</v>
      </c>
      <c r="B413" s="3" t="s">
        <v>12</v>
      </c>
      <c r="C413" s="3" t="s">
        <v>19</v>
      </c>
      <c r="D413" s="3" t="s">
        <v>20</v>
      </c>
      <c r="E413" s="3" t="s">
        <v>21</v>
      </c>
      <c r="F413" s="3">
        <v>59605.364800000003</v>
      </c>
      <c r="G413" s="3" t="s">
        <v>16</v>
      </c>
      <c r="H413" s="3" t="s">
        <v>17</v>
      </c>
      <c r="I413" s="3">
        <f>IF(C413="India",1,IF(C413="USA",INDEX('Currency Master'!B:B,MATCH(DATE(N413,MONTH(DATEVALUE(O413&amp;" 1")),1),'Currency Master'!A:A,0)),IF(C413="Australia",INDEX('Currency Master'!T:T,MATCH(DATE(N413,MONTH(DATEVALUE(O413&amp;" 1")),1),'Currency Master'!A:A,0)),"")))</f>
        <v>63.071268000000003</v>
      </c>
      <c r="J413" s="3">
        <f t="shared" si="24"/>
        <v>59605.364800000003</v>
      </c>
      <c r="K413" s="3" t="str">
        <f t="shared" si="25"/>
        <v>₹/Candy</v>
      </c>
      <c r="L413" s="3">
        <v>0</v>
      </c>
      <c r="M413" s="3"/>
      <c r="N413" s="3">
        <f t="shared" si="26"/>
        <v>2013</v>
      </c>
      <c r="O413" s="3" t="str">
        <f t="shared" si="27"/>
        <v>August</v>
      </c>
      <c r="P413" s="3" t="s">
        <v>22</v>
      </c>
      <c r="Q413" s="3"/>
    </row>
    <row r="414" spans="1:17" hidden="1" x14ac:dyDescent="0.3">
      <c r="A414" s="2">
        <v>41456</v>
      </c>
      <c r="B414" s="3" t="s">
        <v>12</v>
      </c>
      <c r="C414" s="3" t="s">
        <v>19</v>
      </c>
      <c r="D414" s="3" t="s">
        <v>20</v>
      </c>
      <c r="E414" s="3" t="s">
        <v>21</v>
      </c>
      <c r="F414" s="3">
        <v>55722.885759999997</v>
      </c>
      <c r="G414" s="3" t="s">
        <v>16</v>
      </c>
      <c r="H414" s="3" t="s">
        <v>17</v>
      </c>
      <c r="I414" s="3">
        <f>IF(C414="India",1,IF(C414="USA",INDEX('Currency Master'!B:B,MATCH(DATE(N414,MONTH(DATEVALUE(O414&amp;" 1")),1),'Currency Master'!A:A,0)),IF(C414="Australia",INDEX('Currency Master'!T:T,MATCH(DATE(N414,MONTH(DATEVALUE(O414&amp;" 1")),1),'Currency Master'!A:A,0)),"")))</f>
        <v>59.769353000000002</v>
      </c>
      <c r="J414" s="3">
        <f t="shared" si="24"/>
        <v>55722.885759999997</v>
      </c>
      <c r="K414" s="3" t="str">
        <f t="shared" si="25"/>
        <v>₹/Candy</v>
      </c>
      <c r="L414" s="3">
        <v>-4.8999999999999998E-3</v>
      </c>
      <c r="M414" s="3"/>
      <c r="N414" s="3">
        <f t="shared" si="26"/>
        <v>2013</v>
      </c>
      <c r="O414" s="3" t="str">
        <f t="shared" si="27"/>
        <v>July</v>
      </c>
      <c r="P414" s="3" t="s">
        <v>22</v>
      </c>
      <c r="Q414" s="3"/>
    </row>
    <row r="415" spans="1:17" hidden="1" x14ac:dyDescent="0.3">
      <c r="A415" s="2">
        <v>41426</v>
      </c>
      <c r="B415" s="3" t="s">
        <v>12</v>
      </c>
      <c r="C415" s="3" t="s">
        <v>19</v>
      </c>
      <c r="D415" s="3" t="s">
        <v>20</v>
      </c>
      <c r="E415" s="3" t="s">
        <v>21</v>
      </c>
      <c r="F415" s="3">
        <v>54903.873939999998</v>
      </c>
      <c r="G415" s="3" t="s">
        <v>16</v>
      </c>
      <c r="H415" s="3" t="s">
        <v>17</v>
      </c>
      <c r="I415" s="3">
        <f>IF(C415="India",1,IF(C415="USA",INDEX('Currency Master'!B:B,MATCH(DATE(N415,MONTH(DATEVALUE(O415&amp;" 1")),1),'Currency Master'!A:A,0)),IF(C415="Australia",INDEX('Currency Master'!T:T,MATCH(DATE(N415,MONTH(DATEVALUE(O415&amp;" 1")),1),'Currency Master'!A:A,0)),"")))</f>
        <v>58.406112999999998</v>
      </c>
      <c r="J415" s="3">
        <f t="shared" si="24"/>
        <v>54903.873939999998</v>
      </c>
      <c r="K415" s="3" t="str">
        <f t="shared" si="25"/>
        <v>₹/Candy</v>
      </c>
      <c r="L415" s="3">
        <v>4.8999999999999998E-3</v>
      </c>
      <c r="M415" s="3"/>
      <c r="N415" s="3">
        <f t="shared" si="26"/>
        <v>2013</v>
      </c>
      <c r="O415" s="3" t="str">
        <f t="shared" si="27"/>
        <v>June</v>
      </c>
      <c r="P415" s="3" t="s">
        <v>22</v>
      </c>
      <c r="Q415" s="3"/>
    </row>
    <row r="416" spans="1:17" hidden="1" x14ac:dyDescent="0.3">
      <c r="A416" s="2">
        <v>41395</v>
      </c>
      <c r="B416" s="3" t="s">
        <v>12</v>
      </c>
      <c r="C416" s="3" t="s">
        <v>19</v>
      </c>
      <c r="D416" s="3" t="s">
        <v>20</v>
      </c>
      <c r="E416" s="3" t="s">
        <v>21</v>
      </c>
      <c r="F416" s="3">
        <v>52311.73648</v>
      </c>
      <c r="G416" s="3" t="s">
        <v>16</v>
      </c>
      <c r="H416" s="3" t="s">
        <v>17</v>
      </c>
      <c r="I416" s="3">
        <f>IF(C416="India",1,IF(C416="USA",INDEX('Currency Master'!B:B,MATCH(DATE(N416,MONTH(DATEVALUE(O416&amp;" 1")),1),'Currency Master'!A:A,0)),IF(C416="Australia",INDEX('Currency Master'!T:T,MATCH(DATE(N416,MONTH(DATEVALUE(O416&amp;" 1")),1),'Currency Master'!A:A,0)),"")))</f>
        <v>55.061478999999999</v>
      </c>
      <c r="J416" s="3">
        <f t="shared" si="24"/>
        <v>52311.73648</v>
      </c>
      <c r="K416" s="3" t="str">
        <f t="shared" si="25"/>
        <v>₹/Candy</v>
      </c>
      <c r="L416" s="3">
        <v>4.8999999999999998E-3</v>
      </c>
      <c r="M416" s="3"/>
      <c r="N416" s="3">
        <f t="shared" si="26"/>
        <v>2013</v>
      </c>
      <c r="O416" s="3" t="str">
        <f t="shared" si="27"/>
        <v>May</v>
      </c>
      <c r="P416" s="3" t="s">
        <v>22</v>
      </c>
      <c r="Q416" s="3"/>
    </row>
    <row r="417" spans="1:17" hidden="1" x14ac:dyDescent="0.3">
      <c r="A417" s="2">
        <v>41365</v>
      </c>
      <c r="B417" s="3" t="s">
        <v>12</v>
      </c>
      <c r="C417" s="3" t="s">
        <v>19</v>
      </c>
      <c r="D417" s="3" t="s">
        <v>20</v>
      </c>
      <c r="E417" s="3" t="s">
        <v>21</v>
      </c>
      <c r="F417" s="3">
        <v>49792.808640000003</v>
      </c>
      <c r="G417" s="3" t="s">
        <v>16</v>
      </c>
      <c r="H417" s="3" t="s">
        <v>17</v>
      </c>
      <c r="I417" s="3">
        <f>IF(C417="India",1,IF(C417="USA",INDEX('Currency Master'!B:B,MATCH(DATE(N417,MONTH(DATEVALUE(O417&amp;" 1")),1),'Currency Master'!A:A,0)),IF(C417="Australia",INDEX('Currency Master'!T:T,MATCH(DATE(N417,MONTH(DATEVALUE(O417&amp;" 1")),1),'Currency Master'!A:A,0)),"")))</f>
        <v>54.333561000000003</v>
      </c>
      <c r="J417" s="3">
        <f t="shared" si="24"/>
        <v>49792.808640000003</v>
      </c>
      <c r="K417" s="3" t="str">
        <f t="shared" si="25"/>
        <v>₹/Candy</v>
      </c>
      <c r="L417" s="3">
        <v>-2.4E-2</v>
      </c>
      <c r="M417" s="3"/>
      <c r="N417" s="3">
        <f t="shared" si="26"/>
        <v>2013</v>
      </c>
      <c r="O417" s="3" t="str">
        <f t="shared" si="27"/>
        <v>April</v>
      </c>
      <c r="P417" s="3" t="s">
        <v>22</v>
      </c>
      <c r="Q417" s="3"/>
    </row>
    <row r="418" spans="1:17" hidden="1" x14ac:dyDescent="0.3">
      <c r="A418" s="2">
        <v>41334</v>
      </c>
      <c r="B418" s="3" t="s">
        <v>12</v>
      </c>
      <c r="C418" s="3" t="s">
        <v>19</v>
      </c>
      <c r="D418" s="3" t="s">
        <v>20</v>
      </c>
      <c r="E418" s="3" t="s">
        <v>21</v>
      </c>
      <c r="F418" s="3">
        <v>51332.579839999999</v>
      </c>
      <c r="G418" s="3" t="s">
        <v>16</v>
      </c>
      <c r="H418" s="3" t="s">
        <v>17</v>
      </c>
      <c r="I418" s="3">
        <f>IF(C418="India",1,IF(C418="USA",INDEX('Currency Master'!B:B,MATCH(DATE(N418,MONTH(DATEVALUE(O418&amp;" 1")),1),'Currency Master'!A:A,0)),IF(C418="Australia",INDEX('Currency Master'!T:T,MATCH(DATE(N418,MONTH(DATEVALUE(O418&amp;" 1")),1),'Currency Master'!A:A,0)),"")))</f>
        <v>54.427458999999999</v>
      </c>
      <c r="J418" s="3">
        <f t="shared" si="24"/>
        <v>51332.579839999999</v>
      </c>
      <c r="K418" s="3" t="str">
        <f t="shared" si="25"/>
        <v>₹/Candy</v>
      </c>
      <c r="L418" s="3">
        <v>5.0500000000000003E-2</v>
      </c>
      <c r="M418" s="3"/>
      <c r="N418" s="3">
        <f t="shared" si="26"/>
        <v>2013</v>
      </c>
      <c r="O418" s="3" t="str">
        <f t="shared" si="27"/>
        <v>March</v>
      </c>
      <c r="P418" s="3" t="s">
        <v>22</v>
      </c>
      <c r="Q418" s="3"/>
    </row>
    <row r="419" spans="1:17" hidden="1" x14ac:dyDescent="0.3">
      <c r="A419" s="2">
        <v>41306</v>
      </c>
      <c r="B419" s="3" t="s">
        <v>12</v>
      </c>
      <c r="C419" s="3" t="s">
        <v>19</v>
      </c>
      <c r="D419" s="3" t="s">
        <v>20</v>
      </c>
      <c r="E419" s="3" t="s">
        <v>21</v>
      </c>
      <c r="F419" s="3">
        <v>49272.88132</v>
      </c>
      <c r="G419" s="3" t="s">
        <v>16</v>
      </c>
      <c r="H419" s="3" t="s">
        <v>17</v>
      </c>
      <c r="I419" s="3">
        <f>IF(C419="India",1,IF(C419="USA",INDEX('Currency Master'!B:B,MATCH(DATE(N419,MONTH(DATEVALUE(O419&amp;" 1")),1),'Currency Master'!A:A,0)),IF(C419="Australia",INDEX('Currency Master'!T:T,MATCH(DATE(N419,MONTH(DATEVALUE(O419&amp;" 1")),1),'Currency Master'!A:A,0)),"")))</f>
        <v>53.850726999999999</v>
      </c>
      <c r="J419" s="3">
        <f t="shared" si="24"/>
        <v>49272.88132</v>
      </c>
      <c r="K419" s="3" t="str">
        <f t="shared" si="25"/>
        <v>₹/Candy</v>
      </c>
      <c r="L419" s="3">
        <v>4.7600000000000003E-2</v>
      </c>
      <c r="M419" s="3"/>
      <c r="N419" s="3">
        <f t="shared" si="26"/>
        <v>2013</v>
      </c>
      <c r="O419" s="3" t="str">
        <f t="shared" si="27"/>
        <v>February</v>
      </c>
      <c r="P419" s="3" t="s">
        <v>22</v>
      </c>
      <c r="Q419" s="3"/>
    </row>
    <row r="420" spans="1:17" hidden="1" x14ac:dyDescent="0.3">
      <c r="A420" s="2">
        <v>41275</v>
      </c>
      <c r="B420" s="3" t="s">
        <v>12</v>
      </c>
      <c r="C420" s="3" t="s">
        <v>19</v>
      </c>
      <c r="D420" s="3" t="s">
        <v>20</v>
      </c>
      <c r="E420" s="3" t="s">
        <v>21</v>
      </c>
      <c r="F420" s="3">
        <v>46539.004240000002</v>
      </c>
      <c r="G420" s="3" t="s">
        <v>16</v>
      </c>
      <c r="H420" s="3" t="s">
        <v>17</v>
      </c>
      <c r="I420" s="3">
        <f>IF(C420="India",1,IF(C420="USA",INDEX('Currency Master'!B:B,MATCH(DATE(N420,MONTH(DATEVALUE(O420&amp;" 1")),1),'Currency Master'!A:A,0)),IF(C420="Australia",INDEX('Currency Master'!T:T,MATCH(DATE(N420,MONTH(DATEVALUE(O420&amp;" 1")),1),'Currency Master'!A:A,0)),"")))</f>
        <v>54.243630000000003</v>
      </c>
      <c r="J420" s="3">
        <f t="shared" si="24"/>
        <v>46539.004240000002</v>
      </c>
      <c r="K420" s="3" t="str">
        <f t="shared" si="25"/>
        <v>₹/Candy</v>
      </c>
      <c r="L420" s="3">
        <v>2.7199999999999998E-2</v>
      </c>
      <c r="M420" s="3"/>
      <c r="N420" s="3">
        <f t="shared" si="26"/>
        <v>2013</v>
      </c>
      <c r="O420" s="3" t="str">
        <f t="shared" si="27"/>
        <v>January</v>
      </c>
      <c r="P420" s="3" t="s">
        <v>22</v>
      </c>
      <c r="Q420" s="3"/>
    </row>
    <row r="421" spans="1:17" hidden="1" x14ac:dyDescent="0.3">
      <c r="A421" s="2">
        <v>41244</v>
      </c>
      <c r="B421" s="3" t="s">
        <v>12</v>
      </c>
      <c r="C421" s="3" t="s">
        <v>19</v>
      </c>
      <c r="D421" s="3" t="s">
        <v>20</v>
      </c>
      <c r="E421" s="3" t="s">
        <v>21</v>
      </c>
      <c r="F421" s="3">
        <v>46742.71456</v>
      </c>
      <c r="G421" s="3" t="s">
        <v>16</v>
      </c>
      <c r="H421" s="3" t="s">
        <v>17</v>
      </c>
      <c r="I421" s="3">
        <f>IF(C421="India",1,IF(C421="USA",INDEX('Currency Master'!B:B,MATCH(DATE(N421,MONTH(DATEVALUE(O421&amp;" 1")),1),'Currency Master'!A:A,0)),IF(C421="Australia",INDEX('Currency Master'!T:T,MATCH(DATE(N421,MONTH(DATEVALUE(O421&amp;" 1")),1),'Currency Master'!A:A,0)),"")))</f>
        <v>54.646414</v>
      </c>
      <c r="J421" s="3">
        <f t="shared" si="24"/>
        <v>46742.71456</v>
      </c>
      <c r="K421" s="3" t="str">
        <f t="shared" si="25"/>
        <v>₹/Candy</v>
      </c>
      <c r="L421" s="3">
        <v>3.3700000000000001E-2</v>
      </c>
      <c r="M421" s="3"/>
      <c r="N421" s="3">
        <f t="shared" si="26"/>
        <v>2012</v>
      </c>
      <c r="O421" s="3" t="str">
        <f t="shared" si="27"/>
        <v>December</v>
      </c>
      <c r="P421" s="3" t="s">
        <v>22</v>
      </c>
      <c r="Q421" s="3"/>
    </row>
    <row r="422" spans="1:17" hidden="1" x14ac:dyDescent="0.3">
      <c r="A422" s="2">
        <v>41214</v>
      </c>
      <c r="B422" s="3" t="s">
        <v>12</v>
      </c>
      <c r="C422" s="3" t="s">
        <v>19</v>
      </c>
      <c r="D422" s="3" t="s">
        <v>20</v>
      </c>
      <c r="E422" s="3" t="s">
        <v>21</v>
      </c>
      <c r="F422" s="3">
        <v>44941.824480000003</v>
      </c>
      <c r="G422" s="3" t="s">
        <v>16</v>
      </c>
      <c r="H422" s="3" t="s">
        <v>17</v>
      </c>
      <c r="I422" s="3">
        <f>IF(C422="India",1,IF(C422="USA",INDEX('Currency Master'!B:B,MATCH(DATE(N422,MONTH(DATEVALUE(O422&amp;" 1")),1),'Currency Master'!A:A,0)),IF(C422="Australia",INDEX('Currency Master'!T:T,MATCH(DATE(N422,MONTH(DATEVALUE(O422&amp;" 1")),1),'Currency Master'!A:A,0)),"")))</f>
        <v>54.822263</v>
      </c>
      <c r="J422" s="3">
        <f t="shared" si="24"/>
        <v>44941.824480000003</v>
      </c>
      <c r="K422" s="3" t="str">
        <f t="shared" si="25"/>
        <v>₹/Candy</v>
      </c>
      <c r="L422" s="3">
        <v>-1.66E-2</v>
      </c>
      <c r="M422" s="3"/>
      <c r="N422" s="3">
        <f t="shared" si="26"/>
        <v>2012</v>
      </c>
      <c r="O422" s="3" t="str">
        <f t="shared" si="27"/>
        <v>November</v>
      </c>
      <c r="P422" s="3" t="s">
        <v>22</v>
      </c>
      <c r="Q422" s="3"/>
    </row>
    <row r="423" spans="1:17" hidden="1" x14ac:dyDescent="0.3">
      <c r="A423" s="2">
        <v>41183</v>
      </c>
      <c r="B423" s="3" t="s">
        <v>12</v>
      </c>
      <c r="C423" s="3" t="s">
        <v>19</v>
      </c>
      <c r="D423" s="3" t="s">
        <v>20</v>
      </c>
      <c r="E423" s="3" t="s">
        <v>21</v>
      </c>
      <c r="F423" s="3">
        <v>45253.224800000004</v>
      </c>
      <c r="G423" s="3" t="s">
        <v>16</v>
      </c>
      <c r="H423" s="3" t="s">
        <v>17</v>
      </c>
      <c r="I423" s="3">
        <f>IF(C423="India",1,IF(C423="USA",INDEX('Currency Master'!B:B,MATCH(DATE(N423,MONTH(DATEVALUE(O423&amp;" 1")),1),'Currency Master'!A:A,0)),IF(C423="Australia",INDEX('Currency Master'!T:T,MATCH(DATE(N423,MONTH(DATEVALUE(O423&amp;" 1")),1),'Currency Master'!A:A,0)),"")))</f>
        <v>53.073239999999998</v>
      </c>
      <c r="J423" s="3">
        <f t="shared" si="24"/>
        <v>45253.224800000004</v>
      </c>
      <c r="K423" s="3" t="str">
        <f t="shared" si="25"/>
        <v>₹/Candy</v>
      </c>
      <c r="L423" s="3">
        <v>-2.69E-2</v>
      </c>
      <c r="M423" s="3"/>
      <c r="N423" s="3">
        <f t="shared" si="26"/>
        <v>2012</v>
      </c>
      <c r="O423" s="3" t="str">
        <f t="shared" si="27"/>
        <v>October</v>
      </c>
      <c r="P423" s="3" t="s">
        <v>22</v>
      </c>
      <c r="Q423" s="3"/>
    </row>
    <row r="424" spans="1:17" hidden="1" x14ac:dyDescent="0.3">
      <c r="A424" s="2">
        <v>41153</v>
      </c>
      <c r="B424" s="3" t="s">
        <v>12</v>
      </c>
      <c r="C424" s="3" t="s">
        <v>19</v>
      </c>
      <c r="D424" s="3" t="s">
        <v>20</v>
      </c>
      <c r="E424" s="3" t="s">
        <v>21</v>
      </c>
      <c r="F424" s="3">
        <v>45607.387840000003</v>
      </c>
      <c r="G424" s="3" t="s">
        <v>16</v>
      </c>
      <c r="H424" s="3" t="s">
        <v>17</v>
      </c>
      <c r="I424" s="3">
        <f>IF(C424="India",1,IF(C424="USA",INDEX('Currency Master'!B:B,MATCH(DATE(N424,MONTH(DATEVALUE(O424&amp;" 1")),1),'Currency Master'!A:A,0)),IF(C424="Australia",INDEX('Currency Master'!T:T,MATCH(DATE(N424,MONTH(DATEVALUE(O424&amp;" 1")),1),'Currency Master'!A:A,0)),"")))</f>
        <v>54.494210000000002</v>
      </c>
      <c r="J424" s="3">
        <f t="shared" si="24"/>
        <v>45607.387840000003</v>
      </c>
      <c r="K424" s="3" t="str">
        <f t="shared" si="25"/>
        <v>₹/Candy</v>
      </c>
      <c r="L424" s="3">
        <v>0</v>
      </c>
      <c r="M424" s="3"/>
      <c r="N424" s="3">
        <f t="shared" si="26"/>
        <v>2012</v>
      </c>
      <c r="O424" s="3" t="str">
        <f t="shared" si="27"/>
        <v>September</v>
      </c>
      <c r="P424" s="3" t="s">
        <v>22</v>
      </c>
      <c r="Q424" s="3"/>
    </row>
    <row r="425" spans="1:17" hidden="1" x14ac:dyDescent="0.3">
      <c r="A425" s="2">
        <v>41122</v>
      </c>
      <c r="B425" s="3" t="s">
        <v>12</v>
      </c>
      <c r="C425" s="3" t="s">
        <v>19</v>
      </c>
      <c r="D425" s="3" t="s">
        <v>20</v>
      </c>
      <c r="E425" s="3" t="s">
        <v>21</v>
      </c>
      <c r="F425" s="3">
        <v>47559.435519999999</v>
      </c>
      <c r="G425" s="3" t="s">
        <v>16</v>
      </c>
      <c r="H425" s="3" t="s">
        <v>17</v>
      </c>
      <c r="I425" s="3">
        <f>IF(C425="India",1,IF(C425="USA",INDEX('Currency Master'!B:B,MATCH(DATE(N425,MONTH(DATEVALUE(O425&amp;" 1")),1),'Currency Master'!A:A,0)),IF(C425="Australia",INDEX('Currency Master'!T:T,MATCH(DATE(N425,MONTH(DATEVALUE(O425&amp;" 1")),1),'Currency Master'!A:A,0)),"")))</f>
        <v>55.535195000000002</v>
      </c>
      <c r="J425" s="3">
        <f t="shared" si="24"/>
        <v>47559.435519999999</v>
      </c>
      <c r="K425" s="3" t="str">
        <f t="shared" si="25"/>
        <v>₹/Candy</v>
      </c>
      <c r="L425" s="3">
        <v>5.4000000000000003E-3</v>
      </c>
      <c r="M425" s="3"/>
      <c r="N425" s="3">
        <f t="shared" si="26"/>
        <v>2012</v>
      </c>
      <c r="O425" s="3" t="str">
        <f t="shared" si="27"/>
        <v>August</v>
      </c>
      <c r="P425" s="3" t="s">
        <v>22</v>
      </c>
      <c r="Q425" s="3"/>
    </row>
    <row r="426" spans="1:17" hidden="1" x14ac:dyDescent="0.3">
      <c r="A426" s="2">
        <v>41091</v>
      </c>
      <c r="B426" s="3" t="s">
        <v>12</v>
      </c>
      <c r="C426" s="3" t="s">
        <v>19</v>
      </c>
      <c r="D426" s="3" t="s">
        <v>20</v>
      </c>
      <c r="E426" s="3" t="s">
        <v>21</v>
      </c>
      <c r="F426" s="3">
        <v>47363.752999999997</v>
      </c>
      <c r="G426" s="3" t="s">
        <v>16</v>
      </c>
      <c r="H426" s="3" t="s">
        <v>17</v>
      </c>
      <c r="I426" s="3">
        <f>IF(C426="India",1,IF(C426="USA",INDEX('Currency Master'!B:B,MATCH(DATE(N426,MONTH(DATEVALUE(O426&amp;" 1")),1),'Currency Master'!A:A,0)),IF(C426="Australia",INDEX('Currency Master'!T:T,MATCH(DATE(N426,MONTH(DATEVALUE(O426&amp;" 1")),1),'Currency Master'!A:A,0)),"")))</f>
        <v>55.426468999999997</v>
      </c>
      <c r="J426" s="3">
        <f t="shared" si="24"/>
        <v>47363.752999999997</v>
      </c>
      <c r="K426" s="3" t="str">
        <f t="shared" si="25"/>
        <v>₹/Candy</v>
      </c>
      <c r="L426" s="3">
        <v>2.2100000000000002E-2</v>
      </c>
      <c r="M426" s="3"/>
      <c r="N426" s="3">
        <f t="shared" si="26"/>
        <v>2012</v>
      </c>
      <c r="O426" s="3" t="str">
        <f t="shared" si="27"/>
        <v>July</v>
      </c>
      <c r="P426" s="3" t="s">
        <v>22</v>
      </c>
      <c r="Q426" s="3"/>
    </row>
    <row r="427" spans="1:17" hidden="1" x14ac:dyDescent="0.3">
      <c r="A427" s="2">
        <v>41061</v>
      </c>
      <c r="B427" s="3" t="s">
        <v>12</v>
      </c>
      <c r="C427" s="3" t="s">
        <v>19</v>
      </c>
      <c r="D427" s="3" t="s">
        <v>20</v>
      </c>
      <c r="E427" s="3" t="s">
        <v>21</v>
      </c>
      <c r="F427" s="3">
        <v>46458.178</v>
      </c>
      <c r="G427" s="3" t="s">
        <v>16</v>
      </c>
      <c r="H427" s="3" t="s">
        <v>17</v>
      </c>
      <c r="I427" s="3">
        <f>IF(C427="India",1,IF(C427="USA",INDEX('Currency Master'!B:B,MATCH(DATE(N427,MONTH(DATEVALUE(O427&amp;" 1")),1),'Currency Master'!A:A,0)),IF(C427="Australia",INDEX('Currency Master'!T:T,MATCH(DATE(N427,MONTH(DATEVALUE(O427&amp;" 1")),1),'Currency Master'!A:A,0)),"")))</f>
        <v>56.016390000000001</v>
      </c>
      <c r="J427" s="3">
        <f t="shared" si="24"/>
        <v>46458.178</v>
      </c>
      <c r="K427" s="3" t="str">
        <f t="shared" si="25"/>
        <v>₹/Candy</v>
      </c>
      <c r="L427" s="3">
        <v>-7.1800000000000003E-2</v>
      </c>
      <c r="M427" s="3"/>
      <c r="N427" s="3">
        <f t="shared" si="26"/>
        <v>2012</v>
      </c>
      <c r="O427" s="3" t="str">
        <f t="shared" si="27"/>
        <v>June</v>
      </c>
      <c r="P427" s="3" t="s">
        <v>22</v>
      </c>
      <c r="Q427" s="3"/>
    </row>
    <row r="428" spans="1:17" hidden="1" x14ac:dyDescent="0.3">
      <c r="A428" s="2">
        <v>41030</v>
      </c>
      <c r="B428" s="3" t="s">
        <v>12</v>
      </c>
      <c r="C428" s="3" t="s">
        <v>19</v>
      </c>
      <c r="D428" s="3" t="s">
        <v>20</v>
      </c>
      <c r="E428" s="3" t="s">
        <v>21</v>
      </c>
      <c r="F428" s="3">
        <v>49905.628599999996</v>
      </c>
      <c r="G428" s="3" t="s">
        <v>16</v>
      </c>
      <c r="H428" s="3" t="s">
        <v>17</v>
      </c>
      <c r="I428" s="3">
        <f>IF(C428="India",1,IF(C428="USA",INDEX('Currency Master'!B:B,MATCH(DATE(N428,MONTH(DATEVALUE(O428&amp;" 1")),1),'Currency Master'!A:A,0)),IF(C428="Australia",INDEX('Currency Master'!T:T,MATCH(DATE(N428,MONTH(DATEVALUE(O428&amp;" 1")),1),'Currency Master'!A:A,0)),"")))</f>
        <v>54.471380000000003</v>
      </c>
      <c r="J428" s="3">
        <f t="shared" si="24"/>
        <v>49905.628599999996</v>
      </c>
      <c r="K428" s="3" t="str">
        <f t="shared" si="25"/>
        <v>₹/Candy</v>
      </c>
      <c r="L428" s="3">
        <v>-0.11360000000000001</v>
      </c>
      <c r="M428" s="3"/>
      <c r="N428" s="3">
        <f t="shared" si="26"/>
        <v>2012</v>
      </c>
      <c r="O428" s="3" t="str">
        <f t="shared" si="27"/>
        <v>May</v>
      </c>
      <c r="P428" s="3" t="s">
        <v>22</v>
      </c>
      <c r="Q428" s="3"/>
    </row>
    <row r="429" spans="1:17" hidden="1" x14ac:dyDescent="0.3">
      <c r="A429" s="2">
        <v>41000</v>
      </c>
      <c r="B429" s="3" t="s">
        <v>12</v>
      </c>
      <c r="C429" s="3" t="s">
        <v>19</v>
      </c>
      <c r="D429" s="3" t="s">
        <v>20</v>
      </c>
      <c r="E429" s="3" t="s">
        <v>21</v>
      </c>
      <c r="F429" s="3">
        <v>52491.950799999999</v>
      </c>
      <c r="G429" s="3" t="s">
        <v>16</v>
      </c>
      <c r="H429" s="3" t="s">
        <v>17</v>
      </c>
      <c r="I429" s="3">
        <f>IF(C429="India",1,IF(C429="USA",INDEX('Currency Master'!B:B,MATCH(DATE(N429,MONTH(DATEVALUE(O429&amp;" 1")),1),'Currency Master'!A:A,0)),IF(C429="Australia",INDEX('Currency Master'!T:T,MATCH(DATE(N429,MONTH(DATEVALUE(O429&amp;" 1")),1),'Currency Master'!A:A,0)),"")))</f>
        <v>51.812474000000002</v>
      </c>
      <c r="J429" s="3">
        <f t="shared" si="24"/>
        <v>52491.950799999999</v>
      </c>
      <c r="K429" s="3" t="str">
        <f t="shared" si="25"/>
        <v>₹/Candy</v>
      </c>
      <c r="L429" s="3">
        <v>4.5999999999999999E-3</v>
      </c>
      <c r="M429" s="3"/>
      <c r="N429" s="3">
        <f t="shared" si="26"/>
        <v>2012</v>
      </c>
      <c r="O429" s="3" t="str">
        <f t="shared" si="27"/>
        <v>April</v>
      </c>
      <c r="P429" s="3" t="s">
        <v>22</v>
      </c>
      <c r="Q429" s="3"/>
    </row>
    <row r="430" spans="1:17" hidden="1" x14ac:dyDescent="0.3">
      <c r="A430" s="2">
        <v>40969</v>
      </c>
      <c r="B430" s="3" t="s">
        <v>12</v>
      </c>
      <c r="C430" s="3" t="s">
        <v>19</v>
      </c>
      <c r="D430" s="3" t="s">
        <v>20</v>
      </c>
      <c r="E430" s="3" t="s">
        <v>21</v>
      </c>
      <c r="F430" s="3">
        <v>50750.603499999997</v>
      </c>
      <c r="G430" s="3" t="s">
        <v>16</v>
      </c>
      <c r="H430" s="3" t="s">
        <v>17</v>
      </c>
      <c r="I430" s="3">
        <f>IF(C430="India",1,IF(C430="USA",INDEX('Currency Master'!B:B,MATCH(DATE(N430,MONTH(DATEVALUE(O430&amp;" 1")),1),'Currency Master'!A:A,0)),IF(C430="Australia",INDEX('Currency Master'!T:T,MATCH(DATE(N430,MONTH(DATEVALUE(O430&amp;" 1")),1),'Currency Master'!A:A,0)),"")))</f>
        <v>50.403962</v>
      </c>
      <c r="J430" s="3">
        <f t="shared" si="24"/>
        <v>50750.603499999997</v>
      </c>
      <c r="K430" s="3" t="str">
        <f t="shared" si="25"/>
        <v>₹/Candy</v>
      </c>
      <c r="L430" s="3">
        <v>-1.35E-2</v>
      </c>
      <c r="M430" s="3"/>
      <c r="N430" s="3">
        <f t="shared" si="26"/>
        <v>2012</v>
      </c>
      <c r="O430" s="3" t="str">
        <f t="shared" si="27"/>
        <v>March</v>
      </c>
      <c r="P430" s="3" t="s">
        <v>22</v>
      </c>
      <c r="Q430" s="3"/>
    </row>
    <row r="431" spans="1:17" hidden="1" x14ac:dyDescent="0.3">
      <c r="A431" s="2">
        <v>40940</v>
      </c>
      <c r="B431" s="3" t="s">
        <v>12</v>
      </c>
      <c r="C431" s="3" t="s">
        <v>19</v>
      </c>
      <c r="D431" s="3" t="s">
        <v>20</v>
      </c>
      <c r="E431" s="3" t="s">
        <v>21</v>
      </c>
      <c r="F431" s="3">
        <v>49813.87672</v>
      </c>
      <c r="G431" s="3" t="s">
        <v>16</v>
      </c>
      <c r="H431" s="3" t="s">
        <v>17</v>
      </c>
      <c r="I431" s="3">
        <f>IF(C431="India",1,IF(C431="USA",INDEX('Currency Master'!B:B,MATCH(DATE(N431,MONTH(DATEVALUE(O431&amp;" 1")),1),'Currency Master'!A:A,0)),IF(C431="Australia",INDEX('Currency Master'!T:T,MATCH(DATE(N431,MONTH(DATEVALUE(O431&amp;" 1")),1),'Currency Master'!A:A,0)),"")))</f>
        <v>49.197800000000001</v>
      </c>
      <c r="J431" s="3">
        <f t="shared" si="24"/>
        <v>49813.87672</v>
      </c>
      <c r="K431" s="3" t="str">
        <f t="shared" si="25"/>
        <v>₹/Candy</v>
      </c>
      <c r="L431" s="3">
        <v>-4.4999999999999997E-3</v>
      </c>
      <c r="M431" s="3"/>
      <c r="N431" s="3">
        <f t="shared" si="26"/>
        <v>2012</v>
      </c>
      <c r="O431" s="3" t="str">
        <f t="shared" si="27"/>
        <v>February</v>
      </c>
      <c r="P431" s="3" t="s">
        <v>22</v>
      </c>
      <c r="Q431" s="3"/>
    </row>
    <row r="432" spans="1:17" hidden="1" x14ac:dyDescent="0.3">
      <c r="A432" s="2">
        <v>40909</v>
      </c>
      <c r="B432" s="3" t="s">
        <v>12</v>
      </c>
      <c r="C432" s="3" t="s">
        <v>19</v>
      </c>
      <c r="D432" s="3" t="s">
        <v>20</v>
      </c>
      <c r="E432" s="3" t="s">
        <v>21</v>
      </c>
      <c r="F432" s="3">
        <v>50359.865019999997</v>
      </c>
      <c r="G432" s="3" t="s">
        <v>16</v>
      </c>
      <c r="H432" s="3" t="s">
        <v>17</v>
      </c>
      <c r="I432" s="3">
        <f>IF(C432="India",1,IF(C432="USA",INDEX('Currency Master'!B:B,MATCH(DATE(N432,MONTH(DATEVALUE(O432&amp;" 1")),1),'Currency Master'!A:A,0)),IF(C432="Australia",INDEX('Currency Master'!T:T,MATCH(DATE(N432,MONTH(DATEVALUE(O432&amp;" 1")),1),'Currency Master'!A:A,0)),"")))</f>
        <v>51.197583000000002</v>
      </c>
      <c r="J432" s="3">
        <f t="shared" si="24"/>
        <v>50359.865019999997</v>
      </c>
      <c r="K432" s="3" t="str">
        <f t="shared" si="25"/>
        <v>₹/Candy</v>
      </c>
      <c r="L432" s="3">
        <v>6.1899999999999997E-2</v>
      </c>
      <c r="M432" s="3"/>
      <c r="N432" s="3">
        <f t="shared" si="26"/>
        <v>2012</v>
      </c>
      <c r="O432" s="3" t="str">
        <f t="shared" si="27"/>
        <v>January</v>
      </c>
      <c r="P432" s="3" t="s">
        <v>22</v>
      </c>
      <c r="Q432" s="3"/>
    </row>
    <row r="433" spans="1:17" hidden="1" x14ac:dyDescent="0.3">
      <c r="A433" s="2">
        <v>40878</v>
      </c>
      <c r="B433" s="3" t="s">
        <v>12</v>
      </c>
      <c r="C433" s="3" t="s">
        <v>19</v>
      </c>
      <c r="D433" s="3" t="s">
        <v>20</v>
      </c>
      <c r="E433" s="3" t="s">
        <v>21</v>
      </c>
      <c r="F433" s="3">
        <v>50717.415399999998</v>
      </c>
      <c r="G433" s="3" t="s">
        <v>16</v>
      </c>
      <c r="H433" s="3" t="s">
        <v>17</v>
      </c>
      <c r="I433" s="3">
        <f>IF(C433="India",1,IF(C433="USA",INDEX('Currency Master'!B:B,MATCH(DATE(N433,MONTH(DATEVALUE(O433&amp;" 1")),1),'Currency Master'!A:A,0)),IF(C433="Australia",INDEX('Currency Master'!T:T,MATCH(DATE(N433,MONTH(DATEVALUE(O433&amp;" 1")),1),'Currency Master'!A:A,0)),"")))</f>
        <v>52.522753000000002</v>
      </c>
      <c r="J433" s="3">
        <f t="shared" si="24"/>
        <v>50717.415399999998</v>
      </c>
      <c r="K433" s="3" t="str">
        <f t="shared" si="25"/>
        <v>₹/Candy</v>
      </c>
      <c r="L433" s="3">
        <v>-9.0899999999999995E-2</v>
      </c>
      <c r="M433" s="3"/>
      <c r="N433" s="3">
        <f t="shared" si="26"/>
        <v>2011</v>
      </c>
      <c r="O433" s="3" t="str">
        <f t="shared" si="27"/>
        <v>December</v>
      </c>
      <c r="P433" s="3" t="s">
        <v>22</v>
      </c>
      <c r="Q433" s="3"/>
    </row>
    <row r="434" spans="1:17" hidden="1" x14ac:dyDescent="0.3">
      <c r="A434" s="2">
        <v>40848</v>
      </c>
      <c r="B434" s="3" t="s">
        <v>12</v>
      </c>
      <c r="C434" s="3" t="s">
        <v>19</v>
      </c>
      <c r="D434" s="3" t="s">
        <v>20</v>
      </c>
      <c r="E434" s="3" t="s">
        <v>21</v>
      </c>
      <c r="F434" s="3">
        <v>54276.589480000002</v>
      </c>
      <c r="G434" s="3" t="s">
        <v>16</v>
      </c>
      <c r="H434" s="3" t="s">
        <v>17</v>
      </c>
      <c r="I434" s="3">
        <f>IF(C434="India",1,IF(C434="USA",INDEX('Currency Master'!B:B,MATCH(DATE(N434,MONTH(DATEVALUE(O434&amp;" 1")),1),'Currency Master'!A:A,0)),IF(C434="Australia",INDEX('Currency Master'!T:T,MATCH(DATE(N434,MONTH(DATEVALUE(O434&amp;" 1")),1),'Currency Master'!A:A,0)),"")))</f>
        <v>50.791083</v>
      </c>
      <c r="J434" s="3">
        <f t="shared" si="24"/>
        <v>54276.589480000002</v>
      </c>
      <c r="K434" s="3" t="str">
        <f t="shared" si="25"/>
        <v>₹/Candy</v>
      </c>
      <c r="L434" s="3">
        <v>-5.33E-2</v>
      </c>
      <c r="M434" s="3"/>
      <c r="N434" s="3">
        <f t="shared" si="26"/>
        <v>2011</v>
      </c>
      <c r="O434" s="3" t="str">
        <f t="shared" si="27"/>
        <v>November</v>
      </c>
      <c r="P434" s="3" t="s">
        <v>22</v>
      </c>
      <c r="Q434" s="3"/>
    </row>
    <row r="435" spans="1:17" hidden="1" x14ac:dyDescent="0.3">
      <c r="A435" s="2">
        <v>40817</v>
      </c>
      <c r="B435" s="3" t="s">
        <v>12</v>
      </c>
      <c r="C435" s="3" t="s">
        <v>19</v>
      </c>
      <c r="D435" s="3" t="s">
        <v>20</v>
      </c>
      <c r="E435" s="3" t="s">
        <v>21</v>
      </c>
      <c r="F435" s="3">
        <v>53648.26728</v>
      </c>
      <c r="G435" s="3" t="s">
        <v>16</v>
      </c>
      <c r="H435" s="3" t="s">
        <v>17</v>
      </c>
      <c r="I435" s="3">
        <f>IF(C435="India",1,IF(C435="USA",INDEX('Currency Master'!B:B,MATCH(DATE(N435,MONTH(DATEVALUE(O435&amp;" 1")),1),'Currency Master'!A:A,0)),IF(C435="Australia",INDEX('Currency Master'!T:T,MATCH(DATE(N435,MONTH(DATEVALUE(O435&amp;" 1")),1),'Currency Master'!A:A,0)),"")))</f>
        <v>49.285598</v>
      </c>
      <c r="J435" s="3">
        <f t="shared" si="24"/>
        <v>53648.26728</v>
      </c>
      <c r="K435" s="3" t="str">
        <f t="shared" si="25"/>
        <v>₹/Candy</v>
      </c>
      <c r="L435" s="3">
        <v>-5.4300000000000001E-2</v>
      </c>
      <c r="M435" s="3"/>
      <c r="N435" s="3">
        <f t="shared" si="26"/>
        <v>2011</v>
      </c>
      <c r="O435" s="3" t="str">
        <f t="shared" si="27"/>
        <v>October</v>
      </c>
      <c r="P435" s="3" t="s">
        <v>22</v>
      </c>
      <c r="Q435" s="3"/>
    </row>
    <row r="436" spans="1:17" hidden="1" x14ac:dyDescent="0.3">
      <c r="A436" s="2">
        <v>40787</v>
      </c>
      <c r="B436" s="3" t="s">
        <v>12</v>
      </c>
      <c r="C436" s="3" t="s">
        <v>19</v>
      </c>
      <c r="D436" s="3" t="s">
        <v>20</v>
      </c>
      <c r="E436" s="3" t="s">
        <v>21</v>
      </c>
      <c r="F436" s="3">
        <v>56646.278559999999</v>
      </c>
      <c r="G436" s="3" t="s">
        <v>16</v>
      </c>
      <c r="H436" s="3" t="s">
        <v>17</v>
      </c>
      <c r="I436" s="3">
        <f>IF(C436="India",1,IF(C436="USA",INDEX('Currency Master'!B:B,MATCH(DATE(N436,MONTH(DATEVALUE(O436&amp;" 1")),1),'Currency Master'!A:A,0)),IF(C436="Australia",INDEX('Currency Master'!T:T,MATCH(DATE(N436,MONTH(DATEVALUE(O436&amp;" 1")),1),'Currency Master'!A:A,0)),"")))</f>
        <v>47.658523000000002</v>
      </c>
      <c r="J436" s="3">
        <f t="shared" si="24"/>
        <v>56646.278559999999</v>
      </c>
      <c r="K436" s="3" t="str">
        <f t="shared" si="25"/>
        <v>₹/Candy</v>
      </c>
      <c r="L436" s="3">
        <v>2.3800000000000002E-2</v>
      </c>
      <c r="M436" s="3"/>
      <c r="N436" s="3">
        <f t="shared" si="26"/>
        <v>2011</v>
      </c>
      <c r="O436" s="3" t="str">
        <f t="shared" si="27"/>
        <v>September</v>
      </c>
      <c r="P436" s="3" t="s">
        <v>22</v>
      </c>
      <c r="Q436" s="3"/>
    </row>
    <row r="437" spans="1:17" hidden="1" x14ac:dyDescent="0.3">
      <c r="A437" s="2">
        <v>40756</v>
      </c>
      <c r="B437" s="3" t="s">
        <v>12</v>
      </c>
      <c r="C437" s="3" t="s">
        <v>19</v>
      </c>
      <c r="D437" s="3" t="s">
        <v>20</v>
      </c>
      <c r="E437" s="3" t="s">
        <v>21</v>
      </c>
      <c r="F437" s="3">
        <v>52316.905599999998</v>
      </c>
      <c r="G437" s="3" t="s">
        <v>16</v>
      </c>
      <c r="H437" s="3" t="s">
        <v>17</v>
      </c>
      <c r="I437" s="3">
        <f>IF(C437="India",1,IF(C437="USA",INDEX('Currency Master'!B:B,MATCH(DATE(N437,MONTH(DATEVALUE(O437&amp;" 1")),1),'Currency Master'!A:A,0)),IF(C437="Australia",INDEX('Currency Master'!T:T,MATCH(DATE(N437,MONTH(DATEVALUE(O437&amp;" 1")),1),'Currency Master'!A:A,0)),"")))</f>
        <v>45.364960000000004</v>
      </c>
      <c r="J437" s="3">
        <f t="shared" si="24"/>
        <v>52316.905599999998</v>
      </c>
      <c r="K437" s="3" t="str">
        <f t="shared" si="25"/>
        <v>₹/Candy</v>
      </c>
      <c r="L437" s="3">
        <v>-6.3200000000000006E-2</v>
      </c>
      <c r="M437" s="3"/>
      <c r="N437" s="3">
        <f t="shared" si="26"/>
        <v>2011</v>
      </c>
      <c r="O437" s="3" t="str">
        <f t="shared" si="27"/>
        <v>August</v>
      </c>
      <c r="P437" s="3" t="s">
        <v>22</v>
      </c>
      <c r="Q437" s="3"/>
    </row>
    <row r="438" spans="1:17" hidden="1" x14ac:dyDescent="0.3">
      <c r="A438" s="2">
        <v>40725</v>
      </c>
      <c r="B438" s="3" t="s">
        <v>12</v>
      </c>
      <c r="C438" s="3" t="s">
        <v>19</v>
      </c>
      <c r="D438" s="3" t="s">
        <v>20</v>
      </c>
      <c r="E438" s="3" t="s">
        <v>21</v>
      </c>
      <c r="F438" s="3">
        <v>53690.990839999999</v>
      </c>
      <c r="G438" s="3" t="s">
        <v>16</v>
      </c>
      <c r="H438" s="3" t="s">
        <v>17</v>
      </c>
      <c r="I438" s="3">
        <f>IF(C438="India",1,IF(C438="USA",INDEX('Currency Master'!B:B,MATCH(DATE(N438,MONTH(DATEVALUE(O438&amp;" 1")),1),'Currency Master'!A:A,0)),IF(C438="Australia",INDEX('Currency Master'!T:T,MATCH(DATE(N438,MONTH(DATEVALUE(O438&amp;" 1")),1),'Currency Master'!A:A,0)),"")))</f>
        <v>44.415067000000001</v>
      </c>
      <c r="J438" s="3">
        <f t="shared" si="24"/>
        <v>53690.990839999999</v>
      </c>
      <c r="K438" s="3" t="str">
        <f t="shared" si="25"/>
        <v>₹/Candy</v>
      </c>
      <c r="L438" s="3">
        <v>-0.15409999999999999</v>
      </c>
      <c r="M438" s="3"/>
      <c r="N438" s="3">
        <f t="shared" si="26"/>
        <v>2011</v>
      </c>
      <c r="O438" s="3" t="str">
        <f t="shared" si="27"/>
        <v>July</v>
      </c>
      <c r="P438" s="3" t="s">
        <v>22</v>
      </c>
      <c r="Q438" s="3"/>
    </row>
    <row r="439" spans="1:17" hidden="1" x14ac:dyDescent="0.3">
      <c r="A439" s="2">
        <v>40695</v>
      </c>
      <c r="B439" s="3" t="s">
        <v>12</v>
      </c>
      <c r="C439" s="3" t="s">
        <v>19</v>
      </c>
      <c r="D439" s="3" t="s">
        <v>20</v>
      </c>
      <c r="E439" s="3" t="s">
        <v>21</v>
      </c>
      <c r="F439" s="3">
        <v>62784.373599999999</v>
      </c>
      <c r="G439" s="3" t="s">
        <v>16</v>
      </c>
      <c r="H439" s="3" t="s">
        <v>17</v>
      </c>
      <c r="I439" s="3">
        <f>IF(C439="India",1,IF(C439="USA",INDEX('Currency Master'!B:B,MATCH(DATE(N439,MONTH(DATEVALUE(O439&amp;" 1")),1),'Currency Master'!A:A,0)),IF(C439="Australia",INDEX('Currency Master'!T:T,MATCH(DATE(N439,MONTH(DATEVALUE(O439&amp;" 1")),1),'Currency Master'!A:A,0)),"")))</f>
        <v>44.842587000000002</v>
      </c>
      <c r="J439" s="3">
        <f t="shared" si="24"/>
        <v>62784.373599999999</v>
      </c>
      <c r="K439" s="3" t="str">
        <f t="shared" si="25"/>
        <v>₹/Candy</v>
      </c>
      <c r="L439" s="3">
        <v>-0.1288</v>
      </c>
      <c r="M439" s="3"/>
      <c r="N439" s="3">
        <f t="shared" si="26"/>
        <v>2011</v>
      </c>
      <c r="O439" s="3" t="str">
        <f t="shared" si="27"/>
        <v>June</v>
      </c>
      <c r="P439" s="3" t="s">
        <v>22</v>
      </c>
      <c r="Q439" s="3"/>
    </row>
    <row r="440" spans="1:17" hidden="1" x14ac:dyDescent="0.3">
      <c r="A440" s="2">
        <v>40664</v>
      </c>
      <c r="B440" s="3" t="s">
        <v>12</v>
      </c>
      <c r="C440" s="3" t="s">
        <v>19</v>
      </c>
      <c r="D440" s="3" t="s">
        <v>20</v>
      </c>
      <c r="E440" s="3" t="s">
        <v>21</v>
      </c>
      <c r="F440" s="3">
        <v>71526.060400000002</v>
      </c>
      <c r="G440" s="3" t="s">
        <v>16</v>
      </c>
      <c r="H440" s="3" t="s">
        <v>17</v>
      </c>
      <c r="I440" s="3">
        <f>IF(C440="India",1,IF(C440="USA",INDEX('Currency Master'!B:B,MATCH(DATE(N440,MONTH(DATEVALUE(O440&amp;" 1")),1),'Currency Master'!A:A,0)),IF(C440="Australia",INDEX('Currency Master'!T:T,MATCH(DATE(N440,MONTH(DATEVALUE(O440&amp;" 1")),1),'Currency Master'!A:A,0)),"")))</f>
        <v>44.937699000000002</v>
      </c>
      <c r="J440" s="3">
        <f t="shared" si="24"/>
        <v>71526.060400000002</v>
      </c>
      <c r="K440" s="3" t="str">
        <f t="shared" si="25"/>
        <v>₹/Candy</v>
      </c>
      <c r="L440" s="3">
        <v>-0.2364</v>
      </c>
      <c r="M440" s="3"/>
      <c r="N440" s="3">
        <f t="shared" si="26"/>
        <v>2011</v>
      </c>
      <c r="O440" s="3" t="str">
        <f t="shared" si="27"/>
        <v>May</v>
      </c>
      <c r="P440" s="3" t="s">
        <v>22</v>
      </c>
      <c r="Q440" s="3"/>
    </row>
    <row r="441" spans="1:17" hidden="1" x14ac:dyDescent="0.3">
      <c r="A441" s="2">
        <v>40634</v>
      </c>
      <c r="B441" s="3" t="s">
        <v>12</v>
      </c>
      <c r="C441" s="3" t="s">
        <v>19</v>
      </c>
      <c r="D441" s="3" t="s">
        <v>20</v>
      </c>
      <c r="E441" s="3" t="s">
        <v>21</v>
      </c>
      <c r="F441" s="3">
        <v>89958.633239999996</v>
      </c>
      <c r="G441" s="3" t="s">
        <v>16</v>
      </c>
      <c r="H441" s="3" t="s">
        <v>17</v>
      </c>
      <c r="I441" s="3">
        <f>IF(C441="India",1,IF(C441="USA",INDEX('Currency Master'!B:B,MATCH(DATE(N441,MONTH(DATEVALUE(O441&amp;" 1")),1),'Currency Master'!A:A,0)),IF(C441="Australia",INDEX('Currency Master'!T:T,MATCH(DATE(N441,MONTH(DATEVALUE(O441&amp;" 1")),1),'Currency Master'!A:A,0)),"")))</f>
        <v>44.394224999999999</v>
      </c>
      <c r="J441" s="3">
        <f t="shared" si="24"/>
        <v>89958.633239999996</v>
      </c>
      <c r="K441" s="3" t="str">
        <f t="shared" si="25"/>
        <v>₹/Candy</v>
      </c>
      <c r="L441" s="3">
        <v>-5.5300000000000002E-2</v>
      </c>
      <c r="M441" s="3"/>
      <c r="N441" s="3">
        <f t="shared" si="26"/>
        <v>2011</v>
      </c>
      <c r="O441" s="3" t="str">
        <f t="shared" si="27"/>
        <v>April</v>
      </c>
      <c r="P441" s="3" t="s">
        <v>22</v>
      </c>
      <c r="Q441" s="3"/>
    </row>
    <row r="442" spans="1:17" hidden="1" x14ac:dyDescent="0.3">
      <c r="A442" s="2">
        <v>40603</v>
      </c>
      <c r="B442" s="3" t="s">
        <v>12</v>
      </c>
      <c r="C442" s="3" t="s">
        <v>19</v>
      </c>
      <c r="D442" s="3" t="s">
        <v>20</v>
      </c>
      <c r="E442" s="3" t="s">
        <v>21</v>
      </c>
      <c r="F442" s="3">
        <v>95365.924360000005</v>
      </c>
      <c r="G442" s="3" t="s">
        <v>16</v>
      </c>
      <c r="H442" s="3" t="s">
        <v>17</v>
      </c>
      <c r="I442" s="3">
        <f>IF(C442="India",1,IF(C442="USA",INDEX('Currency Master'!B:B,MATCH(DATE(N442,MONTH(DATEVALUE(O442&amp;" 1")),1),'Currency Master'!A:A,0)),IF(C442="Australia",INDEX('Currency Master'!T:T,MATCH(DATE(N442,MONTH(DATEVALUE(O442&amp;" 1")),1),'Currency Master'!A:A,0)),"")))</f>
        <v>44.971035999999998</v>
      </c>
      <c r="J442" s="3">
        <f t="shared" si="24"/>
        <v>95365.924360000005</v>
      </c>
      <c r="K442" s="3" t="str">
        <f t="shared" si="25"/>
        <v>₹/Candy</v>
      </c>
      <c r="L442" s="3">
        <v>7.6600000000000001E-2</v>
      </c>
      <c r="M442" s="3"/>
      <c r="N442" s="3">
        <f t="shared" si="26"/>
        <v>2011</v>
      </c>
      <c r="O442" s="3" t="str">
        <f t="shared" si="27"/>
        <v>March</v>
      </c>
      <c r="P442" s="3" t="s">
        <v>22</v>
      </c>
      <c r="Q442" s="3"/>
    </row>
    <row r="443" spans="1:17" hidden="1" x14ac:dyDescent="0.3">
      <c r="A443" s="2">
        <v>40575</v>
      </c>
      <c r="B443" s="3" t="s">
        <v>12</v>
      </c>
      <c r="C443" s="3" t="s">
        <v>19</v>
      </c>
      <c r="D443" s="3" t="s">
        <v>20</v>
      </c>
      <c r="E443" s="3" t="s">
        <v>21</v>
      </c>
      <c r="F443" s="3">
        <v>90431.137799999997</v>
      </c>
      <c r="G443" s="3" t="s">
        <v>16</v>
      </c>
      <c r="H443" s="3" t="s">
        <v>17</v>
      </c>
      <c r="I443" s="3">
        <f>IF(C443="India",1,IF(C443="USA",INDEX('Currency Master'!B:B,MATCH(DATE(N443,MONTH(DATEVALUE(O443&amp;" 1")),1),'Currency Master'!A:A,0)),IF(C443="Australia",INDEX('Currency Master'!T:T,MATCH(DATE(N443,MONTH(DATEVALUE(O443&amp;" 1")),1),'Currency Master'!A:A,0)),"")))</f>
        <v>45.435447000000003</v>
      </c>
      <c r="J443" s="3">
        <f t="shared" si="24"/>
        <v>90431.137799999997</v>
      </c>
      <c r="K443" s="3" t="str">
        <f t="shared" si="25"/>
        <v>₹/Candy</v>
      </c>
      <c r="L443" s="3">
        <v>0.19289999999999999</v>
      </c>
      <c r="M443" s="3"/>
      <c r="N443" s="3">
        <f t="shared" si="26"/>
        <v>2011</v>
      </c>
      <c r="O443" s="3" t="str">
        <f t="shared" si="27"/>
        <v>February</v>
      </c>
      <c r="P443" s="3" t="s">
        <v>22</v>
      </c>
      <c r="Q443" s="3"/>
    </row>
    <row r="444" spans="1:17" hidden="1" x14ac:dyDescent="0.3">
      <c r="A444" s="2">
        <v>40544</v>
      </c>
      <c r="B444" s="3" t="s">
        <v>12</v>
      </c>
      <c r="C444" s="3" t="s">
        <v>19</v>
      </c>
      <c r="D444" s="3" t="s">
        <v>20</v>
      </c>
      <c r="E444" s="3" t="s">
        <v>21</v>
      </c>
      <c r="F444" s="3">
        <v>77823.575800000006</v>
      </c>
      <c r="G444" s="3" t="s">
        <v>16</v>
      </c>
      <c r="H444" s="3" t="s">
        <v>17</v>
      </c>
      <c r="I444" s="3">
        <f>IF(C444="India",1,IF(C444="USA",INDEX('Currency Master'!B:B,MATCH(DATE(N444,MONTH(DATEVALUE(O444&amp;" 1")),1),'Currency Master'!A:A,0)),IF(C444="Australia",INDEX('Currency Master'!T:T,MATCH(DATE(N444,MONTH(DATEVALUE(O444&amp;" 1")),1),'Currency Master'!A:A,0)),"")))</f>
        <v>45.444251999999999</v>
      </c>
      <c r="J444" s="3">
        <f t="shared" si="24"/>
        <v>77823.575800000006</v>
      </c>
      <c r="K444" s="3" t="str">
        <f t="shared" si="25"/>
        <v>₹/Candy</v>
      </c>
      <c r="L444" s="3">
        <v>6.4899999999999999E-2</v>
      </c>
      <c r="M444" s="3"/>
      <c r="N444" s="3">
        <f t="shared" si="26"/>
        <v>2011</v>
      </c>
      <c r="O444" s="3" t="str">
        <f t="shared" si="27"/>
        <v>January</v>
      </c>
      <c r="P444" s="3" t="s">
        <v>22</v>
      </c>
      <c r="Q444" s="3"/>
    </row>
    <row r="445" spans="1:17" hidden="1" x14ac:dyDescent="0.3">
      <c r="A445" s="2">
        <v>40513</v>
      </c>
      <c r="B445" s="3" t="s">
        <v>12</v>
      </c>
      <c r="C445" s="3" t="s">
        <v>19</v>
      </c>
      <c r="D445" s="3" t="s">
        <v>20</v>
      </c>
      <c r="E445" s="3" t="s">
        <v>21</v>
      </c>
      <c r="F445" s="3">
        <v>71905.559959999999</v>
      </c>
      <c r="G445" s="3" t="s">
        <v>16</v>
      </c>
      <c r="H445" s="3" t="s">
        <v>17</v>
      </c>
      <c r="I445" s="3">
        <f>IF(C445="India",1,IF(C445="USA",INDEX('Currency Master'!B:B,MATCH(DATE(N445,MONTH(DATEVALUE(O445&amp;" 1")),1),'Currency Master'!A:A,0)),IF(C445="Australia",INDEX('Currency Master'!T:T,MATCH(DATE(N445,MONTH(DATEVALUE(O445&amp;" 1")),1),'Currency Master'!A:A,0)),"")))</f>
        <v>45.119177999999998</v>
      </c>
      <c r="J445" s="3">
        <f t="shared" si="24"/>
        <v>71905.559959999999</v>
      </c>
      <c r="K445" s="3" t="str">
        <f t="shared" si="25"/>
        <v>₹/Candy</v>
      </c>
      <c r="L445" s="3">
        <v>8.5000000000000006E-2</v>
      </c>
      <c r="M445" s="3"/>
      <c r="N445" s="3">
        <f t="shared" si="26"/>
        <v>2010</v>
      </c>
      <c r="O445" s="3" t="str">
        <f t="shared" si="27"/>
        <v>December</v>
      </c>
      <c r="P445" s="3" t="s">
        <v>22</v>
      </c>
      <c r="Q445" s="3"/>
    </row>
    <row r="446" spans="1:17" hidden="1" x14ac:dyDescent="0.3">
      <c r="A446" s="2">
        <v>40483</v>
      </c>
      <c r="B446" s="3" t="s">
        <v>12</v>
      </c>
      <c r="C446" s="3" t="s">
        <v>19</v>
      </c>
      <c r="D446" s="3" t="s">
        <v>20</v>
      </c>
      <c r="E446" s="3" t="s">
        <v>21</v>
      </c>
      <c r="F446" s="3">
        <v>68279.304799999998</v>
      </c>
      <c r="G446" s="3" t="s">
        <v>16</v>
      </c>
      <c r="H446" s="3" t="s">
        <v>17</v>
      </c>
      <c r="I446" s="3">
        <f>IF(C446="India",1,IF(C446="USA",INDEX('Currency Master'!B:B,MATCH(DATE(N446,MONTH(DATEVALUE(O446&amp;" 1")),1),'Currency Master'!A:A,0)),IF(C446="Australia",INDEX('Currency Master'!T:T,MATCH(DATE(N446,MONTH(DATEVALUE(O446&amp;" 1")),1),'Currency Master'!A:A,0)),"")))</f>
        <v>44.998573999999998</v>
      </c>
      <c r="J446" s="3">
        <f t="shared" si="24"/>
        <v>68279.304799999998</v>
      </c>
      <c r="K446" s="3" t="str">
        <f t="shared" si="25"/>
        <v>₹/Candy</v>
      </c>
      <c r="L446" s="3">
        <v>0.22220000000000001</v>
      </c>
      <c r="M446" s="3"/>
      <c r="N446" s="3">
        <f t="shared" si="26"/>
        <v>2010</v>
      </c>
      <c r="O446" s="3" t="str">
        <f t="shared" si="27"/>
        <v>November</v>
      </c>
      <c r="P446" s="3" t="s">
        <v>22</v>
      </c>
      <c r="Q446" s="3"/>
    </row>
    <row r="447" spans="1:17" hidden="1" x14ac:dyDescent="0.3">
      <c r="A447" s="2">
        <v>40452</v>
      </c>
      <c r="B447" s="3" t="s">
        <v>12</v>
      </c>
      <c r="C447" s="3" t="s">
        <v>19</v>
      </c>
      <c r="D447" s="3" t="s">
        <v>20</v>
      </c>
      <c r="E447" s="3" t="s">
        <v>21</v>
      </c>
      <c r="F447" s="3">
        <v>55547.899299999997</v>
      </c>
      <c r="G447" s="3" t="s">
        <v>16</v>
      </c>
      <c r="H447" s="3" t="s">
        <v>17</v>
      </c>
      <c r="I447" s="3">
        <f>IF(C447="India",1,IF(C447="USA",INDEX('Currency Master'!B:B,MATCH(DATE(N447,MONTH(DATEVALUE(O447&amp;" 1")),1),'Currency Master'!A:A,0)),IF(C447="Australia",INDEX('Currency Master'!T:T,MATCH(DATE(N447,MONTH(DATEVALUE(O447&amp;" 1")),1),'Currency Master'!A:A,0)),"")))</f>
        <v>44.425030999999997</v>
      </c>
      <c r="J447" s="3">
        <f t="shared" si="24"/>
        <v>55547.899299999997</v>
      </c>
      <c r="K447" s="3" t="str">
        <f t="shared" si="25"/>
        <v>₹/Candy</v>
      </c>
      <c r="L447" s="3">
        <v>0.20780000000000001</v>
      </c>
      <c r="M447" s="3"/>
      <c r="N447" s="3">
        <f t="shared" si="26"/>
        <v>2010</v>
      </c>
      <c r="O447" s="3" t="str">
        <f t="shared" si="27"/>
        <v>October</v>
      </c>
      <c r="P447" s="3" t="s">
        <v>22</v>
      </c>
      <c r="Q447" s="3"/>
    </row>
    <row r="448" spans="1:17" hidden="1" x14ac:dyDescent="0.3">
      <c r="A448" s="2">
        <v>40422</v>
      </c>
      <c r="B448" s="3" t="s">
        <v>12</v>
      </c>
      <c r="C448" s="3" t="s">
        <v>19</v>
      </c>
      <c r="D448" s="3" t="s">
        <v>20</v>
      </c>
      <c r="E448" s="3" t="s">
        <v>21</v>
      </c>
      <c r="F448" s="3">
        <v>47437.843719999997</v>
      </c>
      <c r="G448" s="3" t="s">
        <v>16</v>
      </c>
      <c r="H448" s="3" t="s">
        <v>17</v>
      </c>
      <c r="I448" s="3">
        <f>IF(C448="India",1,IF(C448="USA",INDEX('Currency Master'!B:B,MATCH(DATE(N448,MONTH(DATEVALUE(O448&amp;" 1")),1),'Currency Master'!A:A,0)),IF(C448="Australia",INDEX('Currency Master'!T:T,MATCH(DATE(N448,MONTH(DATEVALUE(O448&amp;" 1")),1),'Currency Master'!A:A,0)),"")))</f>
        <v>45.990425999999999</v>
      </c>
      <c r="J448" s="3">
        <f t="shared" si="24"/>
        <v>47437.843719999997</v>
      </c>
      <c r="K448" s="3" t="str">
        <f t="shared" si="25"/>
        <v>₹/Candy</v>
      </c>
      <c r="L448" s="3">
        <v>0.1608</v>
      </c>
      <c r="M448" s="3"/>
      <c r="N448" s="3">
        <f t="shared" si="26"/>
        <v>2010</v>
      </c>
      <c r="O448" s="3" t="str">
        <f t="shared" si="27"/>
        <v>September</v>
      </c>
      <c r="P448" s="3" t="s">
        <v>22</v>
      </c>
      <c r="Q448" s="3"/>
    </row>
    <row r="449" spans="1:17" hidden="1" x14ac:dyDescent="0.3">
      <c r="A449" s="2">
        <v>40391</v>
      </c>
      <c r="B449" s="3" t="s">
        <v>12</v>
      </c>
      <c r="C449" s="3" t="s">
        <v>19</v>
      </c>
      <c r="D449" s="3" t="s">
        <v>20</v>
      </c>
      <c r="E449" s="3" t="s">
        <v>21</v>
      </c>
      <c r="F449" s="3">
        <v>43797.001459999999</v>
      </c>
      <c r="G449" s="3" t="s">
        <v>16</v>
      </c>
      <c r="H449" s="3" t="s">
        <v>17</v>
      </c>
      <c r="I449" s="3">
        <f>IF(C449="India",1,IF(C449="USA",INDEX('Currency Master'!B:B,MATCH(DATE(N449,MONTH(DATEVALUE(O449&amp;" 1")),1),'Currency Master'!A:A,0)),IF(C449="Australia",INDEX('Currency Master'!T:T,MATCH(DATE(N449,MONTH(DATEVALUE(O449&amp;" 1")),1),'Currency Master'!A:A,0)),"")))</f>
        <v>46.574164000000003</v>
      </c>
      <c r="J449" s="3">
        <f t="shared" si="24"/>
        <v>43797.001459999999</v>
      </c>
      <c r="K449" s="3" t="str">
        <f t="shared" si="25"/>
        <v>₹/Candy</v>
      </c>
      <c r="L449" s="3">
        <v>6.9900000000000004E-2</v>
      </c>
      <c r="M449" s="3"/>
      <c r="N449" s="3">
        <f t="shared" si="26"/>
        <v>2010</v>
      </c>
      <c r="O449" s="3" t="str">
        <f t="shared" si="27"/>
        <v>August</v>
      </c>
      <c r="P449" s="3" t="s">
        <v>22</v>
      </c>
      <c r="Q449" s="3"/>
    </row>
    <row r="450" spans="1:17" hidden="1" x14ac:dyDescent="0.3">
      <c r="A450" s="2">
        <v>40360</v>
      </c>
      <c r="B450" s="3" t="s">
        <v>12</v>
      </c>
      <c r="C450" s="3" t="s">
        <v>19</v>
      </c>
      <c r="D450" s="3" t="s">
        <v>20</v>
      </c>
      <c r="E450" s="3" t="s">
        <v>21</v>
      </c>
      <c r="F450" s="3">
        <v>40920.288280000001</v>
      </c>
      <c r="G450" s="3" t="s">
        <v>16</v>
      </c>
      <c r="H450" s="3" t="s">
        <v>17</v>
      </c>
      <c r="I450" s="3">
        <f>IF(C450="India",1,IF(C450="USA",INDEX('Currency Master'!B:B,MATCH(DATE(N450,MONTH(DATEVALUE(O450&amp;" 1")),1),'Currency Master'!A:A,0)),IF(C450="Australia",INDEX('Currency Master'!T:T,MATCH(DATE(N450,MONTH(DATEVALUE(O450&amp;" 1")),1),'Currency Master'!A:A,0)),"")))</f>
        <v>46.838614999999997</v>
      </c>
      <c r="J450" s="3">
        <f t="shared" si="24"/>
        <v>40920.288280000001</v>
      </c>
      <c r="K450" s="3" t="str">
        <f t="shared" si="25"/>
        <v>₹/Candy</v>
      </c>
      <c r="L450" s="3">
        <v>-9.2700000000000005E-2</v>
      </c>
      <c r="M450" s="3"/>
      <c r="N450" s="3">
        <f t="shared" si="26"/>
        <v>2010</v>
      </c>
      <c r="O450" s="3" t="str">
        <f t="shared" si="27"/>
        <v>July</v>
      </c>
      <c r="P450" s="3" t="s">
        <v>22</v>
      </c>
      <c r="Q450" s="3"/>
    </row>
    <row r="451" spans="1:17" hidden="1" x14ac:dyDescent="0.3">
      <c r="A451" s="2">
        <v>40330</v>
      </c>
      <c r="B451" s="3" t="s">
        <v>12</v>
      </c>
      <c r="C451" s="3" t="s">
        <v>19</v>
      </c>
      <c r="D451" s="3" t="s">
        <v>20</v>
      </c>
      <c r="E451" s="3" t="s">
        <v>21</v>
      </c>
      <c r="F451" s="3">
        <v>44405.117100000003</v>
      </c>
      <c r="G451" s="3" t="s">
        <v>16</v>
      </c>
      <c r="H451" s="3" t="s">
        <v>17</v>
      </c>
      <c r="I451" s="3">
        <f>IF(C451="India",1,IF(C451="USA",INDEX('Currency Master'!B:B,MATCH(DATE(N451,MONTH(DATEVALUE(O451&amp;" 1")),1),'Currency Master'!A:A,0)),IF(C451="Australia",INDEX('Currency Master'!T:T,MATCH(DATE(N451,MONTH(DATEVALUE(O451&amp;" 1")),1),'Currency Master'!A:A,0)),"")))</f>
        <v>46.563110999999999</v>
      </c>
      <c r="J451" s="3">
        <f t="shared" ref="J451:J514" si="28">IF(C451="India",F451,IF(C451="USA",IF(G451="US Cents/Lb",ROUND(((F451/100)/0.453592)*I451*356,0),F451),IF(C451="Australia",IF(G451="AUc/kg",ROUND((F451/100)*I451,2),F451),"")))</f>
        <v>44405.117100000003</v>
      </c>
      <c r="K451" s="3" t="str">
        <f t="shared" ref="K451:K514" si="29">IF(C451="India",G451,IF(C451="USA","₹/Candy",IF(C451="Australia","₹/Kg","")))</f>
        <v>₹/Candy</v>
      </c>
      <c r="L451" s="3">
        <v>3.0200000000000001E-2</v>
      </c>
      <c r="M451" s="3"/>
      <c r="N451" s="3">
        <f t="shared" ref="N451:N514" si="30">YEAR(A451)</f>
        <v>2010</v>
      </c>
      <c r="O451" s="3" t="str">
        <f t="shared" ref="O451:O514" si="31">TEXT(A451,"mmmm")</f>
        <v>June</v>
      </c>
      <c r="P451" s="3" t="s">
        <v>22</v>
      </c>
      <c r="Q451" s="3"/>
    </row>
    <row r="452" spans="1:17" hidden="1" x14ac:dyDescent="0.3">
      <c r="A452" s="2">
        <v>40299</v>
      </c>
      <c r="B452" s="3" t="s">
        <v>12</v>
      </c>
      <c r="C452" s="3" t="s">
        <v>19</v>
      </c>
      <c r="D452" s="3" t="s">
        <v>20</v>
      </c>
      <c r="E452" s="3" t="s">
        <v>21</v>
      </c>
      <c r="F452" s="3">
        <v>43251.502659999998</v>
      </c>
      <c r="G452" s="3" t="s">
        <v>16</v>
      </c>
      <c r="H452" s="3" t="s">
        <v>17</v>
      </c>
      <c r="I452" s="3">
        <f>IF(C452="India",1,IF(C452="USA",INDEX('Currency Master'!B:B,MATCH(DATE(N452,MONTH(DATEVALUE(O452&amp;" 1")),1),'Currency Master'!A:A,0)),IF(C452="Australia",INDEX('Currency Master'!T:T,MATCH(DATE(N452,MONTH(DATEVALUE(O452&amp;" 1")),1),'Currency Master'!A:A,0)),"")))</f>
        <v>45.882964999999999</v>
      </c>
      <c r="J452" s="3">
        <f t="shared" si="28"/>
        <v>43251.502659999998</v>
      </c>
      <c r="K452" s="3" t="str">
        <f t="shared" si="29"/>
        <v>₹/Candy</v>
      </c>
      <c r="L452" s="3">
        <v>2.58E-2</v>
      </c>
      <c r="M452" s="3"/>
      <c r="N452" s="3">
        <f t="shared" si="30"/>
        <v>2010</v>
      </c>
      <c r="O452" s="3" t="str">
        <f t="shared" si="31"/>
        <v>May</v>
      </c>
      <c r="P452" s="3" t="s">
        <v>22</v>
      </c>
      <c r="Q452" s="3"/>
    </row>
    <row r="453" spans="1:17" hidden="1" x14ac:dyDescent="0.3">
      <c r="A453" s="2">
        <v>40269</v>
      </c>
      <c r="B453" s="3" t="s">
        <v>12</v>
      </c>
      <c r="C453" s="3" t="s">
        <v>19</v>
      </c>
      <c r="D453" s="3" t="s">
        <v>20</v>
      </c>
      <c r="E453" s="3" t="s">
        <v>21</v>
      </c>
      <c r="F453" s="3">
        <v>40755.8946</v>
      </c>
      <c r="G453" s="3" t="s">
        <v>16</v>
      </c>
      <c r="H453" s="3" t="s">
        <v>17</v>
      </c>
      <c r="I453" s="3">
        <f>IF(C453="India",1,IF(C453="USA",INDEX('Currency Master'!B:B,MATCH(DATE(N453,MONTH(DATEVALUE(O453&amp;" 1")),1),'Currency Master'!A:A,0)),IF(C453="Australia",INDEX('Currency Master'!T:T,MATCH(DATE(N453,MONTH(DATEVALUE(O453&amp;" 1")),1),'Currency Master'!A:A,0)),"")))</f>
        <v>44.482931000000001</v>
      </c>
      <c r="J453" s="3">
        <f t="shared" si="28"/>
        <v>40755.8946</v>
      </c>
      <c r="K453" s="3" t="str">
        <f t="shared" si="29"/>
        <v>₹/Candy</v>
      </c>
      <c r="L453" s="3">
        <v>2.6499999999999999E-2</v>
      </c>
      <c r="M453" s="3"/>
      <c r="N453" s="3">
        <f t="shared" si="30"/>
        <v>2010</v>
      </c>
      <c r="O453" s="3" t="str">
        <f t="shared" si="31"/>
        <v>April</v>
      </c>
      <c r="P453" s="3" t="s">
        <v>22</v>
      </c>
      <c r="Q453" s="3"/>
    </row>
    <row r="454" spans="1:17" hidden="1" x14ac:dyDescent="0.3">
      <c r="A454" s="2">
        <v>40238</v>
      </c>
      <c r="B454" s="3" t="s">
        <v>12</v>
      </c>
      <c r="C454" s="3" t="s">
        <v>19</v>
      </c>
      <c r="D454" s="3" t="s">
        <v>20</v>
      </c>
      <c r="E454" s="3" t="s">
        <v>21</v>
      </c>
      <c r="F454" s="3">
        <v>40296.058299999997</v>
      </c>
      <c r="G454" s="3" t="s">
        <v>16</v>
      </c>
      <c r="H454" s="3" t="s">
        <v>17</v>
      </c>
      <c r="I454" s="3">
        <f>IF(C454="India",1,IF(C454="USA",INDEX('Currency Master'!B:B,MATCH(DATE(N454,MONTH(DATEVALUE(O454&amp;" 1")),1),'Currency Master'!A:A,0)),IF(C454="Australia",INDEX('Currency Master'!T:T,MATCH(DATE(N454,MONTH(DATEVALUE(O454&amp;" 1")),1),'Currency Master'!A:A,0)),"")))</f>
        <v>45.481208000000002</v>
      </c>
      <c r="J454" s="3">
        <f t="shared" si="28"/>
        <v>40296.058299999997</v>
      </c>
      <c r="K454" s="3" t="str">
        <f t="shared" si="29"/>
        <v>₹/Candy</v>
      </c>
      <c r="L454" s="3">
        <v>7.3899999999999993E-2</v>
      </c>
      <c r="M454" s="3"/>
      <c r="N454" s="3">
        <f t="shared" si="30"/>
        <v>2010</v>
      </c>
      <c r="O454" s="3" t="str">
        <f t="shared" si="31"/>
        <v>March</v>
      </c>
      <c r="P454" s="3" t="s">
        <v>22</v>
      </c>
      <c r="Q454" s="3"/>
    </row>
    <row r="455" spans="1:17" hidden="1" x14ac:dyDescent="0.3">
      <c r="A455" s="2">
        <v>40210</v>
      </c>
      <c r="B455" s="3" t="s">
        <v>12</v>
      </c>
      <c r="C455" s="3" t="s">
        <v>19</v>
      </c>
      <c r="D455" s="3" t="s">
        <v>20</v>
      </c>
      <c r="E455" s="3" t="s">
        <v>21</v>
      </c>
      <c r="F455" s="3">
        <v>38896.303679999997</v>
      </c>
      <c r="G455" s="3" t="s">
        <v>16</v>
      </c>
      <c r="H455" s="3" t="s">
        <v>17</v>
      </c>
      <c r="I455" s="3">
        <f>IF(C455="India",1,IF(C455="USA",INDEX('Currency Master'!B:B,MATCH(DATE(N455,MONTH(DATEVALUE(O455&amp;" 1")),1),'Currency Master'!A:A,0)),IF(C455="Australia",INDEX('Currency Master'!T:T,MATCH(DATE(N455,MONTH(DATEVALUE(O455&amp;" 1")),1),'Currency Master'!A:A,0)),"")))</f>
        <v>46.333044000000001</v>
      </c>
      <c r="J455" s="3">
        <f t="shared" si="28"/>
        <v>38896.303679999997</v>
      </c>
      <c r="K455" s="3" t="str">
        <f t="shared" si="29"/>
        <v>₹/Candy</v>
      </c>
      <c r="L455" s="3">
        <v>2.92E-2</v>
      </c>
      <c r="M455" s="3"/>
      <c r="N455" s="3">
        <f t="shared" si="30"/>
        <v>2010</v>
      </c>
      <c r="O455" s="3" t="str">
        <f t="shared" si="31"/>
        <v>February</v>
      </c>
      <c r="P455" s="3" t="s">
        <v>22</v>
      </c>
      <c r="Q455" s="3"/>
    </row>
    <row r="456" spans="1:17" hidden="1" x14ac:dyDescent="0.3">
      <c r="A456" s="2">
        <v>40179</v>
      </c>
      <c r="B456" s="3" t="s">
        <v>12</v>
      </c>
      <c r="C456" s="3" t="s">
        <v>19</v>
      </c>
      <c r="D456" s="3" t="s">
        <v>20</v>
      </c>
      <c r="E456" s="3" t="s">
        <v>21</v>
      </c>
      <c r="F456" s="3">
        <v>38006.960500000001</v>
      </c>
      <c r="G456" s="3" t="s">
        <v>16</v>
      </c>
      <c r="H456" s="3" t="s">
        <v>17</v>
      </c>
      <c r="I456" s="3">
        <f>IF(C456="India",1,IF(C456="USA",INDEX('Currency Master'!B:B,MATCH(DATE(N456,MONTH(DATEVALUE(O456&amp;" 1")),1),'Currency Master'!A:A,0)),IF(C456="Australia",INDEX('Currency Master'!T:T,MATCH(DATE(N456,MONTH(DATEVALUE(O456&amp;" 1")),1),'Currency Master'!A:A,0)),"")))</f>
        <v>45.932239000000003</v>
      </c>
      <c r="J456" s="3">
        <f t="shared" si="28"/>
        <v>38006.960500000001</v>
      </c>
      <c r="K456" s="3" t="str">
        <f t="shared" si="29"/>
        <v>₹/Candy</v>
      </c>
      <c r="L456" s="3">
        <v>1.7899999999999999E-2</v>
      </c>
      <c r="M456" s="3"/>
      <c r="N456" s="3">
        <f t="shared" si="30"/>
        <v>2010</v>
      </c>
      <c r="O456" s="3" t="str">
        <f t="shared" si="31"/>
        <v>January</v>
      </c>
      <c r="P456" s="3" t="s">
        <v>22</v>
      </c>
      <c r="Q456" s="3"/>
    </row>
    <row r="457" spans="1:17" hidden="1" x14ac:dyDescent="0.3">
      <c r="A457" s="2">
        <v>40148</v>
      </c>
      <c r="B457" s="3" t="s">
        <v>12</v>
      </c>
      <c r="C457" s="3" t="s">
        <v>19</v>
      </c>
      <c r="D457" s="3" t="s">
        <v>20</v>
      </c>
      <c r="E457" s="3" t="s">
        <v>21</v>
      </c>
      <c r="F457" s="3">
        <v>37652.58208</v>
      </c>
      <c r="G457" s="3" t="s">
        <v>16</v>
      </c>
      <c r="H457" s="3" t="s">
        <v>17</v>
      </c>
      <c r="I457" s="3">
        <f>IF(C457="India",1,IF(C457="USA",INDEX('Currency Master'!B:B,MATCH(DATE(N457,MONTH(DATEVALUE(O457&amp;" 1")),1),'Currency Master'!A:A,0)),IF(C457="Australia",INDEX('Currency Master'!T:T,MATCH(DATE(N457,MONTH(DATEVALUE(O457&amp;" 1")),1),'Currency Master'!A:A,0)),"")))</f>
        <v>46.609853999999999</v>
      </c>
      <c r="J457" s="3">
        <f t="shared" si="28"/>
        <v>37652.58208</v>
      </c>
      <c r="K457" s="3" t="str">
        <f t="shared" si="29"/>
        <v>₹/Candy</v>
      </c>
      <c r="L457" s="3">
        <v>6.3299999999999995E-2</v>
      </c>
      <c r="M457" s="3"/>
      <c r="N457" s="3">
        <f t="shared" si="30"/>
        <v>2009</v>
      </c>
      <c r="O457" s="3" t="str">
        <f t="shared" si="31"/>
        <v>December</v>
      </c>
      <c r="P457" s="3" t="s">
        <v>22</v>
      </c>
      <c r="Q457" s="3"/>
    </row>
    <row r="458" spans="1:17" hidden="1" x14ac:dyDescent="0.3">
      <c r="A458" s="2">
        <v>40118</v>
      </c>
      <c r="B458" s="3" t="s">
        <v>12</v>
      </c>
      <c r="C458" s="3" t="s">
        <v>19</v>
      </c>
      <c r="D458" s="3" t="s">
        <v>20</v>
      </c>
      <c r="E458" s="3" t="s">
        <v>21</v>
      </c>
      <c r="F458" s="3">
        <v>35912.50748</v>
      </c>
      <c r="G458" s="3" t="s">
        <v>16</v>
      </c>
      <c r="H458" s="3" t="s">
        <v>17</v>
      </c>
      <c r="I458" s="3">
        <f>IF(C458="India",1,IF(C458="USA",INDEX('Currency Master'!B:B,MATCH(DATE(N458,MONTH(DATEVALUE(O458&amp;" 1")),1),'Currency Master'!A:A,0)),IF(C458="Australia",INDEX('Currency Master'!T:T,MATCH(DATE(N458,MONTH(DATEVALUE(O458&amp;" 1")),1),'Currency Master'!A:A,0)),"")))</f>
        <v>46.588317000000004</v>
      </c>
      <c r="J458" s="3">
        <f t="shared" si="28"/>
        <v>35912.50748</v>
      </c>
      <c r="K458" s="3" t="str">
        <f t="shared" si="29"/>
        <v>₹/Candy</v>
      </c>
      <c r="L458" s="3">
        <v>7.4800000000000005E-2</v>
      </c>
      <c r="M458" s="3"/>
      <c r="N458" s="3">
        <f t="shared" si="30"/>
        <v>2009</v>
      </c>
      <c r="O458" s="3" t="str">
        <f t="shared" si="31"/>
        <v>November</v>
      </c>
      <c r="P458" s="3" t="s">
        <v>22</v>
      </c>
      <c r="Q458" s="3"/>
    </row>
    <row r="459" spans="1:17" hidden="1" x14ac:dyDescent="0.3">
      <c r="A459" s="2">
        <v>40087</v>
      </c>
      <c r="B459" s="3" t="s">
        <v>12</v>
      </c>
      <c r="C459" s="3" t="s">
        <v>19</v>
      </c>
      <c r="D459" s="3" t="s">
        <v>20</v>
      </c>
      <c r="E459" s="3" t="s">
        <v>21</v>
      </c>
      <c r="F459" s="3">
        <v>34132.470099999999</v>
      </c>
      <c r="G459" s="3" t="s">
        <v>16</v>
      </c>
      <c r="H459" s="3" t="s">
        <v>17</v>
      </c>
      <c r="I459" s="3">
        <f>IF(C459="India",1,IF(C459="USA",INDEX('Currency Master'!B:B,MATCH(DATE(N459,MONTH(DATEVALUE(O459&amp;" 1")),1),'Currency Master'!A:A,0)),IF(C459="Australia",INDEX('Currency Master'!T:T,MATCH(DATE(N459,MONTH(DATEVALUE(O459&amp;" 1")),1),'Currency Master'!A:A,0)),"")))</f>
        <v>46.698188999999999</v>
      </c>
      <c r="J459" s="3">
        <f t="shared" si="28"/>
        <v>34132.470099999999</v>
      </c>
      <c r="K459" s="3" t="str">
        <f t="shared" si="29"/>
        <v>₹/Candy</v>
      </c>
      <c r="L459" s="3">
        <v>4.2599999999999999E-2</v>
      </c>
      <c r="M459" s="3"/>
      <c r="N459" s="3">
        <f t="shared" si="30"/>
        <v>2009</v>
      </c>
      <c r="O459" s="3" t="str">
        <f t="shared" si="31"/>
        <v>October</v>
      </c>
      <c r="P459" s="3" t="s">
        <v>22</v>
      </c>
      <c r="Q459" s="3"/>
    </row>
    <row r="460" spans="1:17" hidden="1" x14ac:dyDescent="0.3">
      <c r="A460" s="2">
        <v>40057</v>
      </c>
      <c r="B460" s="3" t="s">
        <v>12</v>
      </c>
      <c r="C460" s="3" t="s">
        <v>19</v>
      </c>
      <c r="D460" s="3" t="s">
        <v>20</v>
      </c>
      <c r="E460" s="3" t="s">
        <v>21</v>
      </c>
      <c r="F460" s="3">
        <v>33477.166660000003</v>
      </c>
      <c r="G460" s="3" t="s">
        <v>16</v>
      </c>
      <c r="H460" s="3" t="s">
        <v>17</v>
      </c>
      <c r="I460" s="3">
        <f>IF(C460="India",1,IF(C460="USA",INDEX('Currency Master'!B:B,MATCH(DATE(N460,MONTH(DATEVALUE(O460&amp;" 1")),1),'Currency Master'!A:A,0)),IF(C460="Australia",INDEX('Currency Master'!T:T,MATCH(DATE(N460,MONTH(DATEVALUE(O460&amp;" 1")),1),'Currency Master'!A:A,0)),"")))</f>
        <v>48.347239000000002</v>
      </c>
      <c r="J460" s="3">
        <f t="shared" si="28"/>
        <v>33477.166660000003</v>
      </c>
      <c r="K460" s="3" t="str">
        <f t="shared" si="29"/>
        <v>₹/Candy</v>
      </c>
      <c r="L460" s="3">
        <v>-7.0000000000000001E-3</v>
      </c>
      <c r="M460" s="3"/>
      <c r="N460" s="3">
        <f t="shared" si="30"/>
        <v>2009</v>
      </c>
      <c r="O460" s="3" t="str">
        <f t="shared" si="31"/>
        <v>September</v>
      </c>
      <c r="P460" s="3" t="s">
        <v>22</v>
      </c>
      <c r="Q460" s="3"/>
    </row>
    <row r="461" spans="1:17" hidden="1" x14ac:dyDescent="0.3">
      <c r="A461" s="2">
        <v>40026</v>
      </c>
      <c r="B461" s="3" t="s">
        <v>12</v>
      </c>
      <c r="C461" s="3" t="s">
        <v>19</v>
      </c>
      <c r="D461" s="3" t="s">
        <v>20</v>
      </c>
      <c r="E461" s="3" t="s">
        <v>21</v>
      </c>
      <c r="F461" s="3">
        <v>34195.145680000001</v>
      </c>
      <c r="G461" s="3" t="s">
        <v>16</v>
      </c>
      <c r="H461" s="3" t="s">
        <v>17</v>
      </c>
      <c r="I461" s="3">
        <f>IF(C461="India",1,IF(C461="USA",INDEX('Currency Master'!B:B,MATCH(DATE(N461,MONTH(DATEVALUE(O461&amp;" 1")),1),'Currency Master'!A:A,0)),IF(C461="Australia",INDEX('Currency Master'!T:T,MATCH(DATE(N461,MONTH(DATEVALUE(O461&amp;" 1")),1),'Currency Master'!A:A,0)),"")))</f>
        <v>48.309133000000003</v>
      </c>
      <c r="J461" s="3">
        <f t="shared" si="28"/>
        <v>34195.145680000001</v>
      </c>
      <c r="K461" s="3" t="str">
        <f t="shared" si="29"/>
        <v>₹/Candy</v>
      </c>
      <c r="L461" s="3">
        <v>-7.0000000000000001E-3</v>
      </c>
      <c r="M461" s="3"/>
      <c r="N461" s="3">
        <f t="shared" si="30"/>
        <v>2009</v>
      </c>
      <c r="O461" s="3" t="str">
        <f t="shared" si="31"/>
        <v>August</v>
      </c>
      <c r="P461" s="3" t="s">
        <v>22</v>
      </c>
      <c r="Q461" s="3"/>
    </row>
    <row r="462" spans="1:17" hidden="1" x14ac:dyDescent="0.3">
      <c r="A462" s="2">
        <v>39995</v>
      </c>
      <c r="B462" s="3" t="s">
        <v>12</v>
      </c>
      <c r="C462" s="3" t="s">
        <v>19</v>
      </c>
      <c r="D462" s="3" t="s">
        <v>20</v>
      </c>
      <c r="E462" s="3" t="s">
        <v>21</v>
      </c>
      <c r="F462" s="3">
        <v>33901.426099999997</v>
      </c>
      <c r="G462" s="3" t="s">
        <v>16</v>
      </c>
      <c r="H462" s="3" t="s">
        <v>17</v>
      </c>
      <c r="I462" s="3">
        <f>IF(C462="India",1,IF(C462="USA",INDEX('Currency Master'!B:B,MATCH(DATE(N462,MONTH(DATEVALUE(O462&amp;" 1")),1),'Currency Master'!A:A,0)),IF(C462="Australia",INDEX('Currency Master'!T:T,MATCH(DATE(N462,MONTH(DATEVALUE(O462&amp;" 1")),1),'Currency Master'!A:A,0)),"")))</f>
        <v>48.414015999999997</v>
      </c>
      <c r="J462" s="3">
        <f t="shared" si="28"/>
        <v>33901.426099999997</v>
      </c>
      <c r="K462" s="3" t="str">
        <f t="shared" si="29"/>
        <v>₹/Candy</v>
      </c>
      <c r="L462" s="3">
        <v>5.9299999999999999E-2</v>
      </c>
      <c r="M462" s="3"/>
      <c r="N462" s="3">
        <f t="shared" si="30"/>
        <v>2009</v>
      </c>
      <c r="O462" s="3" t="str">
        <f t="shared" si="31"/>
        <v>July</v>
      </c>
      <c r="P462" s="3" t="s">
        <v>22</v>
      </c>
      <c r="Q462" s="3"/>
    </row>
    <row r="463" spans="1:17" hidden="1" x14ac:dyDescent="0.3">
      <c r="A463" s="2">
        <v>39965</v>
      </c>
      <c r="B463" s="3" t="s">
        <v>12</v>
      </c>
      <c r="C463" s="3" t="s">
        <v>19</v>
      </c>
      <c r="D463" s="3" t="s">
        <v>20</v>
      </c>
      <c r="E463" s="3" t="s">
        <v>21</v>
      </c>
      <c r="F463" s="3">
        <v>32363.514999999999</v>
      </c>
      <c r="G463" s="3" t="s">
        <v>16</v>
      </c>
      <c r="H463" s="3" t="s">
        <v>17</v>
      </c>
      <c r="I463" s="3">
        <f>IF(C463="India",1,IF(C463="USA",INDEX('Currency Master'!B:B,MATCH(DATE(N463,MONTH(DATEVALUE(O463&amp;" 1")),1),'Currency Master'!A:A,0)),IF(C463="Australia",INDEX('Currency Master'!T:T,MATCH(DATE(N463,MONTH(DATEVALUE(O463&amp;" 1")),1),'Currency Master'!A:A,0)),"")))</f>
        <v>47.743065000000001</v>
      </c>
      <c r="J463" s="3">
        <f t="shared" si="28"/>
        <v>32363.514999999999</v>
      </c>
      <c r="K463" s="3" t="str">
        <f t="shared" si="29"/>
        <v>₹/Candy</v>
      </c>
      <c r="L463" s="3">
        <v>-1.46E-2</v>
      </c>
      <c r="M463" s="3"/>
      <c r="N463" s="3">
        <f t="shared" si="30"/>
        <v>2009</v>
      </c>
      <c r="O463" s="3" t="str">
        <f t="shared" si="31"/>
        <v>June</v>
      </c>
      <c r="P463" s="3" t="s">
        <v>22</v>
      </c>
      <c r="Q463" s="3"/>
    </row>
    <row r="464" spans="1:17" hidden="1" x14ac:dyDescent="0.3">
      <c r="A464" s="2">
        <v>39934</v>
      </c>
      <c r="B464" s="3" t="s">
        <v>12</v>
      </c>
      <c r="C464" s="3" t="s">
        <v>19</v>
      </c>
      <c r="D464" s="3" t="s">
        <v>20</v>
      </c>
      <c r="E464" s="3" t="s">
        <v>21</v>
      </c>
      <c r="F464" s="3">
        <v>32399.50304</v>
      </c>
      <c r="G464" s="3" t="s">
        <v>16</v>
      </c>
      <c r="H464" s="3" t="s">
        <v>17</v>
      </c>
      <c r="I464" s="3">
        <f>IF(C464="India",1,IF(C464="USA",INDEX('Currency Master'!B:B,MATCH(DATE(N464,MONTH(DATEVALUE(O464&amp;" 1")),1),'Currency Master'!A:A,0)),IF(C464="Australia",INDEX('Currency Master'!T:T,MATCH(DATE(N464,MONTH(DATEVALUE(O464&amp;" 1")),1),'Currency Master'!A:A,0)),"")))</f>
        <v>48.477646999999997</v>
      </c>
      <c r="J464" s="3">
        <f t="shared" si="28"/>
        <v>32399.50304</v>
      </c>
      <c r="K464" s="3" t="str">
        <f t="shared" si="29"/>
        <v>₹/Candy</v>
      </c>
      <c r="L464" s="3">
        <v>9.6000000000000002E-2</v>
      </c>
      <c r="M464" s="3"/>
      <c r="N464" s="3">
        <f t="shared" si="30"/>
        <v>2009</v>
      </c>
      <c r="O464" s="3" t="str">
        <f t="shared" si="31"/>
        <v>May</v>
      </c>
      <c r="P464" s="3" t="s">
        <v>22</v>
      </c>
      <c r="Q464" s="3"/>
    </row>
    <row r="465" spans="1:17" hidden="1" x14ac:dyDescent="0.3">
      <c r="A465" s="2">
        <v>39904</v>
      </c>
      <c r="B465" s="3" t="s">
        <v>12</v>
      </c>
      <c r="C465" s="3" t="s">
        <v>19</v>
      </c>
      <c r="D465" s="3" t="s">
        <v>20</v>
      </c>
      <c r="E465" s="3" t="s">
        <v>21</v>
      </c>
      <c r="F465" s="3">
        <v>31460.387500000001</v>
      </c>
      <c r="G465" s="3" t="s">
        <v>16</v>
      </c>
      <c r="H465" s="3" t="s">
        <v>17</v>
      </c>
      <c r="I465" s="3">
        <f>IF(C465="India",1,IF(C465="USA",INDEX('Currency Master'!B:B,MATCH(DATE(N465,MONTH(DATEVALUE(O465&amp;" 1")),1),'Currency Master'!A:A,0)),IF(C465="Australia",INDEX('Currency Master'!T:T,MATCH(DATE(N465,MONTH(DATEVALUE(O465&amp;" 1")),1),'Currency Master'!A:A,0)),"")))</f>
        <v>50.050842000000003</v>
      </c>
      <c r="J465" s="3">
        <f t="shared" si="28"/>
        <v>31460.387500000001</v>
      </c>
      <c r="K465" s="3" t="str">
        <f t="shared" si="29"/>
        <v>₹/Candy</v>
      </c>
      <c r="L465" s="3">
        <v>9.6500000000000002E-2</v>
      </c>
      <c r="M465" s="3"/>
      <c r="N465" s="3">
        <f t="shared" si="30"/>
        <v>2009</v>
      </c>
      <c r="O465" s="3" t="str">
        <f t="shared" si="31"/>
        <v>April</v>
      </c>
      <c r="P465" s="3" t="s">
        <v>22</v>
      </c>
      <c r="Q465" s="3"/>
    </row>
    <row r="466" spans="1:17" hidden="1" x14ac:dyDescent="0.3">
      <c r="A466" s="2">
        <v>39873</v>
      </c>
      <c r="B466" s="3" t="s">
        <v>12</v>
      </c>
      <c r="C466" s="3" t="s">
        <v>19</v>
      </c>
      <c r="D466" s="3" t="s">
        <v>20</v>
      </c>
      <c r="E466" s="3" t="s">
        <v>21</v>
      </c>
      <c r="F466" s="3">
        <v>29695.661680000001</v>
      </c>
      <c r="G466" s="3" t="s">
        <v>16</v>
      </c>
      <c r="H466" s="3" t="s">
        <v>17</v>
      </c>
      <c r="I466" s="3">
        <f>IF(C466="India",1,IF(C466="USA",INDEX('Currency Master'!B:B,MATCH(DATE(N466,MONTH(DATEVALUE(O466&amp;" 1")),1),'Currency Master'!A:A,0)),IF(C466="Australia",INDEX('Currency Master'!T:T,MATCH(DATE(N466,MONTH(DATEVALUE(O466&amp;" 1")),1),'Currency Master'!A:A,0)),"")))</f>
        <v>51.214615000000002</v>
      </c>
      <c r="J466" s="3">
        <f t="shared" si="28"/>
        <v>29695.661680000001</v>
      </c>
      <c r="K466" s="3" t="str">
        <f t="shared" si="29"/>
        <v>₹/Candy</v>
      </c>
      <c r="L466" s="3">
        <v>-6.5600000000000006E-2</v>
      </c>
      <c r="M466" s="3"/>
      <c r="N466" s="3">
        <f t="shared" si="30"/>
        <v>2009</v>
      </c>
      <c r="O466" s="3" t="str">
        <f t="shared" si="31"/>
        <v>March</v>
      </c>
      <c r="P466" s="3" t="s">
        <v>22</v>
      </c>
      <c r="Q466" s="3"/>
    </row>
    <row r="467" spans="1:17" hidden="1" x14ac:dyDescent="0.3">
      <c r="A467" s="2">
        <v>39845</v>
      </c>
      <c r="B467" s="3" t="s">
        <v>12</v>
      </c>
      <c r="C467" s="3" t="s">
        <v>19</v>
      </c>
      <c r="D467" s="3" t="s">
        <v>20</v>
      </c>
      <c r="E467" s="3" t="s">
        <v>21</v>
      </c>
      <c r="F467" s="3">
        <v>31487.740760000001</v>
      </c>
      <c r="G467" s="3" t="s">
        <v>16</v>
      </c>
      <c r="H467" s="3" t="s">
        <v>17</v>
      </c>
      <c r="I467" s="3">
        <f>IF(C467="India",1,IF(C467="USA",INDEX('Currency Master'!B:B,MATCH(DATE(N467,MONTH(DATEVALUE(O467&amp;" 1")),1),'Currency Master'!A:A,0)),IF(C467="Australia",INDEX('Currency Master'!T:T,MATCH(DATE(N467,MONTH(DATEVALUE(O467&amp;" 1")),1),'Currency Master'!A:A,0)),"")))</f>
        <v>49.304690999999998</v>
      </c>
      <c r="J467" s="3">
        <f t="shared" si="28"/>
        <v>31487.740760000001</v>
      </c>
      <c r="K467" s="3" t="str">
        <f t="shared" si="29"/>
        <v>₹/Candy</v>
      </c>
      <c r="L467" s="3">
        <v>-3.9399999999999998E-2</v>
      </c>
      <c r="M467" s="3"/>
      <c r="N467" s="3">
        <f t="shared" si="30"/>
        <v>2009</v>
      </c>
      <c r="O467" s="3" t="str">
        <f t="shared" si="31"/>
        <v>February</v>
      </c>
      <c r="P467" s="3" t="s">
        <v>22</v>
      </c>
      <c r="Q467" s="3"/>
    </row>
    <row r="468" spans="1:17" hidden="1" x14ac:dyDescent="0.3">
      <c r="A468" s="2">
        <v>39814</v>
      </c>
      <c r="B468" s="3" t="s">
        <v>12</v>
      </c>
      <c r="C468" s="3" t="s">
        <v>19</v>
      </c>
      <c r="D468" s="3" t="s">
        <v>20</v>
      </c>
      <c r="E468" s="3" t="s">
        <v>21</v>
      </c>
      <c r="F468" s="3">
        <v>31414.6682</v>
      </c>
      <c r="G468" s="3" t="s">
        <v>16</v>
      </c>
      <c r="H468" s="3" t="s">
        <v>17</v>
      </c>
      <c r="I468" s="3">
        <f>IF(C468="India",1,IF(C468="USA",INDEX('Currency Master'!B:B,MATCH(DATE(N468,MONTH(DATEVALUE(O468&amp;" 1")),1),'Currency Master'!A:A,0)),IF(C468="Australia",INDEX('Currency Master'!T:T,MATCH(DATE(N468,MONTH(DATEVALUE(O468&amp;" 1")),1),'Currency Master'!A:A,0)),"")))</f>
        <v>48.705545000000001</v>
      </c>
      <c r="J468" s="3">
        <f t="shared" si="28"/>
        <v>31414.6682</v>
      </c>
      <c r="K468" s="3" t="str">
        <f t="shared" si="29"/>
        <v>₹/Candy</v>
      </c>
      <c r="L468" s="3">
        <v>4.1000000000000002E-2</v>
      </c>
      <c r="M468" s="3"/>
      <c r="N468" s="3">
        <f t="shared" si="30"/>
        <v>2009</v>
      </c>
      <c r="O468" s="3" t="str">
        <f t="shared" si="31"/>
        <v>January</v>
      </c>
      <c r="P468" s="3" t="s">
        <v>22</v>
      </c>
      <c r="Q468" s="3"/>
    </row>
    <row r="469" spans="1:17" hidden="1" x14ac:dyDescent="0.3">
      <c r="A469" s="2">
        <v>39783</v>
      </c>
      <c r="B469" s="3" t="s">
        <v>12</v>
      </c>
      <c r="C469" s="3" t="s">
        <v>19</v>
      </c>
      <c r="D469" s="3" t="s">
        <v>20</v>
      </c>
      <c r="E469" s="3" t="s">
        <v>21</v>
      </c>
      <c r="F469" s="3">
        <v>30348.302240000001</v>
      </c>
      <c r="G469" s="3" t="s">
        <v>16</v>
      </c>
      <c r="H469" s="3" t="s">
        <v>17</v>
      </c>
      <c r="I469" s="3">
        <f>IF(C469="India",1,IF(C469="USA",INDEX('Currency Master'!B:B,MATCH(DATE(N469,MONTH(DATEVALUE(O469&amp;" 1")),1),'Currency Master'!A:A,0)),IF(C469="Australia",INDEX('Currency Master'!T:T,MATCH(DATE(N469,MONTH(DATEVALUE(O469&amp;" 1")),1),'Currency Master'!A:A,0)),"")))</f>
        <v>48.581693999999999</v>
      </c>
      <c r="J469" s="3">
        <f t="shared" si="28"/>
        <v>30348.302240000001</v>
      </c>
      <c r="K469" s="3" t="str">
        <f t="shared" si="29"/>
        <v>₹/Candy</v>
      </c>
      <c r="L469" s="3">
        <v>8.3000000000000001E-3</v>
      </c>
      <c r="M469" s="3"/>
      <c r="N469" s="3">
        <f t="shared" si="30"/>
        <v>2008</v>
      </c>
      <c r="O469" s="3" t="str">
        <f t="shared" si="31"/>
        <v>December</v>
      </c>
      <c r="P469" s="3" t="s">
        <v>22</v>
      </c>
      <c r="Q469" s="3"/>
    </row>
    <row r="470" spans="1:17" hidden="1" x14ac:dyDescent="0.3">
      <c r="A470" s="2">
        <v>39753</v>
      </c>
      <c r="B470" s="3" t="s">
        <v>12</v>
      </c>
      <c r="C470" s="3" t="s">
        <v>19</v>
      </c>
      <c r="D470" s="3" t="s">
        <v>20</v>
      </c>
      <c r="E470" s="3" t="s">
        <v>21</v>
      </c>
      <c r="F470" s="3">
        <v>30610.419699999999</v>
      </c>
      <c r="G470" s="3" t="s">
        <v>16</v>
      </c>
      <c r="H470" s="3" t="s">
        <v>17</v>
      </c>
      <c r="I470" s="3">
        <f>IF(C470="India",1,IF(C470="USA",INDEX('Currency Master'!B:B,MATCH(DATE(N470,MONTH(DATEVALUE(O470&amp;" 1")),1),'Currency Master'!A:A,0)),IF(C470="Australia",INDEX('Currency Master'!T:T,MATCH(DATE(N470,MONTH(DATEVALUE(O470&amp;" 1")),1),'Currency Master'!A:A,0)),"")))</f>
        <v>48.889612</v>
      </c>
      <c r="J470" s="3">
        <f t="shared" si="28"/>
        <v>30610.419699999999</v>
      </c>
      <c r="K470" s="3" t="str">
        <f t="shared" si="29"/>
        <v>₹/Candy</v>
      </c>
      <c r="L470" s="3">
        <v>-0.1168</v>
      </c>
      <c r="M470" s="3"/>
      <c r="N470" s="3">
        <f t="shared" si="30"/>
        <v>2008</v>
      </c>
      <c r="O470" s="3" t="str">
        <f t="shared" si="31"/>
        <v>November</v>
      </c>
      <c r="P470" s="3" t="s">
        <v>22</v>
      </c>
      <c r="Q470" s="3"/>
    </row>
    <row r="471" spans="1:17" hidden="1" x14ac:dyDescent="0.3">
      <c r="A471" s="2">
        <v>39722</v>
      </c>
      <c r="B471" s="3" t="s">
        <v>12</v>
      </c>
      <c r="C471" s="3" t="s">
        <v>19</v>
      </c>
      <c r="D471" s="3" t="s">
        <v>20</v>
      </c>
      <c r="E471" s="3" t="s">
        <v>21</v>
      </c>
      <c r="F471" s="3">
        <v>33582.467900000003</v>
      </c>
      <c r="G471" s="3" t="s">
        <v>16</v>
      </c>
      <c r="H471" s="3" t="s">
        <v>17</v>
      </c>
      <c r="I471" s="3">
        <f>IF(C471="India",1,IF(C471="USA",INDEX('Currency Master'!B:B,MATCH(DATE(N471,MONTH(DATEVALUE(O471&amp;" 1")),1),'Currency Master'!A:A,0)),IF(C471="Australia",INDEX('Currency Master'!T:T,MATCH(DATE(N471,MONTH(DATEVALUE(O471&amp;" 1")),1),'Currency Master'!A:A,0)),"")))</f>
        <v>48.623386000000004</v>
      </c>
      <c r="J471" s="3">
        <f t="shared" si="28"/>
        <v>33582.467900000003</v>
      </c>
      <c r="K471" s="3" t="str">
        <f t="shared" si="29"/>
        <v>₹/Candy</v>
      </c>
      <c r="L471" s="3">
        <v>-0.15429999999999999</v>
      </c>
      <c r="M471" s="3"/>
      <c r="N471" s="3">
        <f t="shared" si="30"/>
        <v>2008</v>
      </c>
      <c r="O471" s="3" t="str">
        <f t="shared" si="31"/>
        <v>October</v>
      </c>
      <c r="P471" s="3" t="s">
        <v>22</v>
      </c>
      <c r="Q471" s="3"/>
    </row>
    <row r="472" spans="1:17" hidden="1" x14ac:dyDescent="0.3">
      <c r="A472" s="2">
        <v>39692</v>
      </c>
      <c r="B472" s="3" t="s">
        <v>12</v>
      </c>
      <c r="C472" s="3" t="s">
        <v>19</v>
      </c>
      <c r="D472" s="3" t="s">
        <v>20</v>
      </c>
      <c r="E472" s="3" t="s">
        <v>21</v>
      </c>
      <c r="F472" s="3">
        <v>36819.061479999997</v>
      </c>
      <c r="G472" s="3" t="s">
        <v>16</v>
      </c>
      <c r="H472" s="3" t="s">
        <v>17</v>
      </c>
      <c r="I472" s="3">
        <f>IF(C472="India",1,IF(C472="USA",INDEX('Currency Master'!B:B,MATCH(DATE(N472,MONTH(DATEVALUE(O472&amp;" 1")),1),'Currency Master'!A:A,0)),IF(C472="Australia",INDEX('Currency Master'!T:T,MATCH(DATE(N472,MONTH(DATEVALUE(O472&amp;" 1")),1),'Currency Master'!A:A,0)),"")))</f>
        <v>45.543497000000002</v>
      </c>
      <c r="J472" s="3">
        <f t="shared" si="28"/>
        <v>36819.061479999997</v>
      </c>
      <c r="K472" s="3" t="str">
        <f t="shared" si="29"/>
        <v>₹/Candy</v>
      </c>
      <c r="L472" s="3">
        <v>-5.8099999999999999E-2</v>
      </c>
      <c r="M472" s="3"/>
      <c r="N472" s="3">
        <f t="shared" si="30"/>
        <v>2008</v>
      </c>
      <c r="O472" s="3" t="str">
        <f t="shared" si="31"/>
        <v>September</v>
      </c>
      <c r="P472" s="3" t="s">
        <v>22</v>
      </c>
      <c r="Q472" s="3"/>
    </row>
    <row r="473" spans="1:17" hidden="1" x14ac:dyDescent="0.3">
      <c r="A473" s="2">
        <v>39661</v>
      </c>
      <c r="B473" s="3" t="s">
        <v>12</v>
      </c>
      <c r="C473" s="3" t="s">
        <v>19</v>
      </c>
      <c r="D473" s="3" t="s">
        <v>20</v>
      </c>
      <c r="E473" s="3" t="s">
        <v>21</v>
      </c>
      <c r="F473" s="3">
        <v>36668.726240000004</v>
      </c>
      <c r="G473" s="3" t="s">
        <v>16</v>
      </c>
      <c r="H473" s="3" t="s">
        <v>17</v>
      </c>
      <c r="I473" s="3">
        <f>IF(C473="India",1,IF(C473="USA",INDEX('Currency Master'!B:B,MATCH(DATE(N473,MONTH(DATEVALUE(O473&amp;" 1")),1),'Currency Master'!A:A,0)),IF(C473="Australia",INDEX('Currency Master'!T:T,MATCH(DATE(N473,MONTH(DATEVALUE(O473&amp;" 1")),1),'Currency Master'!A:A,0)),"")))</f>
        <v>42.977148999999997</v>
      </c>
      <c r="J473" s="3">
        <f t="shared" si="28"/>
        <v>36668.726240000004</v>
      </c>
      <c r="K473" s="3" t="str">
        <f t="shared" si="29"/>
        <v>₹/Candy</v>
      </c>
      <c r="L473" s="3">
        <v>1.18E-2</v>
      </c>
      <c r="M473" s="3"/>
      <c r="N473" s="3">
        <f t="shared" si="30"/>
        <v>2008</v>
      </c>
      <c r="O473" s="3" t="str">
        <f t="shared" si="31"/>
        <v>August</v>
      </c>
      <c r="P473" s="3" t="s">
        <v>22</v>
      </c>
      <c r="Q473" s="3"/>
    </row>
    <row r="474" spans="1:17" hidden="1" x14ac:dyDescent="0.3">
      <c r="A474" s="2">
        <v>39630</v>
      </c>
      <c r="B474" s="3" t="s">
        <v>12</v>
      </c>
      <c r="C474" s="3" t="s">
        <v>19</v>
      </c>
      <c r="D474" s="3" t="s">
        <v>20</v>
      </c>
      <c r="E474" s="3" t="s">
        <v>21</v>
      </c>
      <c r="F474" s="3">
        <v>35401.782760000002</v>
      </c>
      <c r="G474" s="3" t="s">
        <v>16</v>
      </c>
      <c r="H474" s="3" t="s">
        <v>17</v>
      </c>
      <c r="I474" s="3">
        <f>IF(C474="India",1,IF(C474="USA",INDEX('Currency Master'!B:B,MATCH(DATE(N474,MONTH(DATEVALUE(O474&amp;" 1")),1),'Currency Master'!A:A,0)),IF(C474="Australia",INDEX('Currency Master'!T:T,MATCH(DATE(N474,MONTH(DATEVALUE(O474&amp;" 1")),1),'Currency Master'!A:A,0)),"")))</f>
        <v>42.792571000000002</v>
      </c>
      <c r="J474" s="3">
        <f t="shared" si="28"/>
        <v>35401.782760000002</v>
      </c>
      <c r="K474" s="3" t="str">
        <f t="shared" si="29"/>
        <v>₹/Candy</v>
      </c>
      <c r="L474" s="3">
        <v>0</v>
      </c>
      <c r="M474" s="3"/>
      <c r="N474" s="3">
        <f t="shared" si="30"/>
        <v>2008</v>
      </c>
      <c r="O474" s="3" t="str">
        <f t="shared" si="31"/>
        <v>July</v>
      </c>
      <c r="P474" s="3" t="s">
        <v>22</v>
      </c>
      <c r="Q474" s="3"/>
    </row>
    <row r="475" spans="1:17" hidden="1" x14ac:dyDescent="0.3">
      <c r="A475" s="2">
        <v>39600</v>
      </c>
      <c r="B475" s="3" t="s">
        <v>12</v>
      </c>
      <c r="C475" s="3" t="s">
        <v>19</v>
      </c>
      <c r="D475" s="3" t="s">
        <v>20</v>
      </c>
      <c r="E475" s="3" t="s">
        <v>21</v>
      </c>
      <c r="F475" s="3">
        <v>35699.359600000003</v>
      </c>
      <c r="G475" s="3" t="s">
        <v>16</v>
      </c>
      <c r="H475" s="3" t="s">
        <v>17</v>
      </c>
      <c r="I475" s="3">
        <f>IF(C475="India",1,IF(C475="USA",INDEX('Currency Master'!B:B,MATCH(DATE(N475,MONTH(DATEVALUE(O475&amp;" 1")),1),'Currency Master'!A:A,0)),IF(C475="Australia",INDEX('Currency Master'!T:T,MATCH(DATE(N475,MONTH(DATEVALUE(O475&amp;" 1")),1),'Currency Master'!A:A,0)),"")))</f>
        <v>42.796739000000002</v>
      </c>
      <c r="J475" s="3">
        <f t="shared" si="28"/>
        <v>35699.359600000003</v>
      </c>
      <c r="K475" s="3" t="str">
        <f t="shared" si="29"/>
        <v>₹/Candy</v>
      </c>
      <c r="L475" s="3">
        <v>4.2900000000000001E-2</v>
      </c>
      <c r="M475" s="3"/>
      <c r="N475" s="3">
        <f t="shared" si="30"/>
        <v>2008</v>
      </c>
      <c r="O475" s="3" t="str">
        <f t="shared" si="31"/>
        <v>June</v>
      </c>
      <c r="P475" s="3" t="s">
        <v>22</v>
      </c>
      <c r="Q475" s="3"/>
    </row>
    <row r="476" spans="1:17" hidden="1" x14ac:dyDescent="0.3">
      <c r="A476" s="2">
        <v>39569</v>
      </c>
      <c r="B476" s="3" t="s">
        <v>12</v>
      </c>
      <c r="C476" s="3" t="s">
        <v>19</v>
      </c>
      <c r="D476" s="3" t="s">
        <v>20</v>
      </c>
      <c r="E476" s="3" t="s">
        <v>21</v>
      </c>
      <c r="F476" s="3">
        <v>34031.065280000003</v>
      </c>
      <c r="G476" s="3" t="s">
        <v>16</v>
      </c>
      <c r="H476" s="3" t="s">
        <v>17</v>
      </c>
      <c r="I476" s="3">
        <f>IF(C476="India",1,IF(C476="USA",INDEX('Currency Master'!B:B,MATCH(DATE(N476,MONTH(DATEVALUE(O476&amp;" 1")),1),'Currency Master'!A:A,0)),IF(C476="Australia",INDEX('Currency Master'!T:T,MATCH(DATE(N476,MONTH(DATEVALUE(O476&amp;" 1")),1),'Currency Master'!A:A,0)),"")))</f>
        <v>42.173889000000003</v>
      </c>
      <c r="J476" s="3">
        <f t="shared" si="28"/>
        <v>34031.065280000003</v>
      </c>
      <c r="K476" s="3" t="str">
        <f t="shared" si="29"/>
        <v>₹/Candy</v>
      </c>
      <c r="L476" s="3">
        <v>-1.8100000000000002E-2</v>
      </c>
      <c r="M476" s="3"/>
      <c r="N476" s="3">
        <f t="shared" si="30"/>
        <v>2008</v>
      </c>
      <c r="O476" s="3" t="str">
        <f t="shared" si="31"/>
        <v>May</v>
      </c>
      <c r="P476" s="3" t="s">
        <v>22</v>
      </c>
      <c r="Q476" s="3"/>
    </row>
    <row r="477" spans="1:17" hidden="1" x14ac:dyDescent="0.3">
      <c r="A477" s="2">
        <v>39539</v>
      </c>
      <c r="B477" s="3" t="s">
        <v>12</v>
      </c>
      <c r="C477" s="3" t="s">
        <v>19</v>
      </c>
      <c r="D477" s="3" t="s">
        <v>20</v>
      </c>
      <c r="E477" s="3" t="s">
        <v>21</v>
      </c>
      <c r="F477" s="3">
        <v>33421.265760000002</v>
      </c>
      <c r="G477" s="3" t="s">
        <v>16</v>
      </c>
      <c r="H477" s="3" t="s">
        <v>17</v>
      </c>
      <c r="I477" s="3">
        <f>IF(C477="India",1,IF(C477="USA",INDEX('Currency Master'!B:B,MATCH(DATE(N477,MONTH(DATEVALUE(O477&amp;" 1")),1),'Currency Master'!A:A,0)),IF(C477="Australia",INDEX('Currency Master'!T:T,MATCH(DATE(N477,MONTH(DATEVALUE(O477&amp;" 1")),1),'Currency Master'!A:A,0)),"")))</f>
        <v>39.997621000000002</v>
      </c>
      <c r="J477" s="3">
        <f t="shared" si="28"/>
        <v>33421.265760000002</v>
      </c>
      <c r="K477" s="3" t="str">
        <f t="shared" si="29"/>
        <v>₹/Candy</v>
      </c>
      <c r="L477" s="3">
        <v>-6.2100000000000002E-2</v>
      </c>
      <c r="M477" s="3"/>
      <c r="N477" s="3">
        <f t="shared" si="30"/>
        <v>2008</v>
      </c>
      <c r="O477" s="3" t="str">
        <f t="shared" si="31"/>
        <v>April</v>
      </c>
      <c r="P477" s="3" t="s">
        <v>22</v>
      </c>
      <c r="Q477" s="3"/>
    </row>
    <row r="478" spans="1:17" hidden="1" x14ac:dyDescent="0.3">
      <c r="A478" s="2">
        <v>39508</v>
      </c>
      <c r="B478" s="3" t="s">
        <v>12</v>
      </c>
      <c r="C478" s="3" t="s">
        <v>19</v>
      </c>
      <c r="D478" s="3" t="s">
        <v>20</v>
      </c>
      <c r="E478" s="3" t="s">
        <v>21</v>
      </c>
      <c r="F478" s="3">
        <v>34866.073960000002</v>
      </c>
      <c r="G478" s="3" t="s">
        <v>16</v>
      </c>
      <c r="H478" s="3" t="s">
        <v>17</v>
      </c>
      <c r="I478" s="3">
        <f>IF(C478="India",1,IF(C478="USA",INDEX('Currency Master'!B:B,MATCH(DATE(N478,MONTH(DATEVALUE(O478&amp;" 1")),1),'Currency Master'!A:A,0)),IF(C478="Australia",INDEX('Currency Master'!T:T,MATCH(DATE(N478,MONTH(DATEVALUE(O478&amp;" 1")),1),'Currency Master'!A:A,0)),"")))</f>
        <v>40.297643999999998</v>
      </c>
      <c r="J478" s="3">
        <f t="shared" si="28"/>
        <v>34866.073960000002</v>
      </c>
      <c r="K478" s="3" t="str">
        <f t="shared" si="29"/>
        <v>₹/Candy</v>
      </c>
      <c r="L478" s="3">
        <v>7.2700000000000001E-2</v>
      </c>
      <c r="M478" s="3"/>
      <c r="N478" s="3">
        <f t="shared" si="30"/>
        <v>2008</v>
      </c>
      <c r="O478" s="3" t="str">
        <f t="shared" si="31"/>
        <v>March</v>
      </c>
      <c r="P478" s="3" t="s">
        <v>22</v>
      </c>
      <c r="Q478" s="3"/>
    </row>
    <row r="479" spans="1:17" hidden="1" x14ac:dyDescent="0.3">
      <c r="A479" s="2">
        <v>39479</v>
      </c>
      <c r="B479" s="3" t="s">
        <v>12</v>
      </c>
      <c r="C479" s="3" t="s">
        <v>19</v>
      </c>
      <c r="D479" s="3" t="s">
        <v>20</v>
      </c>
      <c r="E479" s="3" t="s">
        <v>21</v>
      </c>
      <c r="F479" s="3">
        <v>32913.908799999997</v>
      </c>
      <c r="G479" s="3" t="s">
        <v>16</v>
      </c>
      <c r="H479" s="3" t="s">
        <v>17</v>
      </c>
      <c r="I479" s="3">
        <f>IF(C479="India",1,IF(C479="USA",INDEX('Currency Master'!B:B,MATCH(DATE(N479,MONTH(DATEVALUE(O479&amp;" 1")),1),'Currency Master'!A:A,0)),IF(C479="Australia",INDEX('Currency Master'!T:T,MATCH(DATE(N479,MONTH(DATEVALUE(O479&amp;" 1")),1),'Currency Master'!A:A,0)),"")))</f>
        <v>39.692751999999999</v>
      </c>
      <c r="J479" s="3">
        <f t="shared" si="28"/>
        <v>32913.908799999997</v>
      </c>
      <c r="K479" s="3" t="str">
        <f t="shared" si="29"/>
        <v>₹/Candy</v>
      </c>
      <c r="L479" s="3">
        <v>2.4799999999999999E-2</v>
      </c>
      <c r="M479" s="3"/>
      <c r="N479" s="3">
        <f t="shared" si="30"/>
        <v>2008</v>
      </c>
      <c r="O479" s="3" t="str">
        <f t="shared" si="31"/>
        <v>February</v>
      </c>
      <c r="P479" s="3" t="s">
        <v>22</v>
      </c>
      <c r="Q479" s="3"/>
    </row>
    <row r="480" spans="1:17" hidden="1" x14ac:dyDescent="0.3">
      <c r="A480" s="2">
        <v>39448</v>
      </c>
      <c r="B480" s="3" t="s">
        <v>12</v>
      </c>
      <c r="C480" s="3" t="s">
        <v>19</v>
      </c>
      <c r="D480" s="3" t="s">
        <v>20</v>
      </c>
      <c r="E480" s="3" t="s">
        <v>21</v>
      </c>
      <c r="F480" s="3">
        <v>31885.097280000002</v>
      </c>
      <c r="G480" s="3" t="s">
        <v>16</v>
      </c>
      <c r="H480" s="3" t="s">
        <v>17</v>
      </c>
      <c r="I480" s="3">
        <f>IF(C480="India",1,IF(C480="USA",INDEX('Currency Master'!B:B,MATCH(DATE(N480,MONTH(DATEVALUE(O480&amp;" 1")),1),'Currency Master'!A:A,0)),IF(C480="Australia",INDEX('Currency Master'!T:T,MATCH(DATE(N480,MONTH(DATEVALUE(O480&amp;" 1")),1),'Currency Master'!A:A,0)),"")))</f>
        <v>39.255623999999997</v>
      </c>
      <c r="J480" s="3">
        <f t="shared" si="28"/>
        <v>31885.097280000002</v>
      </c>
      <c r="K480" s="3" t="str">
        <f t="shared" si="29"/>
        <v>₹/Candy</v>
      </c>
      <c r="L480" s="3">
        <v>5.2299999999999999E-2</v>
      </c>
      <c r="M480" s="3"/>
      <c r="N480" s="3">
        <f t="shared" si="30"/>
        <v>2008</v>
      </c>
      <c r="O480" s="3" t="str">
        <f t="shared" si="31"/>
        <v>January</v>
      </c>
      <c r="P480" s="3" t="s">
        <v>22</v>
      </c>
      <c r="Q480" s="3"/>
    </row>
    <row r="481" spans="1:17" hidden="1" x14ac:dyDescent="0.3">
      <c r="A481" s="2">
        <v>39417</v>
      </c>
      <c r="B481" s="3" t="s">
        <v>12</v>
      </c>
      <c r="C481" s="3" t="s">
        <v>19</v>
      </c>
      <c r="D481" s="3" t="s">
        <v>20</v>
      </c>
      <c r="E481" s="3" t="s">
        <v>21</v>
      </c>
      <c r="F481" s="3">
        <v>30729.426940000001</v>
      </c>
      <c r="G481" s="3" t="s">
        <v>16</v>
      </c>
      <c r="H481" s="3" t="s">
        <v>17</v>
      </c>
      <c r="I481" s="3">
        <f>IF(C481="India",1,IF(C481="USA",INDEX('Currency Master'!B:B,MATCH(DATE(N481,MONTH(DATEVALUE(O481&amp;" 1")),1),'Currency Master'!A:A,0)),IF(C481="Australia",INDEX('Currency Master'!T:T,MATCH(DATE(N481,MONTH(DATEVALUE(O481&amp;" 1")),1),'Currency Master'!A:A,0)),"")))</f>
        <v>39.353377000000002</v>
      </c>
      <c r="J481" s="3">
        <f t="shared" si="28"/>
        <v>30729.426940000001</v>
      </c>
      <c r="K481" s="3" t="str">
        <f t="shared" si="29"/>
        <v>₹/Candy</v>
      </c>
      <c r="L481" s="3">
        <v>-6.4999999999999997E-3</v>
      </c>
      <c r="M481" s="3"/>
      <c r="N481" s="3">
        <f t="shared" si="30"/>
        <v>2007</v>
      </c>
      <c r="O481" s="3" t="str">
        <f t="shared" si="31"/>
        <v>December</v>
      </c>
      <c r="P481" s="3" t="s">
        <v>22</v>
      </c>
      <c r="Q481" s="3"/>
    </row>
    <row r="482" spans="1:17" hidden="1" x14ac:dyDescent="0.3">
      <c r="A482" s="2">
        <v>39387</v>
      </c>
      <c r="B482" s="3" t="s">
        <v>12</v>
      </c>
      <c r="C482" s="3" t="s">
        <v>19</v>
      </c>
      <c r="D482" s="3" t="s">
        <v>20</v>
      </c>
      <c r="E482" s="3" t="s">
        <v>21</v>
      </c>
      <c r="F482" s="3">
        <v>30953.08928</v>
      </c>
      <c r="G482" s="3" t="s">
        <v>16</v>
      </c>
      <c r="H482" s="3" t="s">
        <v>17</v>
      </c>
      <c r="I482" s="3">
        <f>IF(C482="India",1,IF(C482="USA",INDEX('Currency Master'!B:B,MATCH(DATE(N482,MONTH(DATEVALUE(O482&amp;" 1")),1),'Currency Master'!A:A,0)),IF(C482="Australia",INDEX('Currency Master'!T:T,MATCH(DATE(N482,MONTH(DATEVALUE(O482&amp;" 1")),1),'Currency Master'!A:A,0)),"")))</f>
        <v>39.449016</v>
      </c>
      <c r="J482" s="3">
        <f t="shared" si="28"/>
        <v>30953.08928</v>
      </c>
      <c r="K482" s="3" t="str">
        <f t="shared" si="29"/>
        <v>₹/Candy</v>
      </c>
      <c r="L482" s="3">
        <v>1.32E-2</v>
      </c>
      <c r="M482" s="3"/>
      <c r="N482" s="3">
        <f t="shared" si="30"/>
        <v>2007</v>
      </c>
      <c r="O482" s="3" t="str">
        <f t="shared" si="31"/>
        <v>November</v>
      </c>
      <c r="P482" s="3" t="s">
        <v>22</v>
      </c>
      <c r="Q482" s="3"/>
    </row>
    <row r="483" spans="1:17" hidden="1" x14ac:dyDescent="0.3">
      <c r="A483" s="2">
        <v>39356</v>
      </c>
      <c r="B483" s="3" t="s">
        <v>12</v>
      </c>
      <c r="C483" s="3" t="s">
        <v>19</v>
      </c>
      <c r="D483" s="3" t="s">
        <v>20</v>
      </c>
      <c r="E483" s="3" t="s">
        <v>21</v>
      </c>
      <c r="F483" s="3">
        <v>30450.11824</v>
      </c>
      <c r="G483" s="3" t="s">
        <v>16</v>
      </c>
      <c r="H483" s="3" t="s">
        <v>17</v>
      </c>
      <c r="I483" s="3">
        <f>IF(C483="India",1,IF(C483="USA",INDEX('Currency Master'!B:B,MATCH(DATE(N483,MONTH(DATEVALUE(O483&amp;" 1")),1),'Currency Master'!A:A,0)),IF(C483="Australia",INDEX('Currency Master'!T:T,MATCH(DATE(N483,MONTH(DATEVALUE(O483&amp;" 1")),1),'Currency Master'!A:A,0)),"")))</f>
        <v>39.456456000000003</v>
      </c>
      <c r="J483" s="3">
        <f t="shared" si="28"/>
        <v>30450.11824</v>
      </c>
      <c r="K483" s="3" t="str">
        <f t="shared" si="29"/>
        <v>₹/Candy</v>
      </c>
      <c r="L483" s="3">
        <v>1.3299999999999999E-2</v>
      </c>
      <c r="M483" s="3"/>
      <c r="N483" s="3">
        <f t="shared" si="30"/>
        <v>2007</v>
      </c>
      <c r="O483" s="3" t="str">
        <f t="shared" si="31"/>
        <v>October</v>
      </c>
      <c r="P483" s="3" t="s">
        <v>22</v>
      </c>
      <c r="Q483" s="3"/>
    </row>
    <row r="484" spans="1:17" hidden="1" x14ac:dyDescent="0.3">
      <c r="A484" s="2">
        <v>39326</v>
      </c>
      <c r="B484" s="3" t="s">
        <v>12</v>
      </c>
      <c r="C484" s="3" t="s">
        <v>19</v>
      </c>
      <c r="D484" s="3" t="s">
        <v>20</v>
      </c>
      <c r="E484" s="3" t="s">
        <v>21</v>
      </c>
      <c r="F484" s="3">
        <v>30416.284</v>
      </c>
      <c r="G484" s="3" t="s">
        <v>16</v>
      </c>
      <c r="H484" s="3" t="s">
        <v>17</v>
      </c>
      <c r="I484" s="3">
        <f>IF(C484="India",1,IF(C484="USA",INDEX('Currency Master'!B:B,MATCH(DATE(N484,MONTH(DATEVALUE(O484&amp;" 1")),1),'Currency Master'!A:A,0)),IF(C484="Australia",INDEX('Currency Master'!T:T,MATCH(DATE(N484,MONTH(DATEVALUE(O484&amp;" 1")),1),'Currency Master'!A:A,0)),"")))</f>
        <v>40.151006000000002</v>
      </c>
      <c r="J484" s="3">
        <f t="shared" si="28"/>
        <v>30416.284</v>
      </c>
      <c r="K484" s="3" t="str">
        <f t="shared" si="29"/>
        <v>₹/Candy</v>
      </c>
      <c r="L484" s="3">
        <v>2.0400000000000001E-2</v>
      </c>
      <c r="M484" s="3"/>
      <c r="N484" s="3">
        <f t="shared" si="30"/>
        <v>2007</v>
      </c>
      <c r="O484" s="3" t="str">
        <f t="shared" si="31"/>
        <v>September</v>
      </c>
      <c r="P484" s="3" t="s">
        <v>22</v>
      </c>
      <c r="Q484" s="3"/>
    </row>
    <row r="485" spans="1:17" hidden="1" x14ac:dyDescent="0.3">
      <c r="A485" s="2">
        <v>39295</v>
      </c>
      <c r="B485" s="3" t="s">
        <v>12</v>
      </c>
      <c r="C485" s="3" t="s">
        <v>19</v>
      </c>
      <c r="D485" s="3" t="s">
        <v>20</v>
      </c>
      <c r="E485" s="3" t="s">
        <v>21</v>
      </c>
      <c r="F485" s="3">
        <v>30514.49728</v>
      </c>
      <c r="G485" s="3" t="s">
        <v>16</v>
      </c>
      <c r="H485" s="3" t="s">
        <v>17</v>
      </c>
      <c r="I485" s="3">
        <f>IF(C485="India",1,IF(C485="USA",INDEX('Currency Master'!B:B,MATCH(DATE(N485,MONTH(DATEVALUE(O485&amp;" 1")),1),'Currency Master'!A:A,0)),IF(C485="Australia",INDEX('Currency Master'!T:T,MATCH(DATE(N485,MONTH(DATEVALUE(O485&amp;" 1")),1),'Currency Master'!A:A,0)),"")))</f>
        <v>40.698644000000002</v>
      </c>
      <c r="J485" s="3">
        <f t="shared" si="28"/>
        <v>30514.49728</v>
      </c>
      <c r="K485" s="3" t="str">
        <f t="shared" si="29"/>
        <v>₹/Candy</v>
      </c>
      <c r="L485" s="3">
        <v>-0.02</v>
      </c>
      <c r="M485" s="3"/>
      <c r="N485" s="3">
        <f t="shared" si="30"/>
        <v>2007</v>
      </c>
      <c r="O485" s="3" t="str">
        <f t="shared" si="31"/>
        <v>August</v>
      </c>
      <c r="P485" s="3" t="s">
        <v>22</v>
      </c>
      <c r="Q485" s="3"/>
    </row>
    <row r="486" spans="1:17" hidden="1" x14ac:dyDescent="0.3">
      <c r="A486" s="2">
        <v>39264</v>
      </c>
      <c r="B486" s="3" t="s">
        <v>12</v>
      </c>
      <c r="C486" s="3" t="s">
        <v>19</v>
      </c>
      <c r="D486" s="3" t="s">
        <v>20</v>
      </c>
      <c r="E486" s="3" t="s">
        <v>21</v>
      </c>
      <c r="F486" s="3">
        <v>30727.606</v>
      </c>
      <c r="G486" s="3" t="s">
        <v>16</v>
      </c>
      <c r="H486" s="3" t="s">
        <v>17</v>
      </c>
      <c r="I486" s="3">
        <f>IF(C486="India",1,IF(C486="USA",INDEX('Currency Master'!B:B,MATCH(DATE(N486,MONTH(DATEVALUE(O486&amp;" 1")),1),'Currency Master'!A:A,0)),IF(C486="Australia",INDEX('Currency Master'!T:T,MATCH(DATE(N486,MONTH(DATEVALUE(O486&amp;" 1")),1),'Currency Master'!A:A,0)),"")))</f>
        <v>40.295696999999997</v>
      </c>
      <c r="J486" s="3">
        <f t="shared" si="28"/>
        <v>30727.606</v>
      </c>
      <c r="K486" s="3" t="str">
        <f t="shared" si="29"/>
        <v>₹/Candy</v>
      </c>
      <c r="L486" s="3">
        <v>0.11940000000000001</v>
      </c>
      <c r="M486" s="3"/>
      <c r="N486" s="3">
        <f t="shared" si="30"/>
        <v>2007</v>
      </c>
      <c r="O486" s="3" t="str">
        <f t="shared" si="31"/>
        <v>July</v>
      </c>
      <c r="P486" s="3" t="s">
        <v>22</v>
      </c>
      <c r="Q486" s="3"/>
    </row>
    <row r="487" spans="1:17" hidden="1" x14ac:dyDescent="0.3">
      <c r="A487" s="2">
        <v>39234</v>
      </c>
      <c r="B487" s="3" t="s">
        <v>12</v>
      </c>
      <c r="C487" s="3" t="s">
        <v>19</v>
      </c>
      <c r="D487" s="3" t="s">
        <v>20</v>
      </c>
      <c r="E487" s="3" t="s">
        <v>21</v>
      </c>
      <c r="F487" s="3">
        <v>28385.250599999999</v>
      </c>
      <c r="G487" s="3" t="s">
        <v>16</v>
      </c>
      <c r="H487" s="3" t="s">
        <v>17</v>
      </c>
      <c r="I487" s="3">
        <f>IF(C487="India",1,IF(C487="USA",INDEX('Currency Master'!B:B,MATCH(DATE(N487,MONTH(DATEVALUE(O487&amp;" 1")),1),'Currency Master'!A:A,0)),IF(C487="Australia",INDEX('Currency Master'!T:T,MATCH(DATE(N487,MONTH(DATEVALUE(O487&amp;" 1")),1),'Currency Master'!A:A,0)),"")))</f>
        <v>40.579379000000003</v>
      </c>
      <c r="J487" s="3">
        <f t="shared" si="28"/>
        <v>28385.250599999999</v>
      </c>
      <c r="K487" s="3" t="str">
        <f t="shared" si="29"/>
        <v>₹/Candy</v>
      </c>
      <c r="L487" s="3">
        <v>9.8400000000000001E-2</v>
      </c>
      <c r="M487" s="3"/>
      <c r="N487" s="3">
        <f t="shared" si="30"/>
        <v>2007</v>
      </c>
      <c r="O487" s="3" t="str">
        <f t="shared" si="31"/>
        <v>June</v>
      </c>
      <c r="P487" s="3" t="s">
        <v>22</v>
      </c>
      <c r="Q487" s="3"/>
    </row>
    <row r="488" spans="1:17" hidden="1" x14ac:dyDescent="0.3">
      <c r="A488" s="2">
        <v>39203</v>
      </c>
      <c r="B488" s="3" t="s">
        <v>12</v>
      </c>
      <c r="C488" s="3" t="s">
        <v>19</v>
      </c>
      <c r="D488" s="3" t="s">
        <v>20</v>
      </c>
      <c r="E488" s="3" t="s">
        <v>21</v>
      </c>
      <c r="F488" s="3">
        <v>26409.237000000001</v>
      </c>
      <c r="G488" s="3" t="s">
        <v>16</v>
      </c>
      <c r="H488" s="3" t="s">
        <v>17</v>
      </c>
      <c r="I488" s="3">
        <f>IF(C488="India",1,IF(C488="USA",INDEX('Currency Master'!B:B,MATCH(DATE(N488,MONTH(DATEVALUE(O488&amp;" 1")),1),'Currency Master'!A:A,0)),IF(C488="Australia",INDEX('Currency Master'!T:T,MATCH(DATE(N488,MONTH(DATEVALUE(O488&amp;" 1")),1),'Currency Master'!A:A,0)),"")))</f>
        <v>40.607689999999998</v>
      </c>
      <c r="J488" s="3">
        <f t="shared" si="28"/>
        <v>26409.237000000001</v>
      </c>
      <c r="K488" s="3" t="str">
        <f t="shared" si="29"/>
        <v>₹/Candy</v>
      </c>
      <c r="L488" s="3">
        <v>-3.1699999999999999E-2</v>
      </c>
      <c r="M488" s="3"/>
      <c r="N488" s="3">
        <f t="shared" si="30"/>
        <v>2007</v>
      </c>
      <c r="O488" s="3" t="str">
        <f t="shared" si="31"/>
        <v>May</v>
      </c>
      <c r="P488" s="3" t="s">
        <v>22</v>
      </c>
      <c r="Q488" s="3"/>
    </row>
    <row r="489" spans="1:17" hidden="1" x14ac:dyDescent="0.3">
      <c r="A489" s="2">
        <v>39173</v>
      </c>
      <c r="B489" s="3" t="s">
        <v>12</v>
      </c>
      <c r="C489" s="3" t="s">
        <v>19</v>
      </c>
      <c r="D489" s="3" t="s">
        <v>20</v>
      </c>
      <c r="E489" s="3" t="s">
        <v>21</v>
      </c>
      <c r="F489" s="3">
        <v>27372.259719999998</v>
      </c>
      <c r="G489" s="3" t="s">
        <v>16</v>
      </c>
      <c r="H489" s="3" t="s">
        <v>17</v>
      </c>
      <c r="I489" s="3">
        <f>IF(C489="India",1,IF(C489="USA",INDEX('Currency Master'!B:B,MATCH(DATE(N489,MONTH(DATEVALUE(O489&amp;" 1")),1),'Currency Master'!A:A,0)),IF(C489="Australia",INDEX('Currency Master'!T:T,MATCH(DATE(N489,MONTH(DATEVALUE(O489&amp;" 1")),1),'Currency Master'!A:A,0)),"")))</f>
        <v>41.925714999999997</v>
      </c>
      <c r="J489" s="3">
        <f t="shared" si="28"/>
        <v>27372.259719999998</v>
      </c>
      <c r="K489" s="3" t="str">
        <f t="shared" si="29"/>
        <v>₹/Candy</v>
      </c>
      <c r="L489" s="3">
        <v>-2.3300000000000001E-2</v>
      </c>
      <c r="M489" s="3"/>
      <c r="N489" s="3">
        <f t="shared" si="30"/>
        <v>2007</v>
      </c>
      <c r="O489" s="3" t="str">
        <f t="shared" si="31"/>
        <v>April</v>
      </c>
      <c r="P489" s="3" t="s">
        <v>22</v>
      </c>
      <c r="Q489" s="3"/>
    </row>
    <row r="490" spans="1:17" hidden="1" x14ac:dyDescent="0.3">
      <c r="A490" s="2">
        <v>39142</v>
      </c>
      <c r="B490" s="3" t="s">
        <v>12</v>
      </c>
      <c r="C490" s="3" t="s">
        <v>19</v>
      </c>
      <c r="D490" s="3" t="s">
        <v>20</v>
      </c>
      <c r="E490" s="3" t="s">
        <v>21</v>
      </c>
      <c r="F490" s="3">
        <v>28902.671679999999</v>
      </c>
      <c r="G490" s="3" t="s">
        <v>16</v>
      </c>
      <c r="H490" s="3" t="s">
        <v>17</v>
      </c>
      <c r="I490" s="3">
        <f>IF(C490="India",1,IF(C490="USA",INDEX('Currency Master'!B:B,MATCH(DATE(N490,MONTH(DATEVALUE(O490&amp;" 1")),1),'Currency Master'!A:A,0)),IF(C490="Australia",INDEX('Currency Master'!T:T,MATCH(DATE(N490,MONTH(DATEVALUE(O490&amp;" 1")),1),'Currency Master'!A:A,0)),"")))</f>
        <v>43.834656000000003</v>
      </c>
      <c r="J490" s="3">
        <f t="shared" si="28"/>
        <v>28902.671679999999</v>
      </c>
      <c r="K490" s="3" t="str">
        <f t="shared" si="29"/>
        <v>₹/Candy</v>
      </c>
      <c r="L490" s="3">
        <v>7.7999999999999996E-3</v>
      </c>
      <c r="M490" s="3"/>
      <c r="N490" s="3">
        <f t="shared" si="30"/>
        <v>2007</v>
      </c>
      <c r="O490" s="3" t="str">
        <f t="shared" si="31"/>
        <v>March</v>
      </c>
      <c r="P490" s="3" t="s">
        <v>22</v>
      </c>
      <c r="Q490" s="3"/>
    </row>
    <row r="491" spans="1:17" hidden="1" x14ac:dyDescent="0.3">
      <c r="A491" s="2">
        <v>39114</v>
      </c>
      <c r="B491" s="3" t="s">
        <v>12</v>
      </c>
      <c r="C491" s="3" t="s">
        <v>19</v>
      </c>
      <c r="D491" s="3" t="s">
        <v>20</v>
      </c>
      <c r="E491" s="3" t="s">
        <v>21</v>
      </c>
      <c r="F491" s="3">
        <v>29220.02432</v>
      </c>
      <c r="G491" s="3" t="s">
        <v>16</v>
      </c>
      <c r="H491" s="3" t="s">
        <v>17</v>
      </c>
      <c r="I491" s="3">
        <f>IF(C491="India",1,IF(C491="USA",INDEX('Currency Master'!B:B,MATCH(DATE(N491,MONTH(DATEVALUE(O491&amp;" 1")),1),'Currency Master'!A:A,0)),IF(C491="Australia",INDEX('Currency Master'!T:T,MATCH(DATE(N491,MONTH(DATEVALUE(O491&amp;" 1")),1),'Currency Master'!A:A,0)),"")))</f>
        <v>44.003734999999999</v>
      </c>
      <c r="J491" s="3">
        <f t="shared" si="28"/>
        <v>29220.02432</v>
      </c>
      <c r="K491" s="3" t="str">
        <f t="shared" si="29"/>
        <v>₹/Candy</v>
      </c>
      <c r="L491" s="3">
        <v>-1.54E-2</v>
      </c>
      <c r="M491" s="3"/>
      <c r="N491" s="3">
        <f t="shared" si="30"/>
        <v>2007</v>
      </c>
      <c r="O491" s="3" t="str">
        <f t="shared" si="31"/>
        <v>February</v>
      </c>
      <c r="P491" s="3" t="s">
        <v>22</v>
      </c>
      <c r="Q491" s="3"/>
    </row>
    <row r="492" spans="1:17" hidden="1" x14ac:dyDescent="0.3">
      <c r="A492" s="2">
        <v>39083</v>
      </c>
      <c r="B492" s="3" t="s">
        <v>12</v>
      </c>
      <c r="C492" s="3" t="s">
        <v>19</v>
      </c>
      <c r="D492" s="3" t="s">
        <v>20</v>
      </c>
      <c r="E492" s="3" t="s">
        <v>21</v>
      </c>
      <c r="F492" s="3">
        <v>29560.2464</v>
      </c>
      <c r="G492" s="3" t="s">
        <v>16</v>
      </c>
      <c r="H492" s="3" t="s">
        <v>17</v>
      </c>
      <c r="I492" s="3">
        <f>IF(C492="India",1,IF(C492="USA",INDEX('Currency Master'!B:B,MATCH(DATE(N492,MONTH(DATEVALUE(O492&amp;" 1")),1),'Currency Master'!A:A,0)),IF(C492="Australia",INDEX('Currency Master'!T:T,MATCH(DATE(N492,MONTH(DATEVALUE(O492&amp;" 1")),1),'Currency Master'!A:A,0)),"")))</f>
        <v>44.232906999999997</v>
      </c>
      <c r="J492" s="3">
        <f t="shared" si="28"/>
        <v>29560.2464</v>
      </c>
      <c r="K492" s="3" t="str">
        <f t="shared" si="29"/>
        <v>₹/Candy</v>
      </c>
      <c r="L492" s="3">
        <v>-7.6E-3</v>
      </c>
      <c r="M492" s="3"/>
      <c r="N492" s="3">
        <f t="shared" si="30"/>
        <v>2007</v>
      </c>
      <c r="O492" s="3" t="str">
        <f t="shared" si="31"/>
        <v>January</v>
      </c>
      <c r="P492" s="3" t="s">
        <v>22</v>
      </c>
      <c r="Q492" s="3"/>
    </row>
    <row r="493" spans="1:17" hidden="1" x14ac:dyDescent="0.3">
      <c r="A493" s="2">
        <v>39052</v>
      </c>
      <c r="B493" s="3" t="s">
        <v>12</v>
      </c>
      <c r="C493" s="3" t="s">
        <v>19</v>
      </c>
      <c r="D493" s="3" t="s">
        <v>20</v>
      </c>
      <c r="E493" s="3" t="s">
        <v>21</v>
      </c>
      <c r="F493" s="3">
        <v>29750.81854</v>
      </c>
      <c r="G493" s="3" t="s">
        <v>16</v>
      </c>
      <c r="H493" s="3" t="s">
        <v>17</v>
      </c>
      <c r="I493" s="3">
        <f>IF(C493="India",1,IF(C493="USA",INDEX('Currency Master'!B:B,MATCH(DATE(N493,MONTH(DATEVALUE(O493&amp;" 1")),1),'Currency Master'!A:A,0)),IF(C493="Australia",INDEX('Currency Master'!T:T,MATCH(DATE(N493,MONTH(DATEVALUE(O493&amp;" 1")),1),'Currency Master'!A:A,0)),"")))</f>
        <v>44.594484999999999</v>
      </c>
      <c r="J493" s="3">
        <f t="shared" si="28"/>
        <v>29750.81854</v>
      </c>
      <c r="K493" s="3" t="str">
        <f t="shared" si="29"/>
        <v>₹/Candy</v>
      </c>
      <c r="L493" s="3">
        <v>3.15E-2</v>
      </c>
      <c r="M493" s="3"/>
      <c r="N493" s="3">
        <f t="shared" si="30"/>
        <v>2006</v>
      </c>
      <c r="O493" s="3" t="str">
        <f t="shared" si="31"/>
        <v>December</v>
      </c>
      <c r="P493" s="3" t="s">
        <v>22</v>
      </c>
      <c r="Q493" s="3"/>
    </row>
    <row r="494" spans="1:17" hidden="1" x14ac:dyDescent="0.3">
      <c r="A494" s="2">
        <v>39022</v>
      </c>
      <c r="B494" s="3" t="s">
        <v>12</v>
      </c>
      <c r="C494" s="3" t="s">
        <v>19</v>
      </c>
      <c r="D494" s="3" t="s">
        <v>20</v>
      </c>
      <c r="E494" s="3" t="s">
        <v>21</v>
      </c>
      <c r="F494" s="3">
        <v>29301.0072</v>
      </c>
      <c r="G494" s="3" t="s">
        <v>16</v>
      </c>
      <c r="H494" s="3" t="s">
        <v>17</v>
      </c>
      <c r="I494" s="3">
        <f>IF(C494="India",1,IF(C494="USA",INDEX('Currency Master'!B:B,MATCH(DATE(N494,MONTH(DATEVALUE(O494&amp;" 1")),1),'Currency Master'!A:A,0)),IF(C494="Australia",INDEX('Currency Master'!T:T,MATCH(DATE(N494,MONTH(DATEVALUE(O494&amp;" 1")),1),'Currency Master'!A:A,0)),"")))</f>
        <v>44.798420999999998</v>
      </c>
      <c r="J494" s="3">
        <f t="shared" si="28"/>
        <v>29301.0072</v>
      </c>
      <c r="K494" s="3" t="str">
        <f t="shared" si="29"/>
        <v>₹/Candy</v>
      </c>
      <c r="L494" s="3">
        <v>7.9000000000000008E-3</v>
      </c>
      <c r="M494" s="3"/>
      <c r="N494" s="3">
        <f t="shared" si="30"/>
        <v>2006</v>
      </c>
      <c r="O494" s="3" t="str">
        <f t="shared" si="31"/>
        <v>November</v>
      </c>
      <c r="P494" s="3" t="s">
        <v>22</v>
      </c>
      <c r="Q494" s="3"/>
    </row>
    <row r="495" spans="1:17" hidden="1" x14ac:dyDescent="0.3">
      <c r="A495" s="2">
        <v>38991</v>
      </c>
      <c r="B495" s="3" t="s">
        <v>12</v>
      </c>
      <c r="C495" s="3" t="s">
        <v>19</v>
      </c>
      <c r="D495" s="3" t="s">
        <v>20</v>
      </c>
      <c r="E495" s="3" t="s">
        <v>21</v>
      </c>
      <c r="F495" s="3">
        <v>29284.246719999999</v>
      </c>
      <c r="G495" s="3" t="s">
        <v>16</v>
      </c>
      <c r="H495" s="3" t="s">
        <v>17</v>
      </c>
      <c r="I495" s="3">
        <f>IF(C495="India",1,IF(C495="USA",INDEX('Currency Master'!B:B,MATCH(DATE(N495,MONTH(DATEVALUE(O495&amp;" 1")),1),'Currency Master'!A:A,0)),IF(C495="Australia",INDEX('Currency Master'!T:T,MATCH(DATE(N495,MONTH(DATEVALUE(O495&amp;" 1")),1),'Currency Master'!A:A,0)),"")))</f>
        <v>45.439182000000002</v>
      </c>
      <c r="J495" s="3">
        <f t="shared" si="28"/>
        <v>29284.246719999999</v>
      </c>
      <c r="K495" s="3" t="str">
        <f t="shared" si="29"/>
        <v>₹/Candy</v>
      </c>
      <c r="L495" s="3">
        <v>-3.0800000000000001E-2</v>
      </c>
      <c r="M495" s="3"/>
      <c r="N495" s="3">
        <f t="shared" si="30"/>
        <v>2006</v>
      </c>
      <c r="O495" s="3" t="str">
        <f t="shared" si="31"/>
        <v>October</v>
      </c>
      <c r="P495" s="3" t="s">
        <v>22</v>
      </c>
      <c r="Q495" s="3"/>
    </row>
    <row r="496" spans="1:17" hidden="1" x14ac:dyDescent="0.3">
      <c r="A496" s="2">
        <v>38961</v>
      </c>
      <c r="B496" s="3" t="s">
        <v>12</v>
      </c>
      <c r="C496" s="3" t="s">
        <v>19</v>
      </c>
      <c r="D496" s="3" t="s">
        <v>20</v>
      </c>
      <c r="E496" s="3" t="s">
        <v>21</v>
      </c>
      <c r="F496" s="3">
        <v>30491.862799999999</v>
      </c>
      <c r="G496" s="3" t="s">
        <v>16</v>
      </c>
      <c r="H496" s="3" t="s">
        <v>17</v>
      </c>
      <c r="I496" s="3">
        <f>IF(C496="India",1,IF(C496="USA",INDEX('Currency Master'!B:B,MATCH(DATE(N496,MONTH(DATEVALUE(O496&amp;" 1")),1),'Currency Master'!A:A,0)),IF(C496="Australia",INDEX('Currency Master'!T:T,MATCH(DATE(N496,MONTH(DATEVALUE(O496&amp;" 1")),1),'Currency Master'!A:A,0)),"")))</f>
        <v>46.103583999999998</v>
      </c>
      <c r="J496" s="3">
        <f t="shared" si="28"/>
        <v>30491.862799999999</v>
      </c>
      <c r="K496" s="3" t="str">
        <f t="shared" si="29"/>
        <v>₹/Candy</v>
      </c>
      <c r="L496" s="3">
        <v>-1.52E-2</v>
      </c>
      <c r="M496" s="3"/>
      <c r="N496" s="3">
        <f t="shared" si="30"/>
        <v>2006</v>
      </c>
      <c r="O496" s="3" t="str">
        <f t="shared" si="31"/>
        <v>September</v>
      </c>
      <c r="P496" s="3" t="s">
        <v>22</v>
      </c>
      <c r="Q496" s="3"/>
    </row>
    <row r="497" spans="1:17" hidden="1" x14ac:dyDescent="0.3">
      <c r="A497" s="2">
        <v>38930</v>
      </c>
      <c r="B497" s="3" t="s">
        <v>12</v>
      </c>
      <c r="C497" s="3" t="s">
        <v>19</v>
      </c>
      <c r="D497" s="3" t="s">
        <v>20</v>
      </c>
      <c r="E497" s="3" t="s">
        <v>21</v>
      </c>
      <c r="F497" s="3">
        <v>31146.069759999998</v>
      </c>
      <c r="G497" s="3" t="s">
        <v>16</v>
      </c>
      <c r="H497" s="3" t="s">
        <v>17</v>
      </c>
      <c r="I497" s="3">
        <f>IF(C497="India",1,IF(C497="USA",INDEX('Currency Master'!B:B,MATCH(DATE(N497,MONTH(DATEVALUE(O497&amp;" 1")),1),'Currency Master'!A:A,0)),IF(C497="Australia",INDEX('Currency Master'!T:T,MATCH(DATE(N497,MONTH(DATEVALUE(O497&amp;" 1")),1),'Currency Master'!A:A,0)),"")))</f>
        <v>46.511673000000002</v>
      </c>
      <c r="J497" s="3">
        <f t="shared" si="28"/>
        <v>31146.069759999998</v>
      </c>
      <c r="K497" s="3" t="str">
        <f t="shared" si="29"/>
        <v>₹/Candy</v>
      </c>
      <c r="L497" s="3">
        <v>8.2000000000000003E-2</v>
      </c>
      <c r="M497" s="3"/>
      <c r="N497" s="3">
        <f t="shared" si="30"/>
        <v>2006</v>
      </c>
      <c r="O497" s="3" t="str">
        <f t="shared" si="31"/>
        <v>August</v>
      </c>
      <c r="P497" s="3" t="s">
        <v>22</v>
      </c>
      <c r="Q497" s="3"/>
    </row>
    <row r="498" spans="1:17" hidden="1" x14ac:dyDescent="0.3">
      <c r="A498" s="2">
        <v>38899</v>
      </c>
      <c r="B498" s="3" t="s">
        <v>12</v>
      </c>
      <c r="C498" s="3" t="s">
        <v>19</v>
      </c>
      <c r="D498" s="3" t="s">
        <v>20</v>
      </c>
      <c r="E498" s="3" t="s">
        <v>21</v>
      </c>
      <c r="F498" s="3">
        <v>29335.468000000001</v>
      </c>
      <c r="G498" s="3" t="s">
        <v>16</v>
      </c>
      <c r="H498" s="3" t="s">
        <v>17</v>
      </c>
      <c r="I498" s="3">
        <f>IF(C498="India",1,IF(C498="USA",INDEX('Currency Master'!B:B,MATCH(DATE(N498,MONTH(DATEVALUE(O498&amp;" 1")),1),'Currency Master'!A:A,0)),IF(C498="Australia",INDEX('Currency Master'!T:T,MATCH(DATE(N498,MONTH(DATEVALUE(O498&amp;" 1")),1),'Currency Master'!A:A,0)),"")))</f>
        <v>46.448552999999997</v>
      </c>
      <c r="J498" s="3">
        <f t="shared" si="28"/>
        <v>29335.468000000001</v>
      </c>
      <c r="K498" s="3" t="str">
        <f t="shared" si="29"/>
        <v>₹/Candy</v>
      </c>
      <c r="L498" s="3">
        <v>0</v>
      </c>
      <c r="M498" s="3"/>
      <c r="N498" s="3">
        <f t="shared" si="30"/>
        <v>2006</v>
      </c>
      <c r="O498" s="3" t="str">
        <f t="shared" si="31"/>
        <v>July</v>
      </c>
      <c r="P498" s="3" t="s">
        <v>22</v>
      </c>
      <c r="Q498" s="3"/>
    </row>
    <row r="499" spans="1:17" hidden="1" x14ac:dyDescent="0.3">
      <c r="A499" s="2">
        <v>38869</v>
      </c>
      <c r="B499" s="3" t="s">
        <v>12</v>
      </c>
      <c r="C499" s="3" t="s">
        <v>19</v>
      </c>
      <c r="D499" s="3" t="s">
        <v>20</v>
      </c>
      <c r="E499" s="3" t="s">
        <v>21</v>
      </c>
      <c r="F499" s="3">
        <v>29039.261760000001</v>
      </c>
      <c r="G499" s="3" t="s">
        <v>16</v>
      </c>
      <c r="H499" s="3" t="s">
        <v>17</v>
      </c>
      <c r="I499" s="3">
        <f>IF(C499="India",1,IF(C499="USA",INDEX('Currency Master'!B:B,MATCH(DATE(N499,MONTH(DATEVALUE(O499&amp;" 1")),1),'Currency Master'!A:A,0)),IF(C499="Australia",INDEX('Currency Master'!T:T,MATCH(DATE(N499,MONTH(DATEVALUE(O499&amp;" 1")),1),'Currency Master'!A:A,0)),"")))</f>
        <v>45.996223999999998</v>
      </c>
      <c r="J499" s="3">
        <f t="shared" si="28"/>
        <v>29039.261760000001</v>
      </c>
      <c r="K499" s="3" t="str">
        <f t="shared" si="29"/>
        <v>₹/Candy</v>
      </c>
      <c r="L499" s="3">
        <v>1.67E-2</v>
      </c>
      <c r="M499" s="3"/>
      <c r="N499" s="3">
        <f t="shared" si="30"/>
        <v>2006</v>
      </c>
      <c r="O499" s="3" t="str">
        <f t="shared" si="31"/>
        <v>June</v>
      </c>
      <c r="P499" s="3" t="s">
        <v>22</v>
      </c>
      <c r="Q499" s="3"/>
    </row>
    <row r="500" spans="1:17" hidden="1" x14ac:dyDescent="0.3">
      <c r="A500" s="2">
        <v>38838</v>
      </c>
      <c r="B500" s="3" t="s">
        <v>12</v>
      </c>
      <c r="C500" s="3" t="s">
        <v>19</v>
      </c>
      <c r="D500" s="3" t="s">
        <v>20</v>
      </c>
      <c r="E500" s="3" t="s">
        <v>21</v>
      </c>
      <c r="F500" s="3">
        <v>28879.6456</v>
      </c>
      <c r="G500" s="3" t="s">
        <v>16</v>
      </c>
      <c r="H500" s="3" t="s">
        <v>17</v>
      </c>
      <c r="I500" s="3">
        <f>IF(C500="India",1,IF(C500="USA",INDEX('Currency Master'!B:B,MATCH(DATE(N500,MONTH(DATEVALUE(O500&amp;" 1")),1),'Currency Master'!A:A,0)),IF(C500="Australia",INDEX('Currency Master'!T:T,MATCH(DATE(N500,MONTH(DATEVALUE(O500&amp;" 1")),1),'Currency Master'!A:A,0)),"")))</f>
        <v>45.330288000000003</v>
      </c>
      <c r="J500" s="3">
        <f t="shared" si="28"/>
        <v>28879.6456</v>
      </c>
      <c r="K500" s="3" t="str">
        <f t="shared" si="29"/>
        <v>₹/Candy</v>
      </c>
      <c r="L500" s="3">
        <v>-3.2300000000000002E-2</v>
      </c>
      <c r="M500" s="3"/>
      <c r="N500" s="3">
        <f t="shared" si="30"/>
        <v>2006</v>
      </c>
      <c r="O500" s="3" t="str">
        <f t="shared" si="31"/>
        <v>May</v>
      </c>
      <c r="P500" s="3" t="s">
        <v>22</v>
      </c>
      <c r="Q500" s="3"/>
    </row>
    <row r="501" spans="1:17" hidden="1" x14ac:dyDescent="0.3">
      <c r="A501" s="2">
        <v>38808</v>
      </c>
      <c r="B501" s="3" t="s">
        <v>12</v>
      </c>
      <c r="C501" s="3" t="s">
        <v>19</v>
      </c>
      <c r="D501" s="3" t="s">
        <v>20</v>
      </c>
      <c r="E501" s="3" t="s">
        <v>21</v>
      </c>
      <c r="F501" s="3">
        <v>28922.721600000001</v>
      </c>
      <c r="G501" s="3" t="s">
        <v>16</v>
      </c>
      <c r="H501" s="3" t="s">
        <v>17</v>
      </c>
      <c r="I501" s="3">
        <f>IF(C501="India",1,IF(C501="USA",INDEX('Currency Master'!B:B,MATCH(DATE(N501,MONTH(DATEVALUE(O501&amp;" 1")),1),'Currency Master'!A:A,0)),IF(C501="Australia",INDEX('Currency Master'!T:T,MATCH(DATE(N501,MONTH(DATEVALUE(O501&amp;" 1")),1),'Currency Master'!A:A,0)),"")))</f>
        <v>44.859943000000001</v>
      </c>
      <c r="J501" s="3">
        <f t="shared" si="28"/>
        <v>28922.721600000001</v>
      </c>
      <c r="K501" s="3" t="str">
        <f t="shared" si="29"/>
        <v>₹/Candy</v>
      </c>
      <c r="L501" s="3">
        <v>-2.3599999999999999E-2</v>
      </c>
      <c r="M501" s="3"/>
      <c r="N501" s="3">
        <f t="shared" si="30"/>
        <v>2006</v>
      </c>
      <c r="O501" s="3" t="str">
        <f t="shared" si="31"/>
        <v>April</v>
      </c>
      <c r="P501" s="3" t="s">
        <v>22</v>
      </c>
      <c r="Q501" s="3"/>
    </row>
    <row r="502" spans="1:17" hidden="1" x14ac:dyDescent="0.3">
      <c r="A502" s="2">
        <v>38777</v>
      </c>
      <c r="B502" s="3" t="s">
        <v>12</v>
      </c>
      <c r="C502" s="3" t="s">
        <v>19</v>
      </c>
      <c r="D502" s="3" t="s">
        <v>20</v>
      </c>
      <c r="E502" s="3" t="s">
        <v>21</v>
      </c>
      <c r="F502" s="3">
        <v>29251.274000000001</v>
      </c>
      <c r="G502" s="3" t="s">
        <v>16</v>
      </c>
      <c r="H502" s="3" t="s">
        <v>17</v>
      </c>
      <c r="I502" s="3">
        <f>IF(C502="India",1,IF(C502="USA",INDEX('Currency Master'!B:B,MATCH(DATE(N502,MONTH(DATEVALUE(O502&amp;" 1")),1),'Currency Master'!A:A,0)),IF(C502="Australia",INDEX('Currency Master'!T:T,MATCH(DATE(N502,MONTH(DATEVALUE(O502&amp;" 1")),1),'Currency Master'!A:A,0)),"")))</f>
        <v>44.397432000000002</v>
      </c>
      <c r="J502" s="3">
        <f t="shared" si="28"/>
        <v>29251.274000000001</v>
      </c>
      <c r="K502" s="3" t="str">
        <f t="shared" si="29"/>
        <v>₹/Candy</v>
      </c>
      <c r="L502" s="3">
        <v>-3.7900000000000003E-2</v>
      </c>
      <c r="M502" s="3"/>
      <c r="N502" s="3">
        <f t="shared" si="30"/>
        <v>2006</v>
      </c>
      <c r="O502" s="3" t="str">
        <f t="shared" si="31"/>
        <v>March</v>
      </c>
      <c r="P502" s="3" t="s">
        <v>22</v>
      </c>
      <c r="Q502" s="3"/>
    </row>
    <row r="503" spans="1:17" hidden="1" x14ac:dyDescent="0.3">
      <c r="A503" s="2">
        <v>38749</v>
      </c>
      <c r="B503" s="3" t="s">
        <v>12</v>
      </c>
      <c r="C503" s="3" t="s">
        <v>19</v>
      </c>
      <c r="D503" s="3" t="s">
        <v>20</v>
      </c>
      <c r="E503" s="3" t="s">
        <v>21</v>
      </c>
      <c r="F503" s="3">
        <v>30006.2788</v>
      </c>
      <c r="G503" s="3" t="s">
        <v>16</v>
      </c>
      <c r="H503" s="3" t="s">
        <v>17</v>
      </c>
      <c r="I503" s="3">
        <f>IF(C503="India",1,IF(C503="USA",INDEX('Currency Master'!B:B,MATCH(DATE(N503,MONTH(DATEVALUE(O503&amp;" 1")),1),'Currency Master'!A:A,0)),IF(C503="Australia",INDEX('Currency Master'!T:T,MATCH(DATE(N503,MONTH(DATEVALUE(O503&amp;" 1")),1),'Currency Master'!A:A,0)),"")))</f>
        <v>44.266308000000002</v>
      </c>
      <c r="J503" s="3">
        <f t="shared" si="28"/>
        <v>30006.2788</v>
      </c>
      <c r="K503" s="3" t="str">
        <f t="shared" si="29"/>
        <v>₹/Candy</v>
      </c>
      <c r="L503" s="3">
        <v>2.3300000000000001E-2</v>
      </c>
      <c r="M503" s="3"/>
      <c r="N503" s="3">
        <f t="shared" si="30"/>
        <v>2006</v>
      </c>
      <c r="O503" s="3" t="str">
        <f t="shared" si="31"/>
        <v>February</v>
      </c>
      <c r="P503" s="3" t="s">
        <v>22</v>
      </c>
      <c r="Q503" s="3"/>
    </row>
    <row r="504" spans="1:17" hidden="1" x14ac:dyDescent="0.3">
      <c r="A504" s="2">
        <v>38718</v>
      </c>
      <c r="B504" s="3" t="s">
        <v>12</v>
      </c>
      <c r="C504" s="3" t="s">
        <v>19</v>
      </c>
      <c r="D504" s="3" t="s">
        <v>20</v>
      </c>
      <c r="E504" s="3" t="s">
        <v>21</v>
      </c>
      <c r="F504" s="3">
        <v>29309.328699999998</v>
      </c>
      <c r="G504" s="3" t="s">
        <v>16</v>
      </c>
      <c r="H504" s="3" t="s">
        <v>17</v>
      </c>
      <c r="I504" s="3">
        <f>IF(C504="India",1,IF(C504="USA",INDEX('Currency Master'!B:B,MATCH(DATE(N504,MONTH(DATEVALUE(O504&amp;" 1")),1),'Currency Master'!A:A,0)),IF(C504="Australia",INDEX('Currency Master'!T:T,MATCH(DATE(N504,MONTH(DATEVALUE(O504&amp;" 1")),1),'Currency Master'!A:A,0)),"")))</f>
        <v>44.317843000000003</v>
      </c>
      <c r="J504" s="3">
        <f t="shared" si="28"/>
        <v>29309.328699999998</v>
      </c>
      <c r="K504" s="3" t="str">
        <f t="shared" si="29"/>
        <v>₹/Candy</v>
      </c>
      <c r="L504" s="3">
        <v>3.2000000000000001E-2</v>
      </c>
      <c r="M504" s="3"/>
      <c r="N504" s="3">
        <f t="shared" si="30"/>
        <v>2006</v>
      </c>
      <c r="O504" s="3" t="str">
        <f t="shared" si="31"/>
        <v>January</v>
      </c>
      <c r="P504" s="3" t="s">
        <v>22</v>
      </c>
      <c r="Q504" s="3"/>
    </row>
    <row r="505" spans="1:17" hidden="1" x14ac:dyDescent="0.3">
      <c r="A505" s="2">
        <v>38687</v>
      </c>
      <c r="B505" s="3" t="s">
        <v>12</v>
      </c>
      <c r="C505" s="3" t="s">
        <v>19</v>
      </c>
      <c r="D505" s="3" t="s">
        <v>20</v>
      </c>
      <c r="E505" s="3" t="s">
        <v>21</v>
      </c>
      <c r="F505" s="3">
        <v>29145.052500000002</v>
      </c>
      <c r="G505" s="3" t="s">
        <v>16</v>
      </c>
      <c r="H505" s="3" t="s">
        <v>17</v>
      </c>
      <c r="I505" s="3">
        <f>IF(C505="India",1,IF(C505="USA",INDEX('Currency Master'!B:B,MATCH(DATE(N505,MONTH(DATEVALUE(O505&amp;" 1")),1),'Currency Master'!A:A,0)),IF(C505="Australia",INDEX('Currency Master'!T:T,MATCH(DATE(N505,MONTH(DATEVALUE(O505&amp;" 1")),1),'Currency Master'!A:A,0)),"")))</f>
        <v>45.589696000000004</v>
      </c>
      <c r="J505" s="3">
        <f t="shared" si="28"/>
        <v>29145.052500000002</v>
      </c>
      <c r="K505" s="3" t="str">
        <f t="shared" si="29"/>
        <v>₹/Candy</v>
      </c>
      <c r="L505" s="3">
        <v>0</v>
      </c>
      <c r="M505" s="3"/>
      <c r="N505" s="3">
        <f t="shared" si="30"/>
        <v>2005</v>
      </c>
      <c r="O505" s="3" t="str">
        <f t="shared" si="31"/>
        <v>December</v>
      </c>
      <c r="P505" s="3" t="s">
        <v>22</v>
      </c>
      <c r="Q505" s="3"/>
    </row>
    <row r="506" spans="1:17" hidden="1" x14ac:dyDescent="0.3">
      <c r="A506" s="2">
        <v>38657</v>
      </c>
      <c r="B506" s="3" t="s">
        <v>12</v>
      </c>
      <c r="C506" s="3" t="s">
        <v>19</v>
      </c>
      <c r="D506" s="3" t="s">
        <v>20</v>
      </c>
      <c r="E506" s="3" t="s">
        <v>21</v>
      </c>
      <c r="F506" s="3">
        <v>29583.154999999999</v>
      </c>
      <c r="G506" s="3" t="s">
        <v>16</v>
      </c>
      <c r="H506" s="3" t="s">
        <v>17</v>
      </c>
      <c r="I506" s="3">
        <f>IF(C506="India",1,IF(C506="USA",INDEX('Currency Master'!B:B,MATCH(DATE(N506,MONTH(DATEVALUE(O506&amp;" 1")),1),'Currency Master'!A:A,0)),IF(C506="Australia",INDEX('Currency Master'!T:T,MATCH(DATE(N506,MONTH(DATEVALUE(O506&amp;" 1")),1),'Currency Master'!A:A,0)),"")))</f>
        <v>45.667115000000003</v>
      </c>
      <c r="J506" s="3">
        <f t="shared" si="28"/>
        <v>29583.154999999999</v>
      </c>
      <c r="K506" s="3" t="str">
        <f t="shared" si="29"/>
        <v>₹/Candy</v>
      </c>
      <c r="L506" s="3">
        <v>-2.3400000000000001E-2</v>
      </c>
      <c r="M506" s="3"/>
      <c r="N506" s="3">
        <f t="shared" si="30"/>
        <v>2005</v>
      </c>
      <c r="O506" s="3" t="str">
        <f t="shared" si="31"/>
        <v>November</v>
      </c>
      <c r="P506" s="3" t="s">
        <v>22</v>
      </c>
      <c r="Q506" s="3"/>
    </row>
    <row r="507" spans="1:17" hidden="1" x14ac:dyDescent="0.3">
      <c r="A507" s="2">
        <v>38626</v>
      </c>
      <c r="B507" s="3" t="s">
        <v>12</v>
      </c>
      <c r="C507" s="3" t="s">
        <v>19</v>
      </c>
      <c r="D507" s="3" t="s">
        <v>20</v>
      </c>
      <c r="E507" s="3" t="s">
        <v>21</v>
      </c>
      <c r="F507" s="3">
        <v>29711.247360000001</v>
      </c>
      <c r="G507" s="3" t="s">
        <v>16</v>
      </c>
      <c r="H507" s="3" t="s">
        <v>17</v>
      </c>
      <c r="I507" s="3">
        <f>IF(C507="India",1,IF(C507="USA",INDEX('Currency Master'!B:B,MATCH(DATE(N507,MONTH(DATEVALUE(O507&amp;" 1")),1),'Currency Master'!A:A,0)),IF(C507="Australia",INDEX('Currency Master'!T:T,MATCH(DATE(N507,MONTH(DATEVALUE(O507&amp;" 1")),1),'Currency Master'!A:A,0)),"")))</f>
        <v>44.789816000000002</v>
      </c>
      <c r="J507" s="3">
        <f t="shared" si="28"/>
        <v>29711.247360000001</v>
      </c>
      <c r="K507" s="3" t="str">
        <f t="shared" si="29"/>
        <v>₹/Candy</v>
      </c>
      <c r="L507" s="3">
        <v>5.79E-2</v>
      </c>
      <c r="M507" s="3"/>
      <c r="N507" s="3">
        <f t="shared" si="30"/>
        <v>2005</v>
      </c>
      <c r="O507" s="3" t="str">
        <f t="shared" si="31"/>
        <v>October</v>
      </c>
      <c r="P507" s="3" t="s">
        <v>22</v>
      </c>
      <c r="Q507" s="3"/>
    </row>
    <row r="508" spans="1:17" hidden="1" x14ac:dyDescent="0.3">
      <c r="A508" s="2">
        <v>38596</v>
      </c>
      <c r="B508" s="3" t="s">
        <v>12</v>
      </c>
      <c r="C508" s="3" t="s">
        <v>19</v>
      </c>
      <c r="D508" s="3" t="s">
        <v>20</v>
      </c>
      <c r="E508" s="3" t="s">
        <v>21</v>
      </c>
      <c r="F508" s="3">
        <v>27947.461380000001</v>
      </c>
      <c r="G508" s="3" t="s">
        <v>16</v>
      </c>
      <c r="H508" s="3" t="s">
        <v>17</v>
      </c>
      <c r="I508" s="3">
        <f>IF(C508="India",1,IF(C508="USA",INDEX('Currency Master'!B:B,MATCH(DATE(N508,MONTH(DATEVALUE(O508&amp;" 1")),1),'Currency Master'!A:A,0)),IF(C508="Australia",INDEX('Currency Master'!T:T,MATCH(DATE(N508,MONTH(DATEVALUE(O508&amp;" 1")),1),'Currency Master'!A:A,0)),"")))</f>
        <v>43.853650000000002</v>
      </c>
      <c r="J508" s="3">
        <f t="shared" si="28"/>
        <v>27947.461380000001</v>
      </c>
      <c r="K508" s="3" t="str">
        <f t="shared" si="29"/>
        <v>₹/Candy</v>
      </c>
      <c r="L508" s="3">
        <v>1.6799999999999999E-2</v>
      </c>
      <c r="M508" s="3"/>
      <c r="N508" s="3">
        <f t="shared" si="30"/>
        <v>2005</v>
      </c>
      <c r="O508" s="3" t="str">
        <f t="shared" si="31"/>
        <v>September</v>
      </c>
      <c r="P508" s="3" t="s">
        <v>22</v>
      </c>
      <c r="Q508" s="3"/>
    </row>
    <row r="509" spans="1:17" hidden="1" x14ac:dyDescent="0.3">
      <c r="A509" s="2">
        <v>38565</v>
      </c>
      <c r="B509" s="3" t="s">
        <v>12</v>
      </c>
      <c r="C509" s="3" t="s">
        <v>19</v>
      </c>
      <c r="D509" s="3" t="s">
        <v>20</v>
      </c>
      <c r="E509" s="3" t="s">
        <v>21</v>
      </c>
      <c r="F509" s="3">
        <v>27631.16606</v>
      </c>
      <c r="G509" s="3" t="s">
        <v>16</v>
      </c>
      <c r="H509" s="3" t="s">
        <v>17</v>
      </c>
      <c r="I509" s="3">
        <f>IF(C509="India",1,IF(C509="USA",INDEX('Currency Master'!B:B,MATCH(DATE(N509,MONTH(DATEVALUE(O509&amp;" 1")),1),'Currency Master'!A:A,0)),IF(C509="Australia",INDEX('Currency Master'!T:T,MATCH(DATE(N509,MONTH(DATEVALUE(O509&amp;" 1")),1),'Currency Master'!A:A,0)),"")))</f>
        <v>43.586269999999999</v>
      </c>
      <c r="J509" s="3">
        <f t="shared" si="28"/>
        <v>27631.16606</v>
      </c>
      <c r="K509" s="3" t="str">
        <f t="shared" si="29"/>
        <v>₹/Candy</v>
      </c>
      <c r="L509" s="3">
        <v>-1.6500000000000001E-2</v>
      </c>
      <c r="M509" s="3"/>
      <c r="N509" s="3">
        <f t="shared" si="30"/>
        <v>2005</v>
      </c>
      <c r="O509" s="3" t="str">
        <f t="shared" si="31"/>
        <v>August</v>
      </c>
      <c r="P509" s="3" t="s">
        <v>22</v>
      </c>
      <c r="Q509" s="3"/>
    </row>
    <row r="510" spans="1:17" hidden="1" x14ac:dyDescent="0.3">
      <c r="A510" s="2">
        <v>38534</v>
      </c>
      <c r="B510" s="3" t="s">
        <v>12</v>
      </c>
      <c r="C510" s="3" t="s">
        <v>19</v>
      </c>
      <c r="D510" s="3" t="s">
        <v>20</v>
      </c>
      <c r="E510" s="3" t="s">
        <v>21</v>
      </c>
      <c r="F510" s="3">
        <v>27703.435839999998</v>
      </c>
      <c r="G510" s="3" t="s">
        <v>16</v>
      </c>
      <c r="H510" s="3" t="s">
        <v>17</v>
      </c>
      <c r="I510" s="3">
        <f>IF(C510="India",1,IF(C510="USA",INDEX('Currency Master'!B:B,MATCH(DATE(N510,MONTH(DATEVALUE(O510&amp;" 1")),1),'Currency Master'!A:A,0)),IF(C510="Australia",INDEX('Currency Master'!T:T,MATCH(DATE(N510,MONTH(DATEVALUE(O510&amp;" 1")),1),'Currency Master'!A:A,0)),"")))</f>
        <v>43.490993000000003</v>
      </c>
      <c r="J510" s="3">
        <f t="shared" si="28"/>
        <v>27703.435839999998</v>
      </c>
      <c r="K510" s="3" t="str">
        <f t="shared" si="29"/>
        <v>₹/Candy</v>
      </c>
      <c r="L510" s="3">
        <v>1.6799999999999999E-2</v>
      </c>
      <c r="M510" s="3"/>
      <c r="N510" s="3">
        <f t="shared" si="30"/>
        <v>2005</v>
      </c>
      <c r="O510" s="3" t="str">
        <f t="shared" si="31"/>
        <v>July</v>
      </c>
      <c r="P510" s="3" t="s">
        <v>22</v>
      </c>
      <c r="Q510" s="3"/>
    </row>
    <row r="511" spans="1:17" hidden="1" x14ac:dyDescent="0.3">
      <c r="A511" s="2">
        <v>38504</v>
      </c>
      <c r="B511" s="3" t="s">
        <v>12</v>
      </c>
      <c r="C511" s="3" t="s">
        <v>19</v>
      </c>
      <c r="D511" s="3" t="s">
        <v>20</v>
      </c>
      <c r="E511" s="3" t="s">
        <v>21</v>
      </c>
      <c r="F511" s="3">
        <v>27384.183939999999</v>
      </c>
      <c r="G511" s="3" t="s">
        <v>16</v>
      </c>
      <c r="H511" s="3" t="s">
        <v>17</v>
      </c>
      <c r="I511" s="3">
        <f>IF(C511="India",1,IF(C511="USA",INDEX('Currency Master'!B:B,MATCH(DATE(N511,MONTH(DATEVALUE(O511&amp;" 1")),1),'Currency Master'!A:A,0)),IF(C511="Australia",INDEX('Currency Master'!T:T,MATCH(DATE(N511,MONTH(DATEVALUE(O511&amp;" 1")),1),'Currency Master'!A:A,0)),"")))</f>
        <v>43.560580000000002</v>
      </c>
      <c r="J511" s="3">
        <f t="shared" si="28"/>
        <v>27384.183939999999</v>
      </c>
      <c r="K511" s="3" t="str">
        <f t="shared" si="29"/>
        <v>₹/Candy</v>
      </c>
      <c r="L511" s="3">
        <v>-3.2500000000000001E-2</v>
      </c>
      <c r="M511" s="3"/>
      <c r="N511" s="3">
        <f t="shared" si="30"/>
        <v>2005</v>
      </c>
      <c r="O511" s="3" t="str">
        <f t="shared" si="31"/>
        <v>June</v>
      </c>
      <c r="P511" s="3" t="s">
        <v>22</v>
      </c>
      <c r="Q511" s="3"/>
    </row>
    <row r="512" spans="1:17" hidden="1" x14ac:dyDescent="0.3">
      <c r="A512" s="2">
        <v>38473</v>
      </c>
      <c r="B512" s="3" t="s">
        <v>12</v>
      </c>
      <c r="C512" s="3" t="s">
        <v>19</v>
      </c>
      <c r="D512" s="3" t="s">
        <v>20</v>
      </c>
      <c r="E512" s="3" t="s">
        <v>21</v>
      </c>
      <c r="F512" s="3">
        <v>28168.891599999999</v>
      </c>
      <c r="G512" s="3" t="s">
        <v>16</v>
      </c>
      <c r="H512" s="3" t="s">
        <v>17</v>
      </c>
      <c r="I512" s="3">
        <f>IF(C512="India",1,IF(C512="USA",INDEX('Currency Master'!B:B,MATCH(DATE(N512,MONTH(DATEVALUE(O512&amp;" 1")),1),'Currency Master'!A:A,0)),IF(C512="Australia",INDEX('Currency Master'!T:T,MATCH(DATE(N512,MONTH(DATEVALUE(O512&amp;" 1")),1),'Currency Master'!A:A,0)),"")))</f>
        <v>43.471815999999997</v>
      </c>
      <c r="J512" s="3">
        <f t="shared" si="28"/>
        <v>28168.891599999999</v>
      </c>
      <c r="K512" s="3" t="str">
        <f t="shared" si="29"/>
        <v>₹/Candy</v>
      </c>
      <c r="L512" s="3">
        <v>-2.3800000000000002E-2</v>
      </c>
      <c r="M512" s="3"/>
      <c r="N512" s="3">
        <f t="shared" si="30"/>
        <v>2005</v>
      </c>
      <c r="O512" s="3" t="str">
        <f t="shared" si="31"/>
        <v>May</v>
      </c>
      <c r="P512" s="3" t="s">
        <v>22</v>
      </c>
      <c r="Q512" s="3"/>
    </row>
    <row r="513" spans="1:17" hidden="1" x14ac:dyDescent="0.3">
      <c r="A513" s="2">
        <v>38443</v>
      </c>
      <c r="B513" s="3" t="s">
        <v>12</v>
      </c>
      <c r="C513" s="3" t="s">
        <v>19</v>
      </c>
      <c r="D513" s="3" t="s">
        <v>20</v>
      </c>
      <c r="E513" s="3" t="s">
        <v>21</v>
      </c>
      <c r="F513" s="3">
        <v>28549.05688</v>
      </c>
      <c r="G513" s="3" t="s">
        <v>16</v>
      </c>
      <c r="H513" s="3" t="s">
        <v>17</v>
      </c>
      <c r="I513" s="3">
        <f>IF(C513="India",1,IF(C513="USA",INDEX('Currency Master'!B:B,MATCH(DATE(N513,MONTH(DATEVALUE(O513&amp;" 1")),1),'Currency Master'!A:A,0)),IF(C513="Australia",INDEX('Currency Master'!T:T,MATCH(DATE(N513,MONTH(DATEVALUE(O513&amp;" 1")),1),'Currency Master'!A:A,0)),"")))</f>
        <v>43.694350999999997</v>
      </c>
      <c r="J513" s="3">
        <f t="shared" si="28"/>
        <v>28549.05688</v>
      </c>
      <c r="K513" s="3" t="str">
        <f t="shared" si="29"/>
        <v>₹/Candy</v>
      </c>
      <c r="L513" s="3">
        <v>1.61E-2</v>
      </c>
      <c r="M513" s="3"/>
      <c r="N513" s="3">
        <f t="shared" si="30"/>
        <v>2005</v>
      </c>
      <c r="O513" s="3" t="str">
        <f t="shared" si="31"/>
        <v>April</v>
      </c>
      <c r="P513" s="3" t="s">
        <v>22</v>
      </c>
      <c r="Q513" s="3"/>
    </row>
    <row r="514" spans="1:17" hidden="1" x14ac:dyDescent="0.3">
      <c r="A514" s="2">
        <v>38412</v>
      </c>
      <c r="B514" s="3" t="s">
        <v>12</v>
      </c>
      <c r="C514" s="3" t="s">
        <v>19</v>
      </c>
      <c r="D514" s="3" t="s">
        <v>20</v>
      </c>
      <c r="E514" s="3" t="s">
        <v>21</v>
      </c>
      <c r="F514" s="3">
        <v>28327.8812</v>
      </c>
      <c r="G514" s="3" t="s">
        <v>16</v>
      </c>
      <c r="H514" s="3" t="s">
        <v>17</v>
      </c>
      <c r="I514" s="3">
        <f>IF(C514="India",1,IF(C514="USA",INDEX('Currency Master'!B:B,MATCH(DATE(N514,MONTH(DATEVALUE(O514&amp;" 1")),1),'Currency Master'!A:A,0)),IF(C514="Australia",INDEX('Currency Master'!T:T,MATCH(DATE(N514,MONTH(DATEVALUE(O514&amp;" 1")),1),'Currency Master'!A:A,0)),"")))</f>
        <v>43.621073000000003</v>
      </c>
      <c r="J514" s="3">
        <f t="shared" si="28"/>
        <v>28327.8812</v>
      </c>
      <c r="K514" s="3" t="str">
        <f t="shared" si="29"/>
        <v>₹/Candy</v>
      </c>
      <c r="L514" s="3">
        <v>6.9000000000000006E-2</v>
      </c>
      <c r="M514" s="3"/>
      <c r="N514" s="3">
        <f t="shared" si="30"/>
        <v>2005</v>
      </c>
      <c r="O514" s="3" t="str">
        <f t="shared" si="31"/>
        <v>March</v>
      </c>
      <c r="P514" s="3" t="s">
        <v>22</v>
      </c>
      <c r="Q514" s="3"/>
    </row>
    <row r="515" spans="1:17" hidden="1" x14ac:dyDescent="0.3">
      <c r="A515" s="2">
        <v>38384</v>
      </c>
      <c r="B515" s="3" t="s">
        <v>12</v>
      </c>
      <c r="C515" s="3" t="s">
        <v>19</v>
      </c>
      <c r="D515" s="3" t="s">
        <v>20</v>
      </c>
      <c r="E515" s="3" t="s">
        <v>21</v>
      </c>
      <c r="F515" s="3">
        <v>26941.46056</v>
      </c>
      <c r="G515" s="3" t="s">
        <v>16</v>
      </c>
      <c r="H515" s="3" t="s">
        <v>17</v>
      </c>
      <c r="I515" s="3">
        <f>IF(C515="India",1,IF(C515="USA",INDEX('Currency Master'!B:B,MATCH(DATE(N515,MONTH(DATEVALUE(O515&amp;" 1")),1),'Currency Master'!A:A,0)),IF(C515="Australia",INDEX('Currency Master'!T:T,MATCH(DATE(N515,MONTH(DATEVALUE(O515&amp;" 1")),1),'Currency Master'!A:A,0)),"")))</f>
        <v>43.629637000000002</v>
      </c>
      <c r="J515" s="3">
        <f t="shared" ref="J515:J578" si="32">IF(C515="India",F515,IF(C515="USA",IF(G515="US Cents/Lb",ROUND(((F515/100)/0.453592)*I515*356,0),F515),IF(C515="Australia",IF(G515="AUc/kg",ROUND((F515/100)*I515,2),F515),"")))</f>
        <v>26941.46056</v>
      </c>
      <c r="K515" s="3" t="str">
        <f t="shared" ref="K515:K578" si="33">IF(C515="India",G515,IF(C515="USA","₹/Candy",IF(C515="Australia","₹/Kg","")))</f>
        <v>₹/Candy</v>
      </c>
      <c r="L515" s="3">
        <v>2.6499999999999999E-2</v>
      </c>
      <c r="M515" s="3"/>
      <c r="N515" s="3">
        <f t="shared" ref="N515:N578" si="34">YEAR(A515)</f>
        <v>2005</v>
      </c>
      <c r="O515" s="3" t="str">
        <f t="shared" ref="O515:O578" si="35">TEXT(A515,"mmmm")</f>
        <v>February</v>
      </c>
      <c r="P515" s="3" t="s">
        <v>22</v>
      </c>
      <c r="Q515" s="3"/>
    </row>
    <row r="516" spans="1:17" hidden="1" x14ac:dyDescent="0.3">
      <c r="A516" s="2">
        <v>38353</v>
      </c>
      <c r="B516" s="3" t="s">
        <v>12</v>
      </c>
      <c r="C516" s="3" t="s">
        <v>19</v>
      </c>
      <c r="D516" s="3" t="s">
        <v>20</v>
      </c>
      <c r="E516" s="3" t="s">
        <v>21</v>
      </c>
      <c r="F516" s="3">
        <v>26433.26166</v>
      </c>
      <c r="G516" s="3" t="s">
        <v>16</v>
      </c>
      <c r="H516" s="3" t="s">
        <v>17</v>
      </c>
      <c r="I516" s="3">
        <f>IF(C516="India",1,IF(C516="USA",INDEX('Currency Master'!B:B,MATCH(DATE(N516,MONTH(DATEVALUE(O516&amp;" 1")),1),'Currency Master'!A:A,0)),IF(C516="Australia",INDEX('Currency Master'!T:T,MATCH(DATE(N516,MONTH(DATEVALUE(O516&amp;" 1")),1),'Currency Master'!A:A,0)),"")))</f>
        <v>43.672224</v>
      </c>
      <c r="J516" s="3">
        <f t="shared" si="32"/>
        <v>26433.26166</v>
      </c>
      <c r="K516" s="3" t="str">
        <f t="shared" si="33"/>
        <v>₹/Candy</v>
      </c>
      <c r="L516" s="3">
        <v>5.6099999999999997E-2</v>
      </c>
      <c r="M516" s="3"/>
      <c r="N516" s="3">
        <f t="shared" si="34"/>
        <v>2005</v>
      </c>
      <c r="O516" s="3" t="str">
        <f t="shared" si="35"/>
        <v>January</v>
      </c>
      <c r="P516" s="3" t="s">
        <v>22</v>
      </c>
      <c r="Q516" s="3"/>
    </row>
    <row r="517" spans="1:17" hidden="1" x14ac:dyDescent="0.3">
      <c r="A517" s="2">
        <v>38322</v>
      </c>
      <c r="B517" s="3" t="s">
        <v>12</v>
      </c>
      <c r="C517" s="3" t="s">
        <v>19</v>
      </c>
      <c r="D517" s="3" t="s">
        <v>20</v>
      </c>
      <c r="E517" s="3" t="s">
        <v>21</v>
      </c>
      <c r="F517" s="3">
        <v>25242.269</v>
      </c>
      <c r="G517" s="3" t="s">
        <v>16</v>
      </c>
      <c r="H517" s="3" t="s">
        <v>17</v>
      </c>
      <c r="I517" s="3">
        <f>IF(C517="India",1,IF(C517="USA",INDEX('Currency Master'!B:B,MATCH(DATE(N517,MONTH(DATEVALUE(O517&amp;" 1")),1),'Currency Master'!A:A,0)),IF(C517="Australia",INDEX('Currency Master'!T:T,MATCH(DATE(N517,MONTH(DATEVALUE(O517&amp;" 1")),1),'Currency Master'!A:A,0)),"")))</f>
        <v>43.924765999999998</v>
      </c>
      <c r="J517" s="3">
        <f t="shared" si="32"/>
        <v>25242.269</v>
      </c>
      <c r="K517" s="3" t="str">
        <f t="shared" si="33"/>
        <v>₹/Candy</v>
      </c>
      <c r="L517" s="3">
        <v>-9.2999999999999992E-3</v>
      </c>
      <c r="M517" s="3"/>
      <c r="N517" s="3">
        <f t="shared" si="34"/>
        <v>2004</v>
      </c>
      <c r="O517" s="3" t="str">
        <f t="shared" si="35"/>
        <v>December</v>
      </c>
      <c r="P517" s="3" t="s">
        <v>22</v>
      </c>
      <c r="Q517" s="3"/>
    </row>
    <row r="518" spans="1:17" hidden="1" x14ac:dyDescent="0.3">
      <c r="A518" s="2">
        <v>38292</v>
      </c>
      <c r="B518" s="3" t="s">
        <v>12</v>
      </c>
      <c r="C518" s="3" t="s">
        <v>19</v>
      </c>
      <c r="D518" s="3" t="s">
        <v>20</v>
      </c>
      <c r="E518" s="3" t="s">
        <v>21</v>
      </c>
      <c r="F518" s="3">
        <v>25940.295999999998</v>
      </c>
      <c r="G518" s="3" t="s">
        <v>16</v>
      </c>
      <c r="H518" s="3" t="s">
        <v>17</v>
      </c>
      <c r="I518" s="3">
        <f>IF(C518="India",1,IF(C518="USA",INDEX('Currency Master'!B:B,MATCH(DATE(N518,MONTH(DATEVALUE(O518&amp;" 1")),1),'Currency Master'!A:A,0)),IF(C518="Australia",INDEX('Currency Master'!T:T,MATCH(DATE(N518,MONTH(DATEVALUE(O518&amp;" 1")),1),'Currency Master'!A:A,0)),"")))</f>
        <v>45.061787000000002</v>
      </c>
      <c r="J518" s="3">
        <f t="shared" si="32"/>
        <v>25940.295999999998</v>
      </c>
      <c r="K518" s="3" t="str">
        <f t="shared" si="33"/>
        <v>₹/Candy</v>
      </c>
      <c r="L518" s="3">
        <v>-6.9000000000000006E-2</v>
      </c>
      <c r="M518" s="3"/>
      <c r="N518" s="3">
        <f t="shared" si="34"/>
        <v>2004</v>
      </c>
      <c r="O518" s="3" t="str">
        <f t="shared" si="35"/>
        <v>November</v>
      </c>
      <c r="P518" s="3" t="s">
        <v>22</v>
      </c>
      <c r="Q518" s="3"/>
    </row>
    <row r="519" spans="1:17" hidden="1" x14ac:dyDescent="0.3">
      <c r="A519" s="2">
        <v>38261</v>
      </c>
      <c r="B519" s="3" t="s">
        <v>12</v>
      </c>
      <c r="C519" s="3" t="s">
        <v>19</v>
      </c>
      <c r="D519" s="3" t="s">
        <v>20</v>
      </c>
      <c r="E519" s="3" t="s">
        <v>21</v>
      </c>
      <c r="F519" s="3">
        <v>27713.695759999999</v>
      </c>
      <c r="G519" s="3" t="s">
        <v>16</v>
      </c>
      <c r="H519" s="3" t="s">
        <v>17</v>
      </c>
      <c r="I519" s="3">
        <f>IF(C519="India",1,IF(C519="USA",INDEX('Currency Master'!B:B,MATCH(DATE(N519,MONTH(DATEVALUE(O519&amp;" 1")),1),'Currency Master'!A:A,0)),IF(C519="Australia",INDEX('Currency Master'!T:T,MATCH(DATE(N519,MONTH(DATEVALUE(O519&amp;" 1")),1),'Currency Master'!A:A,0)),"")))</f>
        <v>45.736904000000003</v>
      </c>
      <c r="J519" s="3">
        <f t="shared" si="32"/>
        <v>27713.695759999999</v>
      </c>
      <c r="K519" s="3" t="str">
        <f t="shared" si="33"/>
        <v>₹/Candy</v>
      </c>
      <c r="L519" s="3">
        <v>-6.4500000000000002E-2</v>
      </c>
      <c r="M519" s="3"/>
      <c r="N519" s="3">
        <f t="shared" si="34"/>
        <v>2004</v>
      </c>
      <c r="O519" s="3" t="str">
        <f t="shared" si="35"/>
        <v>October</v>
      </c>
      <c r="P519" s="3" t="s">
        <v>22</v>
      </c>
      <c r="Q519" s="3"/>
    </row>
    <row r="520" spans="1:17" hidden="1" x14ac:dyDescent="0.3">
      <c r="A520" s="2">
        <v>38231</v>
      </c>
      <c r="B520" s="3" t="s">
        <v>12</v>
      </c>
      <c r="C520" s="3" t="s">
        <v>19</v>
      </c>
      <c r="D520" s="3" t="s">
        <v>20</v>
      </c>
      <c r="E520" s="3" t="s">
        <v>21</v>
      </c>
      <c r="F520" s="3">
        <v>29420.445199999998</v>
      </c>
      <c r="G520" s="3" t="s">
        <v>16</v>
      </c>
      <c r="H520" s="3" t="s">
        <v>17</v>
      </c>
      <c r="I520" s="3">
        <f>IF(C520="India",1,IF(C520="USA",INDEX('Currency Master'!B:B,MATCH(DATE(N520,MONTH(DATEVALUE(O520&amp;" 1")),1),'Currency Master'!A:A,0)),IF(C520="Australia",INDEX('Currency Master'!T:T,MATCH(DATE(N520,MONTH(DATEVALUE(O520&amp;" 1")),1),'Currency Master'!A:A,0)),"")))</f>
        <v>46.015847999999998</v>
      </c>
      <c r="J520" s="3">
        <f t="shared" si="32"/>
        <v>29420.445199999998</v>
      </c>
      <c r="K520" s="3" t="str">
        <f t="shared" si="33"/>
        <v>₹/Candy</v>
      </c>
      <c r="L520" s="3">
        <v>4.2000000000000003E-2</v>
      </c>
      <c r="M520" s="3"/>
      <c r="N520" s="3">
        <f t="shared" si="34"/>
        <v>2004</v>
      </c>
      <c r="O520" s="3" t="str">
        <f t="shared" si="35"/>
        <v>September</v>
      </c>
      <c r="P520" s="3" t="s">
        <v>22</v>
      </c>
      <c r="Q520" s="3"/>
    </row>
    <row r="521" spans="1:17" hidden="1" x14ac:dyDescent="0.3">
      <c r="A521" s="2">
        <v>38200</v>
      </c>
      <c r="B521" s="3" t="s">
        <v>12</v>
      </c>
      <c r="C521" s="3" t="s">
        <v>19</v>
      </c>
      <c r="D521" s="3" t="s">
        <v>20</v>
      </c>
      <c r="E521" s="3" t="s">
        <v>21</v>
      </c>
      <c r="F521" s="3">
        <v>28702.975259999999</v>
      </c>
      <c r="G521" s="3" t="s">
        <v>16</v>
      </c>
      <c r="H521" s="3" t="s">
        <v>17</v>
      </c>
      <c r="I521" s="3">
        <f>IF(C521="India",1,IF(C521="USA",INDEX('Currency Master'!B:B,MATCH(DATE(N521,MONTH(DATEVALUE(O521&amp;" 1")),1),'Currency Master'!A:A,0)),IF(C521="Australia",INDEX('Currency Master'!T:T,MATCH(DATE(N521,MONTH(DATEVALUE(O521&amp;" 1")),1),'Currency Master'!A:A,0)),"")))</f>
        <v>46.302089000000002</v>
      </c>
      <c r="J521" s="3">
        <f t="shared" si="32"/>
        <v>28702.975259999999</v>
      </c>
      <c r="K521" s="3" t="str">
        <f t="shared" si="33"/>
        <v>₹/Candy</v>
      </c>
      <c r="L521" s="3">
        <v>-5.5599999999999997E-2</v>
      </c>
      <c r="M521" s="3"/>
      <c r="N521" s="3">
        <f t="shared" si="34"/>
        <v>2004</v>
      </c>
      <c r="O521" s="3" t="str">
        <f t="shared" si="35"/>
        <v>August</v>
      </c>
      <c r="P521" s="3" t="s">
        <v>22</v>
      </c>
      <c r="Q521" s="3"/>
    </row>
    <row r="522" spans="1:17" hidden="1" x14ac:dyDescent="0.3">
      <c r="A522" s="2">
        <v>38169</v>
      </c>
      <c r="B522" s="3" t="s">
        <v>12</v>
      </c>
      <c r="C522" s="3" t="s">
        <v>19</v>
      </c>
      <c r="D522" s="3" t="s">
        <v>20</v>
      </c>
      <c r="E522" s="3" t="s">
        <v>21</v>
      </c>
      <c r="F522" s="3">
        <v>30002.167000000001</v>
      </c>
      <c r="G522" s="3" t="s">
        <v>16</v>
      </c>
      <c r="H522" s="3" t="s">
        <v>17</v>
      </c>
      <c r="I522" s="3">
        <f>IF(C522="India",1,IF(C522="USA",INDEX('Currency Master'!B:B,MATCH(DATE(N522,MONTH(DATEVALUE(O522&amp;" 1")),1),'Currency Master'!A:A,0)),IF(C522="Australia",INDEX('Currency Master'!T:T,MATCH(DATE(N522,MONTH(DATEVALUE(O522&amp;" 1")),1),'Currency Master'!A:A,0)),"")))</f>
        <v>45.84272</v>
      </c>
      <c r="J522" s="3">
        <f t="shared" si="32"/>
        <v>30002.167000000001</v>
      </c>
      <c r="K522" s="3" t="str">
        <f t="shared" si="33"/>
        <v>₹/Candy</v>
      </c>
      <c r="L522" s="3">
        <v>-0.11269999999999999</v>
      </c>
      <c r="M522" s="3"/>
      <c r="N522" s="3">
        <f t="shared" si="34"/>
        <v>2004</v>
      </c>
      <c r="O522" s="3" t="str">
        <f t="shared" si="35"/>
        <v>July</v>
      </c>
      <c r="P522" s="3" t="s">
        <v>22</v>
      </c>
      <c r="Q522" s="3"/>
    </row>
    <row r="523" spans="1:17" hidden="1" x14ac:dyDescent="0.3">
      <c r="A523" s="2">
        <v>38139</v>
      </c>
      <c r="B523" s="3" t="s">
        <v>12</v>
      </c>
      <c r="C523" s="3" t="s">
        <v>19</v>
      </c>
      <c r="D523" s="3" t="s">
        <v>20</v>
      </c>
      <c r="E523" s="3" t="s">
        <v>21</v>
      </c>
      <c r="F523" s="3">
        <v>32685.410199999998</v>
      </c>
      <c r="G523" s="3" t="s">
        <v>16</v>
      </c>
      <c r="H523" s="3" t="s">
        <v>17</v>
      </c>
      <c r="I523" s="3">
        <f>IF(C523="India",1,IF(C523="USA",INDEX('Currency Master'!B:B,MATCH(DATE(N523,MONTH(DATEVALUE(O523&amp;" 1")),1),'Currency Master'!A:A,0)),IF(C523="Australia",INDEX('Currency Master'!T:T,MATCH(DATE(N523,MONTH(DATEVALUE(O523&amp;" 1")),1),'Currency Master'!A:A,0)),"")))</f>
        <v>45.551869000000003</v>
      </c>
      <c r="J523" s="3">
        <f t="shared" si="32"/>
        <v>32685.410199999998</v>
      </c>
      <c r="K523" s="3" t="str">
        <f t="shared" si="33"/>
        <v>₹/Candy</v>
      </c>
      <c r="L523" s="3">
        <v>-7.7899999999999997E-2</v>
      </c>
      <c r="M523" s="3"/>
      <c r="N523" s="3">
        <f t="shared" si="34"/>
        <v>2004</v>
      </c>
      <c r="O523" s="3" t="str">
        <f t="shared" si="35"/>
        <v>June</v>
      </c>
      <c r="P523" s="3" t="s">
        <v>22</v>
      </c>
      <c r="Q523" s="3"/>
    </row>
    <row r="524" spans="1:17" hidden="1" x14ac:dyDescent="0.3">
      <c r="A524" s="2">
        <v>38108</v>
      </c>
      <c r="B524" s="3" t="s">
        <v>12</v>
      </c>
      <c r="C524" s="3" t="s">
        <v>19</v>
      </c>
      <c r="D524" s="3" t="s">
        <v>20</v>
      </c>
      <c r="E524" s="3" t="s">
        <v>21</v>
      </c>
      <c r="F524" s="3">
        <v>34547.350720000002</v>
      </c>
      <c r="G524" s="3" t="s">
        <v>16</v>
      </c>
      <c r="H524" s="3" t="s">
        <v>17</v>
      </c>
      <c r="I524" s="3">
        <f>IF(C524="India",1,IF(C524="USA",INDEX('Currency Master'!B:B,MATCH(DATE(N524,MONTH(DATEVALUE(O524&amp;" 1")),1),'Currency Master'!A:A,0)),IF(C524="Australia",INDEX('Currency Master'!T:T,MATCH(DATE(N524,MONTH(DATEVALUE(O524&amp;" 1")),1),'Currency Master'!A:A,0)),"")))</f>
        <v>45.097864000000001</v>
      </c>
      <c r="J524" s="3">
        <f t="shared" si="32"/>
        <v>34547.350720000002</v>
      </c>
      <c r="K524" s="3" t="str">
        <f t="shared" si="33"/>
        <v>₹/Candy</v>
      </c>
      <c r="L524" s="3">
        <v>6.4999999999999997E-3</v>
      </c>
      <c r="M524" s="3"/>
      <c r="N524" s="3">
        <f t="shared" si="34"/>
        <v>2004</v>
      </c>
      <c r="O524" s="3" t="str">
        <f t="shared" si="35"/>
        <v>May</v>
      </c>
      <c r="P524" s="3" t="s">
        <v>22</v>
      </c>
      <c r="Q524" s="3"/>
    </row>
    <row r="525" spans="1:17" hidden="1" x14ac:dyDescent="0.3">
      <c r="A525" s="2">
        <v>38078</v>
      </c>
      <c r="B525" s="3" t="s">
        <v>12</v>
      </c>
      <c r="C525" s="3" t="s">
        <v>19</v>
      </c>
      <c r="D525" s="3" t="s">
        <v>20</v>
      </c>
      <c r="E525" s="3" t="s">
        <v>21</v>
      </c>
      <c r="F525" s="3">
        <v>33764.111559999998</v>
      </c>
      <c r="G525" s="3" t="s">
        <v>16</v>
      </c>
      <c r="H525" s="3" t="s">
        <v>17</v>
      </c>
      <c r="I525" s="3">
        <f>IF(C525="India",1,IF(C525="USA",INDEX('Currency Master'!B:B,MATCH(DATE(N525,MONTH(DATEVALUE(O525&amp;" 1")),1),'Currency Master'!A:A,0)),IF(C525="Australia",INDEX('Currency Master'!T:T,MATCH(DATE(N525,MONTH(DATEVALUE(O525&amp;" 1")),1),'Currency Master'!A:A,0)),"")))</f>
        <v>44.047398999999999</v>
      </c>
      <c r="J525" s="3">
        <f t="shared" si="32"/>
        <v>33764.111559999998</v>
      </c>
      <c r="K525" s="3" t="str">
        <f t="shared" si="33"/>
        <v>₹/Candy</v>
      </c>
      <c r="L525" s="3">
        <v>-3.7699999999999997E-2</v>
      </c>
      <c r="M525" s="3"/>
      <c r="N525" s="3">
        <f t="shared" si="34"/>
        <v>2004</v>
      </c>
      <c r="O525" s="3" t="str">
        <f t="shared" si="35"/>
        <v>April</v>
      </c>
      <c r="P525" s="3" t="s">
        <v>22</v>
      </c>
      <c r="Q525" s="3"/>
    </row>
    <row r="526" spans="1:17" hidden="1" x14ac:dyDescent="0.3">
      <c r="A526" s="2">
        <v>38047</v>
      </c>
      <c r="B526" s="3" t="s">
        <v>12</v>
      </c>
      <c r="C526" s="3" t="s">
        <v>19</v>
      </c>
      <c r="D526" s="3" t="s">
        <v>20</v>
      </c>
      <c r="E526" s="3" t="s">
        <v>21</v>
      </c>
      <c r="F526" s="3">
        <v>34111.617400000003</v>
      </c>
      <c r="G526" s="3" t="s">
        <v>16</v>
      </c>
      <c r="H526" s="3" t="s">
        <v>17</v>
      </c>
      <c r="I526" s="3">
        <f>IF(C526="India",1,IF(C526="USA",INDEX('Currency Master'!B:B,MATCH(DATE(N526,MONTH(DATEVALUE(O526&amp;" 1")),1),'Currency Master'!A:A,0)),IF(C526="Australia",INDEX('Currency Master'!T:T,MATCH(DATE(N526,MONTH(DATEVALUE(O526&amp;" 1")),1),'Currency Master'!A:A,0)),"")))</f>
        <v>45.000211999999998</v>
      </c>
      <c r="J526" s="3">
        <f t="shared" si="32"/>
        <v>34111.617400000003</v>
      </c>
      <c r="K526" s="3" t="str">
        <f t="shared" si="33"/>
        <v>₹/Candy</v>
      </c>
      <c r="L526" s="3">
        <v>-2.4500000000000001E-2</v>
      </c>
      <c r="M526" s="3"/>
      <c r="N526" s="3">
        <f t="shared" si="34"/>
        <v>2004</v>
      </c>
      <c r="O526" s="3" t="str">
        <f t="shared" si="35"/>
        <v>March</v>
      </c>
      <c r="P526" s="3" t="s">
        <v>22</v>
      </c>
      <c r="Q526" s="3"/>
    </row>
    <row r="527" spans="1:17" hidden="1" x14ac:dyDescent="0.3">
      <c r="A527" s="2">
        <v>38018</v>
      </c>
      <c r="B527" s="3" t="s">
        <v>12</v>
      </c>
      <c r="C527" s="3" t="s">
        <v>19</v>
      </c>
      <c r="D527" s="3" t="s">
        <v>20</v>
      </c>
      <c r="E527" s="3" t="s">
        <v>21</v>
      </c>
      <c r="F527" s="3">
        <v>35974.71314</v>
      </c>
      <c r="G527" s="3" t="s">
        <v>16</v>
      </c>
      <c r="H527" s="3" t="s">
        <v>17</v>
      </c>
      <c r="I527" s="3">
        <f>IF(C527="India",1,IF(C527="USA",INDEX('Currency Master'!B:B,MATCH(DATE(N527,MONTH(DATEVALUE(O527&amp;" 1")),1),'Currency Master'!A:A,0)),IF(C527="Australia",INDEX('Currency Master'!T:T,MATCH(DATE(N527,MONTH(DATEVALUE(O527&amp;" 1")),1),'Currency Master'!A:A,0)),"")))</f>
        <v>45.139353999999997</v>
      </c>
      <c r="J527" s="3">
        <f t="shared" si="32"/>
        <v>35974.71314</v>
      </c>
      <c r="K527" s="3" t="str">
        <f t="shared" si="33"/>
        <v>₹/Candy</v>
      </c>
      <c r="L527" s="3">
        <v>-2.4E-2</v>
      </c>
      <c r="M527" s="3"/>
      <c r="N527" s="3">
        <f t="shared" si="34"/>
        <v>2004</v>
      </c>
      <c r="O527" s="3" t="str">
        <f t="shared" si="35"/>
        <v>February</v>
      </c>
      <c r="P527" s="3" t="s">
        <v>22</v>
      </c>
      <c r="Q527" s="3"/>
    </row>
    <row r="528" spans="1:17" hidden="1" x14ac:dyDescent="0.3">
      <c r="A528" s="2">
        <v>37987</v>
      </c>
      <c r="B528" s="3" t="s">
        <v>12</v>
      </c>
      <c r="C528" s="3" t="s">
        <v>19</v>
      </c>
      <c r="D528" s="3" t="s">
        <v>20</v>
      </c>
      <c r="E528" s="3" t="s">
        <v>21</v>
      </c>
      <c r="F528" s="3">
        <v>36725.312440000002</v>
      </c>
      <c r="G528" s="3" t="s">
        <v>16</v>
      </c>
      <c r="H528" s="3" t="s">
        <v>17</v>
      </c>
      <c r="I528" s="3">
        <f>IF(C528="India",1,IF(C528="USA",INDEX('Currency Master'!B:B,MATCH(DATE(N528,MONTH(DATEVALUE(O528&amp;" 1")),1),'Currency Master'!A:A,0)),IF(C528="Australia",INDEX('Currency Master'!T:T,MATCH(DATE(N528,MONTH(DATEVALUE(O528&amp;" 1")),1),'Currency Master'!A:A,0)),"")))</f>
        <v>45.466614999999997</v>
      </c>
      <c r="J528" s="3">
        <f t="shared" si="32"/>
        <v>36725.312440000002</v>
      </c>
      <c r="K528" s="3" t="str">
        <f t="shared" si="33"/>
        <v>₹/Candy</v>
      </c>
      <c r="L528" s="3">
        <v>3.09E-2</v>
      </c>
      <c r="M528" s="3"/>
      <c r="N528" s="3">
        <f t="shared" si="34"/>
        <v>2004</v>
      </c>
      <c r="O528" s="3" t="str">
        <f t="shared" si="35"/>
        <v>January</v>
      </c>
      <c r="P528" s="3" t="s">
        <v>22</v>
      </c>
      <c r="Q528" s="3"/>
    </row>
    <row r="529" spans="1:17" hidden="1" x14ac:dyDescent="0.3">
      <c r="A529" s="2">
        <v>37956</v>
      </c>
      <c r="B529" s="3" t="s">
        <v>12</v>
      </c>
      <c r="C529" s="3" t="s">
        <v>19</v>
      </c>
      <c r="D529" s="3" t="s">
        <v>20</v>
      </c>
      <c r="E529" s="3" t="s">
        <v>21</v>
      </c>
      <c r="F529" s="3">
        <v>36064.135000000002</v>
      </c>
      <c r="G529" s="3" t="s">
        <v>16</v>
      </c>
      <c r="H529" s="3" t="s">
        <v>17</v>
      </c>
      <c r="I529" s="3">
        <f>IF(C529="India",1,IF(C529="USA",INDEX('Currency Master'!B:B,MATCH(DATE(N529,MONTH(DATEVALUE(O529&amp;" 1")),1),'Currency Master'!A:A,0)),IF(C529="Australia",INDEX('Currency Master'!T:T,MATCH(DATE(N529,MONTH(DATEVALUE(O529&amp;" 1")),1),'Currency Master'!A:A,0)),"")))</f>
        <v>45.414444000000003</v>
      </c>
      <c r="J529" s="3">
        <f t="shared" si="32"/>
        <v>36064.135000000002</v>
      </c>
      <c r="K529" s="3" t="str">
        <f t="shared" si="33"/>
        <v>₹/Candy</v>
      </c>
      <c r="L529" s="3">
        <v>-4.7100000000000003E-2</v>
      </c>
      <c r="M529" s="3"/>
      <c r="N529" s="3">
        <f t="shared" si="34"/>
        <v>2003</v>
      </c>
      <c r="O529" s="3" t="str">
        <f t="shared" si="35"/>
        <v>December</v>
      </c>
      <c r="P529" s="3" t="s">
        <v>22</v>
      </c>
      <c r="Q529" s="3"/>
    </row>
    <row r="530" spans="1:17" hidden="1" x14ac:dyDescent="0.3">
      <c r="A530" s="2">
        <v>37926</v>
      </c>
      <c r="B530" s="3" t="s">
        <v>12</v>
      </c>
      <c r="C530" s="3" t="s">
        <v>19</v>
      </c>
      <c r="D530" s="3" t="s">
        <v>20</v>
      </c>
      <c r="E530" s="3" t="s">
        <v>21</v>
      </c>
      <c r="F530" s="3">
        <v>37590.004399999998</v>
      </c>
      <c r="G530" s="3" t="s">
        <v>16</v>
      </c>
      <c r="H530" s="3" t="s">
        <v>17</v>
      </c>
      <c r="I530" s="3">
        <f>IF(C530="India",1,IF(C530="USA",INDEX('Currency Master'!B:B,MATCH(DATE(N530,MONTH(DATEVALUE(O530&amp;" 1")),1),'Currency Master'!A:A,0)),IF(C530="Australia",INDEX('Currency Master'!T:T,MATCH(DATE(N530,MONTH(DATEVALUE(O530&amp;" 1")),1),'Currency Master'!A:A,0)),"")))</f>
        <v>45.541876000000002</v>
      </c>
      <c r="J530" s="3">
        <f t="shared" si="32"/>
        <v>37590.004399999998</v>
      </c>
      <c r="K530" s="3" t="str">
        <f t="shared" si="33"/>
        <v>₹/Candy</v>
      </c>
      <c r="L530" s="3">
        <v>6.25E-2</v>
      </c>
      <c r="M530" s="3"/>
      <c r="N530" s="3">
        <f t="shared" si="34"/>
        <v>2003</v>
      </c>
      <c r="O530" s="3" t="str">
        <f t="shared" si="35"/>
        <v>November</v>
      </c>
      <c r="P530" s="3" t="s">
        <v>22</v>
      </c>
      <c r="Q530" s="3"/>
    </row>
    <row r="531" spans="1:17" hidden="1" x14ac:dyDescent="0.3">
      <c r="A531" s="2">
        <v>37895</v>
      </c>
      <c r="B531" s="3" t="s">
        <v>12</v>
      </c>
      <c r="C531" s="3" t="s">
        <v>19</v>
      </c>
      <c r="D531" s="3" t="s">
        <v>20</v>
      </c>
      <c r="E531" s="3" t="s">
        <v>21</v>
      </c>
      <c r="F531" s="3">
        <v>35515.699200000003</v>
      </c>
      <c r="G531" s="3" t="s">
        <v>16</v>
      </c>
      <c r="H531" s="3" t="s">
        <v>17</v>
      </c>
      <c r="I531" s="3">
        <f>IF(C531="India",1,IF(C531="USA",INDEX('Currency Master'!B:B,MATCH(DATE(N531,MONTH(DATEVALUE(O531&amp;" 1")),1),'Currency Master'!A:A,0)),IF(C531="Australia",INDEX('Currency Master'!T:T,MATCH(DATE(N531,MONTH(DATEVALUE(O531&amp;" 1")),1),'Currency Master'!A:A,0)),"")))</f>
        <v>45.281046000000003</v>
      </c>
      <c r="J531" s="3">
        <f t="shared" si="32"/>
        <v>35515.699200000003</v>
      </c>
      <c r="K531" s="3" t="str">
        <f t="shared" si="33"/>
        <v>₹/Candy</v>
      </c>
      <c r="L531" s="3">
        <v>0.1348</v>
      </c>
      <c r="M531" s="3"/>
      <c r="N531" s="3">
        <f t="shared" si="34"/>
        <v>2003</v>
      </c>
      <c r="O531" s="3" t="str">
        <f t="shared" si="35"/>
        <v>October</v>
      </c>
      <c r="P531" s="3" t="s">
        <v>22</v>
      </c>
      <c r="Q531" s="3"/>
    </row>
    <row r="532" spans="1:17" hidden="1" x14ac:dyDescent="0.3">
      <c r="A532" s="2">
        <v>37865</v>
      </c>
      <c r="B532" s="3" t="s">
        <v>12</v>
      </c>
      <c r="C532" s="3" t="s">
        <v>19</v>
      </c>
      <c r="D532" s="3" t="s">
        <v>20</v>
      </c>
      <c r="E532" s="3" t="s">
        <v>21</v>
      </c>
      <c r="F532" s="3">
        <v>32325.921399999999</v>
      </c>
      <c r="G532" s="3" t="s">
        <v>16</v>
      </c>
      <c r="H532" s="3" t="s">
        <v>17</v>
      </c>
      <c r="I532" s="3">
        <f>IF(C532="India",1,IF(C532="USA",INDEX('Currency Master'!B:B,MATCH(DATE(N532,MONTH(DATEVALUE(O532&amp;" 1")),1),'Currency Master'!A:A,0)),IF(C532="Australia",INDEX('Currency Master'!T:T,MATCH(DATE(N532,MONTH(DATEVALUE(O532&amp;" 1")),1),'Currency Master'!A:A,0)),"")))</f>
        <v>45.743667000000002</v>
      </c>
      <c r="J532" s="3">
        <f t="shared" si="32"/>
        <v>32325.921399999999</v>
      </c>
      <c r="K532" s="3" t="str">
        <f t="shared" si="33"/>
        <v>₹/Candy</v>
      </c>
      <c r="L532" s="3">
        <v>6.0199999999999997E-2</v>
      </c>
      <c r="M532" s="3"/>
      <c r="N532" s="3">
        <f t="shared" si="34"/>
        <v>2003</v>
      </c>
      <c r="O532" s="3" t="str">
        <f t="shared" si="35"/>
        <v>September</v>
      </c>
      <c r="P532" s="3" t="s">
        <v>22</v>
      </c>
      <c r="Q532" s="3"/>
    </row>
    <row r="533" spans="1:17" hidden="1" x14ac:dyDescent="0.3">
      <c r="A533" s="2">
        <v>37834</v>
      </c>
      <c r="B533" s="3" t="s">
        <v>12</v>
      </c>
      <c r="C533" s="3" t="s">
        <v>19</v>
      </c>
      <c r="D533" s="3" t="s">
        <v>20</v>
      </c>
      <c r="E533" s="3" t="s">
        <v>21</v>
      </c>
      <c r="F533" s="3">
        <v>31005.17208</v>
      </c>
      <c r="G533" s="3" t="s">
        <v>16</v>
      </c>
      <c r="H533" s="3" t="s">
        <v>17</v>
      </c>
      <c r="I533" s="3">
        <f>IF(C533="India",1,IF(C533="USA",INDEX('Currency Master'!B:B,MATCH(DATE(N533,MONTH(DATEVALUE(O533&amp;" 1")),1),'Currency Master'!A:A,0)),IF(C533="Australia",INDEX('Currency Master'!T:T,MATCH(DATE(N533,MONTH(DATEVALUE(O533&amp;" 1")),1),'Currency Master'!A:A,0)),"")))</f>
        <v>45.966872000000002</v>
      </c>
      <c r="J533" s="3">
        <f t="shared" si="32"/>
        <v>31005.17208</v>
      </c>
      <c r="K533" s="3" t="str">
        <f t="shared" si="33"/>
        <v>₹/Candy</v>
      </c>
      <c r="L533" s="3">
        <v>0</v>
      </c>
      <c r="M533" s="3"/>
      <c r="N533" s="3">
        <f t="shared" si="34"/>
        <v>2003</v>
      </c>
      <c r="O533" s="3" t="str">
        <f t="shared" si="35"/>
        <v>August</v>
      </c>
      <c r="P533" s="3" t="s">
        <v>22</v>
      </c>
      <c r="Q533" s="3"/>
    </row>
    <row r="534" spans="1:17" hidden="1" x14ac:dyDescent="0.3">
      <c r="A534" s="2">
        <v>37803</v>
      </c>
      <c r="B534" s="3" t="s">
        <v>12</v>
      </c>
      <c r="C534" s="3" t="s">
        <v>19</v>
      </c>
      <c r="D534" s="3" t="s">
        <v>20</v>
      </c>
      <c r="E534" s="3" t="s">
        <v>21</v>
      </c>
      <c r="F534" s="3">
        <v>31164.02462</v>
      </c>
      <c r="G534" s="3" t="s">
        <v>16</v>
      </c>
      <c r="H534" s="3" t="s">
        <v>17</v>
      </c>
      <c r="I534" s="3">
        <f>IF(C534="India",1,IF(C534="USA",INDEX('Currency Master'!B:B,MATCH(DATE(N534,MONTH(DATEVALUE(O534&amp;" 1")),1),'Currency Master'!A:A,0)),IF(C534="Australia",INDEX('Currency Master'!T:T,MATCH(DATE(N534,MONTH(DATEVALUE(O534&amp;" 1")),1),'Currency Master'!A:A,0)),"")))</f>
        <v>46.147689</v>
      </c>
      <c r="J534" s="3">
        <f t="shared" si="32"/>
        <v>31164.02462</v>
      </c>
      <c r="K534" s="3" t="str">
        <f t="shared" si="33"/>
        <v>₹/Candy</v>
      </c>
      <c r="L534" s="3">
        <v>3.1E-2</v>
      </c>
      <c r="M534" s="3"/>
      <c r="N534" s="3">
        <f t="shared" si="34"/>
        <v>2003</v>
      </c>
      <c r="O534" s="3" t="str">
        <f t="shared" si="35"/>
        <v>July</v>
      </c>
      <c r="P534" s="3" t="s">
        <v>22</v>
      </c>
      <c r="Q534" s="3"/>
    </row>
    <row r="535" spans="1:17" hidden="1" x14ac:dyDescent="0.3">
      <c r="A535" s="2">
        <v>37773</v>
      </c>
      <c r="B535" s="3" t="s">
        <v>12</v>
      </c>
      <c r="C535" s="3" t="s">
        <v>19</v>
      </c>
      <c r="D535" s="3" t="s">
        <v>20</v>
      </c>
      <c r="E535" s="3" t="s">
        <v>21</v>
      </c>
      <c r="F535" s="3">
        <v>30564.661240000001</v>
      </c>
      <c r="G535" s="3" t="s">
        <v>16</v>
      </c>
      <c r="H535" s="3" t="s">
        <v>17</v>
      </c>
      <c r="I535" s="3">
        <f>IF(C535="India",1,IF(C535="USA",INDEX('Currency Master'!B:B,MATCH(DATE(N535,MONTH(DATEVALUE(O535&amp;" 1")),1),'Currency Master'!A:A,0)),IF(C535="Australia",INDEX('Currency Master'!T:T,MATCH(DATE(N535,MONTH(DATEVALUE(O535&amp;" 1")),1),'Currency Master'!A:A,0)),"")))</f>
        <v>46.774461000000002</v>
      </c>
      <c r="J535" s="3">
        <f t="shared" si="32"/>
        <v>30564.661240000001</v>
      </c>
      <c r="K535" s="3" t="str">
        <f t="shared" si="33"/>
        <v>₹/Candy</v>
      </c>
      <c r="L535" s="3">
        <v>7.7999999999999996E-3</v>
      </c>
      <c r="M535" s="3"/>
      <c r="N535" s="3">
        <f t="shared" si="34"/>
        <v>2003</v>
      </c>
      <c r="O535" s="3" t="str">
        <f t="shared" si="35"/>
        <v>June</v>
      </c>
      <c r="P535" s="3" t="s">
        <v>22</v>
      </c>
      <c r="Q535" s="3"/>
    </row>
    <row r="536" spans="1:17" hidden="1" x14ac:dyDescent="0.3">
      <c r="A536" s="2">
        <v>37742</v>
      </c>
      <c r="B536" s="3" t="s">
        <v>12</v>
      </c>
      <c r="C536" s="3" t="s">
        <v>19</v>
      </c>
      <c r="D536" s="3" t="s">
        <v>20</v>
      </c>
      <c r="E536" s="3" t="s">
        <v>21</v>
      </c>
      <c r="F536" s="3">
        <v>30688.680960000002</v>
      </c>
      <c r="G536" s="3" t="s">
        <v>16</v>
      </c>
      <c r="H536" s="3" t="s">
        <v>17</v>
      </c>
      <c r="I536" s="3">
        <f>IF(C536="India",1,IF(C536="USA",INDEX('Currency Master'!B:B,MATCH(DATE(N536,MONTH(DATEVALUE(O536&amp;" 1")),1),'Currency Master'!A:A,0)),IF(C536="Australia",INDEX('Currency Master'!T:T,MATCH(DATE(N536,MONTH(DATEVALUE(O536&amp;" 1")),1),'Currency Master'!A:A,0)),"")))</f>
        <v>46.872655999999999</v>
      </c>
      <c r="J536" s="3">
        <f t="shared" si="32"/>
        <v>30688.680960000002</v>
      </c>
      <c r="K536" s="3" t="str">
        <f t="shared" si="33"/>
        <v>₹/Candy</v>
      </c>
      <c r="L536" s="3">
        <v>-4.48E-2</v>
      </c>
      <c r="M536" s="3"/>
      <c r="N536" s="3">
        <f t="shared" si="34"/>
        <v>2003</v>
      </c>
      <c r="O536" s="3" t="str">
        <f t="shared" si="35"/>
        <v>May</v>
      </c>
      <c r="P536" s="3" t="s">
        <v>22</v>
      </c>
      <c r="Q536" s="3"/>
    </row>
    <row r="537" spans="1:17" hidden="1" x14ac:dyDescent="0.3">
      <c r="A537" s="2">
        <v>37712</v>
      </c>
      <c r="B537" s="3" t="s">
        <v>12</v>
      </c>
      <c r="C537" s="3" t="s">
        <v>19</v>
      </c>
      <c r="D537" s="3" t="s">
        <v>20</v>
      </c>
      <c r="E537" s="3" t="s">
        <v>21</v>
      </c>
      <c r="F537" s="3">
        <v>31950.88608</v>
      </c>
      <c r="G537" s="3" t="s">
        <v>16</v>
      </c>
      <c r="H537" s="3" t="s">
        <v>17</v>
      </c>
      <c r="I537" s="3">
        <f>IF(C537="India",1,IF(C537="USA",INDEX('Currency Master'!B:B,MATCH(DATE(N537,MONTH(DATEVALUE(O537&amp;" 1")),1),'Currency Master'!A:A,0)),IF(C537="Australia",INDEX('Currency Master'!T:T,MATCH(DATE(N537,MONTH(DATEVALUE(O537&amp;" 1")),1),'Currency Master'!A:A,0)),"")))</f>
        <v>47.843215999999998</v>
      </c>
      <c r="J537" s="3">
        <f t="shared" si="32"/>
        <v>31950.88608</v>
      </c>
      <c r="K537" s="3" t="str">
        <f t="shared" si="33"/>
        <v>₹/Candy</v>
      </c>
      <c r="L537" s="3">
        <v>-7.4000000000000003E-3</v>
      </c>
      <c r="M537" s="3"/>
      <c r="N537" s="3">
        <f t="shared" si="34"/>
        <v>2003</v>
      </c>
      <c r="O537" s="3" t="str">
        <f t="shared" si="35"/>
        <v>April</v>
      </c>
      <c r="P537" s="3" t="s">
        <v>22</v>
      </c>
      <c r="Q537" s="3"/>
    </row>
    <row r="538" spans="1:17" hidden="1" x14ac:dyDescent="0.3">
      <c r="A538" s="2">
        <v>37681</v>
      </c>
      <c r="B538" s="3" t="s">
        <v>12</v>
      </c>
      <c r="C538" s="3" t="s">
        <v>19</v>
      </c>
      <c r="D538" s="3" t="s">
        <v>20</v>
      </c>
      <c r="E538" s="3" t="s">
        <v>21</v>
      </c>
      <c r="F538" s="3">
        <v>32220.7768</v>
      </c>
      <c r="G538" s="3" t="s">
        <v>16</v>
      </c>
      <c r="H538" s="3" t="s">
        <v>17</v>
      </c>
      <c r="I538" s="3">
        <f>IF(C538="India",1,IF(C538="USA",INDEX('Currency Master'!B:B,MATCH(DATE(N538,MONTH(DATEVALUE(O538&amp;" 1")),1),'Currency Master'!A:A,0)),IF(C538="Australia",INDEX('Currency Master'!T:T,MATCH(DATE(N538,MONTH(DATEVALUE(O538&amp;" 1")),1),'Currency Master'!A:A,0)),"")))</f>
        <v>48.455159000000002</v>
      </c>
      <c r="J538" s="3">
        <f t="shared" si="32"/>
        <v>32220.7768</v>
      </c>
      <c r="K538" s="3" t="str">
        <f t="shared" si="33"/>
        <v>₹/Candy</v>
      </c>
      <c r="L538" s="3">
        <v>4.65E-2</v>
      </c>
      <c r="M538" s="3"/>
      <c r="N538" s="3">
        <f t="shared" si="34"/>
        <v>2003</v>
      </c>
      <c r="O538" s="3" t="str">
        <f t="shared" si="35"/>
        <v>March</v>
      </c>
      <c r="P538" s="3" t="s">
        <v>22</v>
      </c>
      <c r="Q538" s="3"/>
    </row>
    <row r="539" spans="1:17" hidden="1" x14ac:dyDescent="0.3">
      <c r="A539" s="2">
        <v>37653</v>
      </c>
      <c r="B539" s="3" t="s">
        <v>12</v>
      </c>
      <c r="C539" s="3" t="s">
        <v>19</v>
      </c>
      <c r="D539" s="3" t="s">
        <v>20</v>
      </c>
      <c r="E539" s="3" t="s">
        <v>21</v>
      </c>
      <c r="F539" s="3">
        <v>31170.858039999999</v>
      </c>
      <c r="G539" s="3" t="s">
        <v>16</v>
      </c>
      <c r="H539" s="3" t="s">
        <v>17</v>
      </c>
      <c r="I539" s="3">
        <f>IF(C539="India",1,IF(C539="USA",INDEX('Currency Master'!B:B,MATCH(DATE(N539,MONTH(DATEVALUE(O539&amp;" 1")),1),'Currency Master'!A:A,0)),IF(C539="Australia",INDEX('Currency Master'!T:T,MATCH(DATE(N539,MONTH(DATEVALUE(O539&amp;" 1")),1),'Currency Master'!A:A,0)),"")))</f>
        <v>47.784717000000001</v>
      </c>
      <c r="J539" s="3">
        <f t="shared" si="32"/>
        <v>31170.858039999999</v>
      </c>
      <c r="K539" s="3" t="str">
        <f t="shared" si="33"/>
        <v>₹/Candy</v>
      </c>
      <c r="L539" s="3">
        <v>3.2000000000000001E-2</v>
      </c>
      <c r="M539" s="3"/>
      <c r="N539" s="3">
        <f t="shared" si="34"/>
        <v>2003</v>
      </c>
      <c r="O539" s="3" t="str">
        <f t="shared" si="35"/>
        <v>February</v>
      </c>
      <c r="P539" s="3" t="s">
        <v>22</v>
      </c>
      <c r="Q539" s="3"/>
    </row>
    <row r="540" spans="1:17" hidden="1" x14ac:dyDescent="0.3">
      <c r="A540" s="2">
        <v>37622</v>
      </c>
      <c r="B540" s="3" t="s">
        <v>12</v>
      </c>
      <c r="C540" s="3" t="s">
        <v>19</v>
      </c>
      <c r="D540" s="3" t="s">
        <v>20</v>
      </c>
      <c r="E540" s="3" t="s">
        <v>21</v>
      </c>
      <c r="F540" s="3">
        <v>30518.1</v>
      </c>
      <c r="G540" s="3" t="s">
        <v>16</v>
      </c>
      <c r="H540" s="3" t="s">
        <v>17</v>
      </c>
      <c r="I540" s="3">
        <f>IF(C540="India",1,IF(C540="USA",INDEX('Currency Master'!B:B,MATCH(DATE(N540,MONTH(DATEVALUE(O540&amp;" 1")),1),'Currency Master'!A:A,0)),IF(C540="Australia",INDEX('Currency Master'!T:T,MATCH(DATE(N540,MONTH(DATEVALUE(O540&amp;" 1")),1),'Currency Master'!A:A,0)),"")))</f>
        <v>47.947453000000003</v>
      </c>
      <c r="J540" s="3">
        <f t="shared" si="32"/>
        <v>30518.1</v>
      </c>
      <c r="K540" s="3" t="str">
        <f t="shared" si="33"/>
        <v>₹/Candy</v>
      </c>
      <c r="L540" s="3">
        <v>2.46E-2</v>
      </c>
      <c r="M540" s="3"/>
      <c r="N540" s="3">
        <f t="shared" si="34"/>
        <v>2003</v>
      </c>
      <c r="O540" s="3" t="str">
        <f t="shared" si="35"/>
        <v>January</v>
      </c>
      <c r="P540" s="3" t="s">
        <v>22</v>
      </c>
      <c r="Q540" s="3"/>
    </row>
    <row r="541" spans="1:17" hidden="1" x14ac:dyDescent="0.3">
      <c r="A541" s="2">
        <v>37591</v>
      </c>
      <c r="B541" s="3" t="s">
        <v>12</v>
      </c>
      <c r="C541" s="3" t="s">
        <v>19</v>
      </c>
      <c r="D541" s="3" t="s">
        <v>20</v>
      </c>
      <c r="E541" s="3" t="s">
        <v>21</v>
      </c>
      <c r="F541" s="3">
        <v>30028.2084</v>
      </c>
      <c r="G541" s="3" t="s">
        <v>16</v>
      </c>
      <c r="H541" s="3" t="s">
        <v>17</v>
      </c>
      <c r="I541" s="3">
        <f>IF(C541="India",1,IF(C541="USA",INDEX('Currency Master'!B:B,MATCH(DATE(N541,MONTH(DATEVALUE(O541&amp;" 1")),1),'Currency Master'!A:A,0)),IF(C541="Australia",INDEX('Currency Master'!T:T,MATCH(DATE(N541,MONTH(DATEVALUE(O541&amp;" 1")),1),'Currency Master'!A:A,0)),"")))</f>
        <v>48.099958999999998</v>
      </c>
      <c r="J541" s="3">
        <f t="shared" si="32"/>
        <v>30028.2084</v>
      </c>
      <c r="K541" s="3" t="str">
        <f t="shared" si="33"/>
        <v>₹/Candy</v>
      </c>
      <c r="L541" s="3">
        <v>6.0900000000000003E-2</v>
      </c>
      <c r="M541" s="3"/>
      <c r="N541" s="3">
        <f t="shared" si="34"/>
        <v>2002</v>
      </c>
      <c r="O541" s="3" t="str">
        <f t="shared" si="35"/>
        <v>December</v>
      </c>
      <c r="P541" s="3" t="s">
        <v>22</v>
      </c>
      <c r="Q541" s="3"/>
    </row>
    <row r="542" spans="1:17" hidden="1" x14ac:dyDescent="0.3">
      <c r="A542" s="2">
        <v>37561</v>
      </c>
      <c r="B542" s="3" t="s">
        <v>12</v>
      </c>
      <c r="C542" s="3" t="s">
        <v>19</v>
      </c>
      <c r="D542" s="3" t="s">
        <v>20</v>
      </c>
      <c r="E542" s="3" t="s">
        <v>21</v>
      </c>
      <c r="F542" s="3">
        <v>28875.9254</v>
      </c>
      <c r="G542" s="3" t="s">
        <v>16</v>
      </c>
      <c r="H542" s="3" t="s">
        <v>17</v>
      </c>
      <c r="I542" s="3">
        <f>IF(C542="India",1,IF(C542="USA",INDEX('Currency Master'!B:B,MATCH(DATE(N542,MONTH(DATEVALUE(O542&amp;" 1")),1),'Currency Master'!A:A,0)),IF(C542="Australia",INDEX('Currency Master'!T:T,MATCH(DATE(N542,MONTH(DATEVALUE(O542&amp;" 1")),1),'Currency Master'!A:A,0)),"")))</f>
        <v>48.231980999999998</v>
      </c>
      <c r="J542" s="3">
        <f t="shared" si="32"/>
        <v>28875.9254</v>
      </c>
      <c r="K542" s="3" t="str">
        <f t="shared" si="33"/>
        <v>₹/Candy</v>
      </c>
      <c r="L542" s="3">
        <v>5.5E-2</v>
      </c>
      <c r="M542" s="3"/>
      <c r="N542" s="3">
        <f t="shared" si="34"/>
        <v>2002</v>
      </c>
      <c r="O542" s="3" t="str">
        <f t="shared" si="35"/>
        <v>November</v>
      </c>
      <c r="P542" s="3" t="s">
        <v>22</v>
      </c>
      <c r="Q542" s="3"/>
    </row>
    <row r="543" spans="1:17" hidden="1" x14ac:dyDescent="0.3">
      <c r="A543" s="2">
        <v>37530</v>
      </c>
      <c r="B543" s="3" t="s">
        <v>12</v>
      </c>
      <c r="C543" s="3" t="s">
        <v>19</v>
      </c>
      <c r="D543" s="3" t="s">
        <v>20</v>
      </c>
      <c r="E543" s="3" t="s">
        <v>21</v>
      </c>
      <c r="F543" s="3">
        <v>27753.63896</v>
      </c>
      <c r="G543" s="3" t="s">
        <v>16</v>
      </c>
      <c r="H543" s="3" t="s">
        <v>17</v>
      </c>
      <c r="I543" s="3">
        <f>IF(C543="India",1,IF(C543="USA",INDEX('Currency Master'!B:B,MATCH(DATE(N543,MONTH(DATEVALUE(O543&amp;" 1")),1),'Currency Master'!A:A,0)),IF(C543="Australia",INDEX('Currency Master'!T:T,MATCH(DATE(N543,MONTH(DATEVALUE(O543&amp;" 1")),1),'Currency Master'!A:A,0)),"")))</f>
        <v>48.335070000000002</v>
      </c>
      <c r="J543" s="3">
        <f t="shared" si="32"/>
        <v>27753.63896</v>
      </c>
      <c r="K543" s="3" t="str">
        <f t="shared" si="33"/>
        <v>₹/Candy</v>
      </c>
      <c r="L543" s="3">
        <v>9.2999999999999992E-3</v>
      </c>
      <c r="M543" s="3"/>
      <c r="N543" s="3">
        <f t="shared" si="34"/>
        <v>2002</v>
      </c>
      <c r="O543" s="3" t="str">
        <f t="shared" si="35"/>
        <v>October</v>
      </c>
      <c r="P543" s="3" t="s">
        <v>22</v>
      </c>
      <c r="Q543" s="3"/>
    </row>
    <row r="544" spans="1:17" hidden="1" x14ac:dyDescent="0.3">
      <c r="A544" s="2">
        <v>37500</v>
      </c>
      <c r="B544" s="3" t="s">
        <v>12</v>
      </c>
      <c r="C544" s="3" t="s">
        <v>19</v>
      </c>
      <c r="D544" s="3" t="s">
        <v>20</v>
      </c>
      <c r="E544" s="3" t="s">
        <v>21</v>
      </c>
      <c r="F544" s="3">
        <v>27568.568800000001</v>
      </c>
      <c r="G544" s="3" t="s">
        <v>16</v>
      </c>
      <c r="H544" s="3" t="s">
        <v>17</v>
      </c>
      <c r="I544" s="3">
        <f>IF(C544="India",1,IF(C544="USA",INDEX('Currency Master'!B:B,MATCH(DATE(N544,MONTH(DATEVALUE(O544&amp;" 1")),1),'Currency Master'!A:A,0)),IF(C544="Australia",INDEX('Currency Master'!T:T,MATCH(DATE(N544,MONTH(DATEVALUE(O544&amp;" 1")),1),'Currency Master'!A:A,0)),"")))</f>
        <v>48.366041000000003</v>
      </c>
      <c r="J544" s="3">
        <f t="shared" si="32"/>
        <v>27568.568800000001</v>
      </c>
      <c r="K544" s="3" t="str">
        <f t="shared" si="33"/>
        <v>₹/Candy</v>
      </c>
      <c r="L544" s="3">
        <v>-9.1999999999999998E-3</v>
      </c>
      <c r="M544" s="3"/>
      <c r="N544" s="3">
        <f t="shared" si="34"/>
        <v>2002</v>
      </c>
      <c r="O544" s="3" t="str">
        <f t="shared" si="35"/>
        <v>September</v>
      </c>
      <c r="P544" s="3" t="s">
        <v>22</v>
      </c>
      <c r="Q544" s="3"/>
    </row>
    <row r="545" spans="1:17" hidden="1" x14ac:dyDescent="0.3">
      <c r="A545" s="2">
        <v>37469</v>
      </c>
      <c r="B545" s="3" t="s">
        <v>12</v>
      </c>
      <c r="C545" s="3" t="s">
        <v>19</v>
      </c>
      <c r="D545" s="3" t="s">
        <v>20</v>
      </c>
      <c r="E545" s="3" t="s">
        <v>21</v>
      </c>
      <c r="F545" s="3">
        <v>27809.128680000002</v>
      </c>
      <c r="G545" s="3" t="s">
        <v>16</v>
      </c>
      <c r="H545" s="3" t="s">
        <v>17</v>
      </c>
      <c r="I545" s="3">
        <f>IF(C545="India",1,IF(C545="USA",INDEX('Currency Master'!B:B,MATCH(DATE(N545,MONTH(DATEVALUE(O545&amp;" 1")),1),'Currency Master'!A:A,0)),IF(C545="Australia",INDEX('Currency Master'!T:T,MATCH(DATE(N545,MONTH(DATEVALUE(O545&amp;" 1")),1),'Currency Master'!A:A,0)),"")))</f>
        <v>48.511217000000002</v>
      </c>
      <c r="J545" s="3">
        <f t="shared" si="32"/>
        <v>27809.128680000002</v>
      </c>
      <c r="K545" s="3" t="str">
        <f t="shared" si="33"/>
        <v>₹/Candy</v>
      </c>
      <c r="L545" s="3">
        <v>5.8299999999999998E-2</v>
      </c>
      <c r="M545" s="3"/>
      <c r="N545" s="3">
        <f t="shared" si="34"/>
        <v>2002</v>
      </c>
      <c r="O545" s="3" t="str">
        <f t="shared" si="35"/>
        <v>August</v>
      </c>
      <c r="P545" s="3" t="s">
        <v>22</v>
      </c>
      <c r="Q545" s="3"/>
    </row>
    <row r="546" spans="1:17" hidden="1" x14ac:dyDescent="0.3">
      <c r="A546" s="2">
        <v>37438</v>
      </c>
      <c r="B546" s="3" t="s">
        <v>12</v>
      </c>
      <c r="C546" s="3" t="s">
        <v>19</v>
      </c>
      <c r="D546" s="3" t="s">
        <v>20</v>
      </c>
      <c r="E546" s="3" t="s">
        <v>21</v>
      </c>
      <c r="F546" s="3">
        <v>26738.846720000001</v>
      </c>
      <c r="G546" s="3" t="s">
        <v>16</v>
      </c>
      <c r="H546" s="3" t="s">
        <v>17</v>
      </c>
      <c r="I546" s="3">
        <f>IF(C546="India",1,IF(C546="USA",INDEX('Currency Master'!B:B,MATCH(DATE(N546,MONTH(DATEVALUE(O546&amp;" 1")),1),'Currency Master'!A:A,0)),IF(C546="Australia",INDEX('Currency Master'!T:T,MATCH(DATE(N546,MONTH(DATEVALUE(O546&amp;" 1")),1),'Currency Master'!A:A,0)),"")))</f>
        <v>48.702224000000001</v>
      </c>
      <c r="J546" s="3">
        <f t="shared" si="32"/>
        <v>26738.846720000001</v>
      </c>
      <c r="K546" s="3" t="str">
        <f t="shared" si="33"/>
        <v>₹/Candy</v>
      </c>
      <c r="L546" s="3">
        <v>7.2900000000000006E-2</v>
      </c>
      <c r="M546" s="3"/>
      <c r="N546" s="3">
        <f t="shared" si="34"/>
        <v>2002</v>
      </c>
      <c r="O546" s="3" t="str">
        <f t="shared" si="35"/>
        <v>July</v>
      </c>
      <c r="P546" s="3" t="s">
        <v>22</v>
      </c>
      <c r="Q546" s="3"/>
    </row>
    <row r="547" spans="1:17" hidden="1" x14ac:dyDescent="0.3">
      <c r="A547" s="2">
        <v>37408</v>
      </c>
      <c r="B547" s="3" t="s">
        <v>12</v>
      </c>
      <c r="C547" s="3" t="s">
        <v>19</v>
      </c>
      <c r="D547" s="3" t="s">
        <v>20</v>
      </c>
      <c r="E547" s="3" t="s">
        <v>21</v>
      </c>
      <c r="F547" s="3">
        <v>25488.232960000001</v>
      </c>
      <c r="G547" s="3" t="s">
        <v>16</v>
      </c>
      <c r="H547" s="3" t="s">
        <v>17</v>
      </c>
      <c r="I547" s="3">
        <f>IF(C547="India",1,IF(C547="USA",INDEX('Currency Master'!B:B,MATCH(DATE(N547,MONTH(DATEVALUE(O547&amp;" 1")),1),'Currency Master'!A:A,0)),IF(C547="Australia",INDEX('Currency Master'!T:T,MATCH(DATE(N547,MONTH(DATEVALUE(O547&amp;" 1")),1),'Currency Master'!A:A,0)),"")))</f>
        <v>48.998510000000003</v>
      </c>
      <c r="J547" s="3">
        <f t="shared" si="32"/>
        <v>25488.232960000001</v>
      </c>
      <c r="K547" s="3" t="str">
        <f t="shared" si="33"/>
        <v>₹/Candy</v>
      </c>
      <c r="L547" s="3">
        <v>9.0899999999999995E-2</v>
      </c>
      <c r="M547" s="3"/>
      <c r="N547" s="3">
        <f t="shared" si="34"/>
        <v>2002</v>
      </c>
      <c r="O547" s="3" t="str">
        <f t="shared" si="35"/>
        <v>June</v>
      </c>
      <c r="P547" s="3" t="s">
        <v>22</v>
      </c>
      <c r="Q547" s="3"/>
    </row>
    <row r="548" spans="1:17" hidden="1" x14ac:dyDescent="0.3">
      <c r="A548" s="2">
        <v>37377</v>
      </c>
      <c r="B548" s="3" t="s">
        <v>12</v>
      </c>
      <c r="C548" s="3" t="s">
        <v>19</v>
      </c>
      <c r="D548" s="3" t="s">
        <v>20</v>
      </c>
      <c r="E548" s="3" t="s">
        <v>21</v>
      </c>
      <c r="F548" s="3">
        <v>24009.238079999999</v>
      </c>
      <c r="G548" s="3" t="s">
        <v>16</v>
      </c>
      <c r="H548" s="3" t="s">
        <v>17</v>
      </c>
      <c r="I548" s="3">
        <f>IF(C548="India",1,IF(C548="USA",INDEX('Currency Master'!B:B,MATCH(DATE(N548,MONTH(DATEVALUE(O548&amp;" 1")),1),'Currency Master'!A:A,0)),IF(C548="Australia",INDEX('Currency Master'!T:T,MATCH(DATE(N548,MONTH(DATEVALUE(O548&amp;" 1")),1),'Currency Master'!A:A,0)),"")))</f>
        <v>48.951129000000002</v>
      </c>
      <c r="J548" s="3">
        <f t="shared" si="32"/>
        <v>24009.238079999999</v>
      </c>
      <c r="K548" s="3" t="str">
        <f t="shared" si="33"/>
        <v>₹/Candy</v>
      </c>
      <c r="L548" s="3">
        <v>-3.3000000000000002E-2</v>
      </c>
      <c r="M548" s="3"/>
      <c r="N548" s="3">
        <f t="shared" si="34"/>
        <v>2002</v>
      </c>
      <c r="O548" s="3" t="str">
        <f t="shared" si="35"/>
        <v>May</v>
      </c>
      <c r="P548" s="3" t="s">
        <v>22</v>
      </c>
      <c r="Q548" s="3"/>
    </row>
    <row r="549" spans="1:17" hidden="1" x14ac:dyDescent="0.3">
      <c r="A549" s="2">
        <v>37347</v>
      </c>
      <c r="B549" s="3" t="s">
        <v>12</v>
      </c>
      <c r="C549" s="3" t="s">
        <v>19</v>
      </c>
      <c r="D549" s="3" t="s">
        <v>20</v>
      </c>
      <c r="E549" s="3" t="s">
        <v>21</v>
      </c>
      <c r="F549" s="3">
        <v>24556.499080000001</v>
      </c>
      <c r="G549" s="3" t="s">
        <v>16</v>
      </c>
      <c r="H549" s="3" t="s">
        <v>17</v>
      </c>
      <c r="I549" s="3">
        <f>IF(C549="India",1,IF(C549="USA",INDEX('Currency Master'!B:B,MATCH(DATE(N549,MONTH(DATEVALUE(O549&amp;" 1")),1),'Currency Master'!A:A,0)),IF(C549="Australia",INDEX('Currency Master'!T:T,MATCH(DATE(N549,MONTH(DATEVALUE(O549&amp;" 1")),1),'Currency Master'!A:A,0)),"")))</f>
        <v>48.941015999999998</v>
      </c>
      <c r="J549" s="3">
        <f t="shared" si="32"/>
        <v>24556.499080000001</v>
      </c>
      <c r="K549" s="3" t="str">
        <f t="shared" si="33"/>
        <v>₹/Candy</v>
      </c>
      <c r="L549" s="3">
        <v>-2.1499999999999998E-2</v>
      </c>
      <c r="M549" s="3"/>
      <c r="N549" s="3">
        <f t="shared" si="34"/>
        <v>2002</v>
      </c>
      <c r="O549" s="3" t="str">
        <f t="shared" si="35"/>
        <v>April</v>
      </c>
      <c r="P549" s="3" t="s">
        <v>22</v>
      </c>
      <c r="Q549" s="3"/>
    </row>
    <row r="550" spans="1:17" hidden="1" x14ac:dyDescent="0.3">
      <c r="A550" s="2">
        <v>37316</v>
      </c>
      <c r="B550" s="3" t="s">
        <v>12</v>
      </c>
      <c r="C550" s="3" t="s">
        <v>19</v>
      </c>
      <c r="D550" s="3" t="s">
        <v>20</v>
      </c>
      <c r="E550" s="3" t="s">
        <v>21</v>
      </c>
      <c r="F550" s="3">
        <v>24885.090639999999</v>
      </c>
      <c r="G550" s="3" t="s">
        <v>16</v>
      </c>
      <c r="H550" s="3" t="s">
        <v>17</v>
      </c>
      <c r="I550" s="3">
        <f>IF(C550="India",1,IF(C550="USA",INDEX('Currency Master'!B:B,MATCH(DATE(N550,MONTH(DATEVALUE(O550&amp;" 1")),1),'Currency Master'!A:A,0)),IF(C550="Australia",INDEX('Currency Master'!T:T,MATCH(DATE(N550,MONTH(DATEVALUE(O550&amp;" 1")),1),'Currency Master'!A:A,0)),"")))</f>
        <v>48.715313999999999</v>
      </c>
      <c r="J550" s="3">
        <f t="shared" si="32"/>
        <v>24885.090639999999</v>
      </c>
      <c r="K550" s="3" t="str">
        <f t="shared" si="33"/>
        <v>₹/Candy</v>
      </c>
      <c r="L550" s="3">
        <v>-1.06E-2</v>
      </c>
      <c r="M550" s="3"/>
      <c r="N550" s="3">
        <f t="shared" si="34"/>
        <v>2002</v>
      </c>
      <c r="O550" s="3" t="str">
        <f t="shared" si="35"/>
        <v>March</v>
      </c>
      <c r="P550" s="3" t="s">
        <v>22</v>
      </c>
      <c r="Q550" s="3"/>
    </row>
    <row r="551" spans="1:17" hidden="1" x14ac:dyDescent="0.3">
      <c r="A551" s="2">
        <v>37288</v>
      </c>
      <c r="B551" s="3" t="s">
        <v>12</v>
      </c>
      <c r="C551" s="3" t="s">
        <v>19</v>
      </c>
      <c r="D551" s="3" t="s">
        <v>20</v>
      </c>
      <c r="E551" s="3" t="s">
        <v>21</v>
      </c>
      <c r="F551" s="3">
        <v>25050.345840000002</v>
      </c>
      <c r="G551" s="3" t="s">
        <v>16</v>
      </c>
      <c r="H551" s="3" t="s">
        <v>17</v>
      </c>
      <c r="I551" s="3">
        <f>IF(C551="India",1,IF(C551="USA",INDEX('Currency Master'!B:B,MATCH(DATE(N551,MONTH(DATEVALUE(O551&amp;" 1")),1),'Currency Master'!A:A,0)),IF(C551="Australia",INDEX('Currency Master'!T:T,MATCH(DATE(N551,MONTH(DATEVALUE(O551&amp;" 1")),1),'Currency Master'!A:A,0)),"")))</f>
        <v>48.651071999999999</v>
      </c>
      <c r="J551" s="3">
        <f t="shared" si="32"/>
        <v>25050.345840000002</v>
      </c>
      <c r="K551" s="3" t="str">
        <f t="shared" si="33"/>
        <v>₹/Candy</v>
      </c>
      <c r="L551" s="3">
        <v>-2.0799999999999999E-2</v>
      </c>
      <c r="M551" s="3"/>
      <c r="N551" s="3">
        <f t="shared" si="34"/>
        <v>2002</v>
      </c>
      <c r="O551" s="3" t="str">
        <f t="shared" si="35"/>
        <v>February</v>
      </c>
      <c r="P551" s="3" t="s">
        <v>22</v>
      </c>
      <c r="Q551" s="3"/>
    </row>
    <row r="552" spans="1:17" hidden="1" x14ac:dyDescent="0.3">
      <c r="A552" s="2">
        <v>37257</v>
      </c>
      <c r="B552" s="3" t="s">
        <v>12</v>
      </c>
      <c r="C552" s="3" t="s">
        <v>19</v>
      </c>
      <c r="D552" s="3" t="s">
        <v>20</v>
      </c>
      <c r="E552" s="3" t="s">
        <v>21</v>
      </c>
      <c r="F552" s="3">
        <v>25356.655360000001</v>
      </c>
      <c r="G552" s="3" t="s">
        <v>16</v>
      </c>
      <c r="H552" s="3" t="s">
        <v>17</v>
      </c>
      <c r="I552" s="3">
        <f>IF(C552="India",1,IF(C552="USA",INDEX('Currency Master'!B:B,MATCH(DATE(N552,MONTH(DATEVALUE(O552&amp;" 1")),1),'Currency Master'!A:A,0)),IF(C552="Australia",INDEX('Currency Master'!T:T,MATCH(DATE(N552,MONTH(DATEVALUE(O552&amp;" 1")),1),'Currency Master'!A:A,0)),"")))</f>
        <v>48.200833000000003</v>
      </c>
      <c r="J552" s="3">
        <f t="shared" si="32"/>
        <v>25356.655360000001</v>
      </c>
      <c r="K552" s="3" t="str">
        <f t="shared" si="33"/>
        <v>₹/Candy</v>
      </c>
      <c r="L552" s="3">
        <v>1.0500000000000001E-2</v>
      </c>
      <c r="M552" s="3"/>
      <c r="N552" s="3">
        <f t="shared" si="34"/>
        <v>2002</v>
      </c>
      <c r="O552" s="3" t="str">
        <f t="shared" si="35"/>
        <v>January</v>
      </c>
      <c r="P552" s="3" t="s">
        <v>22</v>
      </c>
      <c r="Q552" s="3"/>
    </row>
    <row r="553" spans="1:17" hidden="1" x14ac:dyDescent="0.3">
      <c r="A553" s="2">
        <v>37226</v>
      </c>
      <c r="B553" s="3" t="s">
        <v>12</v>
      </c>
      <c r="C553" s="3" t="s">
        <v>19</v>
      </c>
      <c r="D553" s="3" t="s">
        <v>20</v>
      </c>
      <c r="E553" s="3" t="s">
        <v>21</v>
      </c>
      <c r="F553" s="3">
        <v>25058.804400000001</v>
      </c>
      <c r="G553" s="3" t="s">
        <v>16</v>
      </c>
      <c r="H553" s="3" t="s">
        <v>17</v>
      </c>
      <c r="I553" s="3">
        <f>IF(C553="India",1,IF(C553="USA",INDEX('Currency Master'!B:B,MATCH(DATE(N553,MONTH(DATEVALUE(O553&amp;" 1")),1),'Currency Master'!A:A,0)),IF(C553="Australia",INDEX('Currency Master'!T:T,MATCH(DATE(N553,MONTH(DATEVALUE(O553&amp;" 1")),1),'Currency Master'!A:A,0)),"")))</f>
        <v>47.906360999999997</v>
      </c>
      <c r="J553" s="3">
        <f t="shared" si="32"/>
        <v>25058.804400000001</v>
      </c>
      <c r="K553" s="3" t="str">
        <f t="shared" si="33"/>
        <v>₹/Candy</v>
      </c>
      <c r="L553" s="3">
        <v>0.13100000000000001</v>
      </c>
      <c r="M553" s="3"/>
      <c r="N553" s="3">
        <f t="shared" si="34"/>
        <v>2001</v>
      </c>
      <c r="O553" s="3" t="str">
        <f t="shared" si="35"/>
        <v>December</v>
      </c>
      <c r="P553" s="3" t="s">
        <v>22</v>
      </c>
      <c r="Q553" s="3"/>
    </row>
    <row r="554" spans="1:17" hidden="1" x14ac:dyDescent="0.3">
      <c r="A554" s="2">
        <v>37196</v>
      </c>
      <c r="B554" s="3" t="s">
        <v>12</v>
      </c>
      <c r="C554" s="3" t="s">
        <v>19</v>
      </c>
      <c r="D554" s="3" t="s">
        <v>20</v>
      </c>
      <c r="E554" s="3" t="s">
        <v>21</v>
      </c>
      <c r="F554" s="3">
        <v>22886.285919999998</v>
      </c>
      <c r="G554" s="3" t="s">
        <v>16</v>
      </c>
      <c r="H554" s="3" t="s">
        <v>17</v>
      </c>
      <c r="I554" s="3">
        <f>IF(C554="India",1,IF(C554="USA",INDEX('Currency Master'!B:B,MATCH(DATE(N554,MONTH(DATEVALUE(O554&amp;" 1")),1),'Currency Master'!A:A,0)),IF(C554="Australia",INDEX('Currency Master'!T:T,MATCH(DATE(N554,MONTH(DATEVALUE(O554&amp;" 1")),1),'Currency Master'!A:A,0)),"")))</f>
        <v>47.953646999999997</v>
      </c>
      <c r="J554" s="3">
        <f t="shared" si="32"/>
        <v>22886.285919999998</v>
      </c>
      <c r="K554" s="3" t="str">
        <f t="shared" si="33"/>
        <v>₹/Candy</v>
      </c>
      <c r="L554" s="3">
        <v>2.4400000000000002E-2</v>
      </c>
      <c r="M554" s="3"/>
      <c r="N554" s="3">
        <f t="shared" si="34"/>
        <v>2001</v>
      </c>
      <c r="O554" s="3" t="str">
        <f t="shared" si="35"/>
        <v>November</v>
      </c>
      <c r="P554" s="3" t="s">
        <v>22</v>
      </c>
      <c r="Q554" s="3"/>
    </row>
    <row r="555" spans="1:17" hidden="1" x14ac:dyDescent="0.3">
      <c r="A555" s="2">
        <v>37165</v>
      </c>
      <c r="B555" s="3" t="s">
        <v>12</v>
      </c>
      <c r="C555" s="3" t="s">
        <v>19</v>
      </c>
      <c r="D555" s="3" t="s">
        <v>20</v>
      </c>
      <c r="E555" s="3" t="s">
        <v>21</v>
      </c>
      <c r="F555" s="3">
        <v>22530.16488</v>
      </c>
      <c r="G555" s="3" t="s">
        <v>16</v>
      </c>
      <c r="H555" s="3" t="s">
        <v>17</v>
      </c>
      <c r="I555" s="3">
        <f>IF(C555="India",1,IF(C555="USA",INDEX('Currency Master'!B:B,MATCH(DATE(N555,MONTH(DATEVALUE(O555&amp;" 1")),1),'Currency Master'!A:A,0)),IF(C555="Australia",INDEX('Currency Master'!T:T,MATCH(DATE(N555,MONTH(DATEVALUE(O555&amp;" 1")),1),'Currency Master'!A:A,0)),"")))</f>
        <v>48.112394999999999</v>
      </c>
      <c r="J555" s="3">
        <f t="shared" si="32"/>
        <v>22530.16488</v>
      </c>
      <c r="K555" s="3" t="str">
        <f t="shared" si="33"/>
        <v>₹/Candy</v>
      </c>
      <c r="L555" s="3">
        <v>-9.8900000000000002E-2</v>
      </c>
      <c r="M555" s="3"/>
      <c r="N555" s="3">
        <f t="shared" si="34"/>
        <v>2001</v>
      </c>
      <c r="O555" s="3" t="str">
        <f t="shared" si="35"/>
        <v>October</v>
      </c>
      <c r="P555" s="3" t="s">
        <v>22</v>
      </c>
      <c r="Q555" s="3"/>
    </row>
    <row r="556" spans="1:17" hidden="1" x14ac:dyDescent="0.3">
      <c r="A556" s="2">
        <v>37135</v>
      </c>
      <c r="B556" s="3" t="s">
        <v>12</v>
      </c>
      <c r="C556" s="3" t="s">
        <v>19</v>
      </c>
      <c r="D556" s="3" t="s">
        <v>20</v>
      </c>
      <c r="E556" s="3" t="s">
        <v>21</v>
      </c>
      <c r="F556" s="3">
        <v>24171.634600000001</v>
      </c>
      <c r="G556" s="3" t="s">
        <v>16</v>
      </c>
      <c r="H556" s="3" t="s">
        <v>17</v>
      </c>
      <c r="I556" s="3">
        <f>IF(C556="India",1,IF(C556="USA",INDEX('Currency Master'!B:B,MATCH(DATE(N556,MONTH(DATEVALUE(O556&amp;" 1")),1),'Currency Master'!A:A,0)),IF(C556="Australia",INDEX('Currency Master'!T:T,MATCH(DATE(N556,MONTH(DATEVALUE(O556&amp;" 1")),1),'Currency Master'!A:A,0)),"")))</f>
        <v>47.774681999999999</v>
      </c>
      <c r="J556" s="3">
        <f t="shared" si="32"/>
        <v>24171.634600000001</v>
      </c>
      <c r="K556" s="3" t="str">
        <f t="shared" si="33"/>
        <v>₹/Candy</v>
      </c>
      <c r="L556" s="3">
        <v>-5.21E-2</v>
      </c>
      <c r="M556" s="3"/>
      <c r="N556" s="3">
        <f t="shared" si="34"/>
        <v>2001</v>
      </c>
      <c r="O556" s="3" t="str">
        <f t="shared" si="35"/>
        <v>September</v>
      </c>
      <c r="P556" s="3" t="s">
        <v>22</v>
      </c>
      <c r="Q556" s="3"/>
    </row>
    <row r="557" spans="1:17" hidden="1" x14ac:dyDescent="0.3">
      <c r="A557" s="2">
        <v>37104</v>
      </c>
      <c r="B557" s="3" t="s">
        <v>12</v>
      </c>
      <c r="C557" s="3" t="s">
        <v>19</v>
      </c>
      <c r="D557" s="3" t="s">
        <v>20</v>
      </c>
      <c r="E557" s="3" t="s">
        <v>21</v>
      </c>
      <c r="F557" s="3">
        <v>24834.104319999999</v>
      </c>
      <c r="G557" s="3" t="s">
        <v>16</v>
      </c>
      <c r="H557" s="3" t="s">
        <v>17</v>
      </c>
      <c r="I557" s="3">
        <f>IF(C557="India",1,IF(C557="USA",INDEX('Currency Master'!B:B,MATCH(DATE(N557,MONTH(DATEVALUE(O557&amp;" 1")),1),'Currency Master'!A:A,0)),IF(C557="Australia",INDEX('Currency Master'!T:T,MATCH(DATE(N557,MONTH(DATEVALUE(O557&amp;" 1")),1),'Currency Master'!A:A,0)),"")))</f>
        <v>47.259366</v>
      </c>
      <c r="J557" s="3">
        <f t="shared" si="32"/>
        <v>24834.104319999999</v>
      </c>
      <c r="K557" s="3" t="str">
        <f t="shared" si="33"/>
        <v>₹/Candy</v>
      </c>
      <c r="L557" s="3">
        <v>-0.04</v>
      </c>
      <c r="M557" s="3"/>
      <c r="N557" s="3">
        <f t="shared" si="34"/>
        <v>2001</v>
      </c>
      <c r="O557" s="3" t="str">
        <f t="shared" si="35"/>
        <v>August</v>
      </c>
      <c r="P557" s="3" t="s">
        <v>22</v>
      </c>
      <c r="Q557" s="3"/>
    </row>
    <row r="558" spans="1:17" hidden="1" x14ac:dyDescent="0.3">
      <c r="A558" s="2">
        <v>37073</v>
      </c>
      <c r="B558" s="3" t="s">
        <v>12</v>
      </c>
      <c r="C558" s="3" t="s">
        <v>19</v>
      </c>
      <c r="D558" s="3" t="s">
        <v>20</v>
      </c>
      <c r="E558" s="3" t="s">
        <v>21</v>
      </c>
      <c r="F558" s="3">
        <v>25576.108</v>
      </c>
      <c r="G558" s="3" t="s">
        <v>16</v>
      </c>
      <c r="H558" s="3" t="s">
        <v>17</v>
      </c>
      <c r="I558" s="3">
        <f>IF(C558="India",1,IF(C558="USA",INDEX('Currency Master'!B:B,MATCH(DATE(N558,MONTH(DATEVALUE(O558&amp;" 1")),1),'Currency Master'!A:A,0)),IF(C558="Australia",INDEX('Currency Master'!T:T,MATCH(DATE(N558,MONTH(DATEVALUE(O558&amp;" 1")),1),'Currency Master'!A:A,0)),"")))</f>
        <v>47.450383000000002</v>
      </c>
      <c r="J558" s="3">
        <f t="shared" si="32"/>
        <v>25576.108</v>
      </c>
      <c r="K558" s="3" t="str">
        <f t="shared" si="33"/>
        <v>₹/Candy</v>
      </c>
      <c r="L558" s="3">
        <v>-4.7600000000000003E-2</v>
      </c>
      <c r="M558" s="3"/>
      <c r="N558" s="3">
        <f t="shared" si="34"/>
        <v>2001</v>
      </c>
      <c r="O558" s="3" t="str">
        <f t="shared" si="35"/>
        <v>July</v>
      </c>
      <c r="P558" s="3" t="s">
        <v>22</v>
      </c>
      <c r="Q558" s="3"/>
    </row>
    <row r="559" spans="1:17" hidden="1" x14ac:dyDescent="0.3">
      <c r="A559" s="2">
        <v>37043</v>
      </c>
      <c r="B559" s="3" t="s">
        <v>12</v>
      </c>
      <c r="C559" s="3" t="s">
        <v>19</v>
      </c>
      <c r="D559" s="3" t="s">
        <v>20</v>
      </c>
      <c r="E559" s="3" t="s">
        <v>21</v>
      </c>
      <c r="F559" s="3">
        <v>26461.907200000001</v>
      </c>
      <c r="G559" s="3" t="s">
        <v>16</v>
      </c>
      <c r="H559" s="3" t="s">
        <v>17</v>
      </c>
      <c r="I559" s="3">
        <f>IF(C559="India",1,IF(C559="USA",INDEX('Currency Master'!B:B,MATCH(DATE(N559,MONTH(DATEVALUE(O559&amp;" 1")),1),'Currency Master'!A:A,0)),IF(C559="Australia",INDEX('Currency Master'!T:T,MATCH(DATE(N559,MONTH(DATEVALUE(O559&amp;" 1")),1),'Currency Master'!A:A,0)),"")))</f>
        <v>47.236288000000002</v>
      </c>
      <c r="J559" s="3">
        <f t="shared" si="32"/>
        <v>26461.907200000001</v>
      </c>
      <c r="K559" s="3" t="str">
        <f t="shared" si="33"/>
        <v>₹/Candy</v>
      </c>
      <c r="L559" s="3">
        <v>-4.5499999999999999E-2</v>
      </c>
      <c r="M559" s="3"/>
      <c r="N559" s="3">
        <f t="shared" si="34"/>
        <v>2001</v>
      </c>
      <c r="O559" s="3" t="str">
        <f t="shared" si="35"/>
        <v>June</v>
      </c>
      <c r="P559" s="3" t="s">
        <v>22</v>
      </c>
      <c r="Q559" s="3"/>
    </row>
    <row r="560" spans="1:17" hidden="1" x14ac:dyDescent="0.3">
      <c r="A560" s="2">
        <v>37012</v>
      </c>
      <c r="B560" s="3" t="s">
        <v>12</v>
      </c>
      <c r="C560" s="3" t="s">
        <v>19</v>
      </c>
      <c r="D560" s="3" t="s">
        <v>20</v>
      </c>
      <c r="E560" s="3" t="s">
        <v>21</v>
      </c>
      <c r="F560" s="3">
        <v>27365.72</v>
      </c>
      <c r="G560" s="3" t="s">
        <v>16</v>
      </c>
      <c r="H560" s="3" t="s">
        <v>17</v>
      </c>
      <c r="I560" s="3">
        <f>IF(C560="India",1,IF(C560="USA",INDEX('Currency Master'!B:B,MATCH(DATE(N560,MONTH(DATEVALUE(O560&amp;" 1")),1),'Currency Master'!A:A,0)),IF(C560="Australia",INDEX('Currency Master'!T:T,MATCH(DATE(N560,MONTH(DATEVALUE(O560&amp;" 1")),1),'Currency Master'!A:A,0)),"")))</f>
        <v>47.080295999999997</v>
      </c>
      <c r="J560" s="3">
        <f t="shared" si="32"/>
        <v>27365.72</v>
      </c>
      <c r="K560" s="3" t="str">
        <f t="shared" si="33"/>
        <v>₹/Candy</v>
      </c>
      <c r="L560" s="3">
        <v>-2.6499999999999999E-2</v>
      </c>
      <c r="M560" s="3"/>
      <c r="N560" s="3">
        <f t="shared" si="34"/>
        <v>2001</v>
      </c>
      <c r="O560" s="3" t="str">
        <f t="shared" si="35"/>
        <v>May</v>
      </c>
      <c r="P560" s="3" t="s">
        <v>22</v>
      </c>
      <c r="Q560" s="3"/>
    </row>
    <row r="561" spans="1:17" hidden="1" x14ac:dyDescent="0.3">
      <c r="A561" s="2">
        <v>36982</v>
      </c>
      <c r="B561" s="3" t="s">
        <v>12</v>
      </c>
      <c r="C561" s="3" t="s">
        <v>19</v>
      </c>
      <c r="D561" s="3" t="s">
        <v>20</v>
      </c>
      <c r="E561" s="3" t="s">
        <v>21</v>
      </c>
      <c r="F561" s="3">
        <v>27847.074720000001</v>
      </c>
      <c r="G561" s="3" t="s">
        <v>16</v>
      </c>
      <c r="H561" s="3" t="s">
        <v>17</v>
      </c>
      <c r="I561" s="3">
        <f>IF(C561="India",1,IF(C561="USA",INDEX('Currency Master'!B:B,MATCH(DATE(N561,MONTH(DATEVALUE(O561&amp;" 1")),1),'Currency Master'!A:A,0)),IF(C561="Australia",INDEX('Currency Master'!T:T,MATCH(DATE(N561,MONTH(DATEVALUE(O561&amp;" 1")),1),'Currency Master'!A:A,0)),"")))</f>
        <v>46.889525999999996</v>
      </c>
      <c r="J561" s="3">
        <f t="shared" si="32"/>
        <v>27847.074720000001</v>
      </c>
      <c r="K561" s="3" t="str">
        <f t="shared" si="33"/>
        <v>₹/Candy</v>
      </c>
      <c r="L561" s="3">
        <v>-5.8299999999999998E-2</v>
      </c>
      <c r="M561" s="3"/>
      <c r="N561" s="3">
        <f t="shared" si="34"/>
        <v>2001</v>
      </c>
      <c r="O561" s="3" t="str">
        <f t="shared" si="35"/>
        <v>April</v>
      </c>
      <c r="P561" s="3" t="s">
        <v>22</v>
      </c>
      <c r="Q561" s="3"/>
    </row>
    <row r="562" spans="1:17" hidden="1" x14ac:dyDescent="0.3">
      <c r="A562" s="2">
        <v>36951</v>
      </c>
      <c r="B562" s="3" t="s">
        <v>12</v>
      </c>
      <c r="C562" s="3" t="s">
        <v>19</v>
      </c>
      <c r="D562" s="3" t="s">
        <v>20</v>
      </c>
      <c r="E562" s="3" t="s">
        <v>21</v>
      </c>
      <c r="F562" s="3">
        <v>29069.963199999998</v>
      </c>
      <c r="G562" s="3" t="s">
        <v>16</v>
      </c>
      <c r="H562" s="3" t="s">
        <v>17</v>
      </c>
      <c r="I562" s="3">
        <f>IF(C562="India",1,IF(C562="USA",INDEX('Currency Master'!B:B,MATCH(DATE(N562,MONTH(DATEVALUE(O562&amp;" 1")),1),'Currency Master'!A:A,0)),IF(C562="Australia",INDEX('Currency Master'!T:T,MATCH(DATE(N562,MONTH(DATEVALUE(O562&amp;" 1")),1),'Currency Master'!A:A,0)),"")))</f>
        <v>46.589910000000003</v>
      </c>
      <c r="J562" s="3">
        <f t="shared" si="32"/>
        <v>29069.963199999998</v>
      </c>
      <c r="K562" s="3" t="str">
        <f t="shared" si="33"/>
        <v>₹/Candy</v>
      </c>
      <c r="L562" s="3">
        <v>-9.7699999999999995E-2</v>
      </c>
      <c r="M562" s="3"/>
      <c r="N562" s="3">
        <f t="shared" si="34"/>
        <v>2001</v>
      </c>
      <c r="O562" s="3" t="str">
        <f t="shared" si="35"/>
        <v>March</v>
      </c>
      <c r="P562" s="3" t="s">
        <v>22</v>
      </c>
      <c r="Q562" s="3"/>
    </row>
    <row r="563" spans="1:17" hidden="1" x14ac:dyDescent="0.3">
      <c r="A563" s="2">
        <v>36923</v>
      </c>
      <c r="B563" s="3" t="s">
        <v>12</v>
      </c>
      <c r="C563" s="3" t="s">
        <v>19</v>
      </c>
      <c r="D563" s="3" t="s">
        <v>20</v>
      </c>
      <c r="E563" s="3" t="s">
        <v>21</v>
      </c>
      <c r="F563" s="3">
        <v>31359.33512</v>
      </c>
      <c r="G563" s="3" t="s">
        <v>16</v>
      </c>
      <c r="H563" s="3" t="s">
        <v>17</v>
      </c>
      <c r="I563" s="3">
        <f>IF(C563="India",1,IF(C563="USA",INDEX('Currency Master'!B:B,MATCH(DATE(N563,MONTH(DATEVALUE(O563&amp;" 1")),1),'Currency Master'!A:A,0)),IF(C563="Australia",INDEX('Currency Master'!T:T,MATCH(DATE(N563,MONTH(DATEVALUE(O563&amp;" 1")),1),'Currency Master'!A:A,0)),"")))</f>
        <v>46.591475000000003</v>
      </c>
      <c r="J563" s="3">
        <f t="shared" si="32"/>
        <v>31359.33512</v>
      </c>
      <c r="K563" s="3" t="str">
        <f t="shared" si="33"/>
        <v>₹/Candy</v>
      </c>
      <c r="L563" s="3">
        <v>-5.67E-2</v>
      </c>
      <c r="M563" s="3"/>
      <c r="N563" s="3">
        <f t="shared" si="34"/>
        <v>2001</v>
      </c>
      <c r="O563" s="3" t="str">
        <f t="shared" si="35"/>
        <v>February</v>
      </c>
      <c r="P563" s="3" t="s">
        <v>22</v>
      </c>
      <c r="Q563" s="3"/>
    </row>
    <row r="564" spans="1:17" hidden="1" x14ac:dyDescent="0.3">
      <c r="A564" s="2">
        <v>36892</v>
      </c>
      <c r="B564" s="3" t="s">
        <v>12</v>
      </c>
      <c r="C564" s="3" t="s">
        <v>19</v>
      </c>
      <c r="D564" s="3" t="s">
        <v>20</v>
      </c>
      <c r="E564" s="3" t="s">
        <v>21</v>
      </c>
      <c r="F564" s="3">
        <v>32734.51684</v>
      </c>
      <c r="G564" s="3" t="s">
        <v>16</v>
      </c>
      <c r="H564" s="3" t="s">
        <v>17</v>
      </c>
      <c r="I564" s="3">
        <f>IF(C564="India",1,IF(C564="USA",INDEX('Currency Master'!B:B,MATCH(DATE(N564,MONTH(DATEVALUE(O564&amp;" 1")),1),'Currency Master'!A:A,0)),IF(C564="Australia",INDEX('Currency Master'!T:T,MATCH(DATE(N564,MONTH(DATEVALUE(O564&amp;" 1")),1),'Currency Master'!A:A,0)),"")))</f>
        <v>46.646681000000001</v>
      </c>
      <c r="J564" s="3">
        <f t="shared" si="32"/>
        <v>32734.51684</v>
      </c>
      <c r="K564" s="3" t="str">
        <f t="shared" si="33"/>
        <v>₹/Candy</v>
      </c>
      <c r="L564" s="3">
        <v>-2.76E-2</v>
      </c>
      <c r="M564" s="3"/>
      <c r="N564" s="3">
        <f t="shared" si="34"/>
        <v>2001</v>
      </c>
      <c r="O564" s="3" t="str">
        <f t="shared" si="35"/>
        <v>January</v>
      </c>
      <c r="P564" s="3" t="s">
        <v>22</v>
      </c>
      <c r="Q564" s="3"/>
    </row>
    <row r="565" spans="1:17" hidden="1" x14ac:dyDescent="0.3">
      <c r="A565" s="2">
        <v>36861</v>
      </c>
      <c r="B565" s="3" t="s">
        <v>12</v>
      </c>
      <c r="C565" s="3" t="s">
        <v>19</v>
      </c>
      <c r="D565" s="3" t="s">
        <v>20</v>
      </c>
      <c r="E565" s="3" t="s">
        <v>21</v>
      </c>
      <c r="F565" s="3">
        <v>33625.837599999999</v>
      </c>
      <c r="G565" s="3" t="s">
        <v>16</v>
      </c>
      <c r="H565" s="3" t="s">
        <v>17</v>
      </c>
      <c r="I565" s="3">
        <f>IF(C565="India",1,IF(C565="USA",INDEX('Currency Master'!B:B,MATCH(DATE(N565,MONTH(DATEVALUE(O565&amp;" 1")),1),'Currency Master'!A:A,0)),IF(C565="Australia",INDEX('Currency Master'!T:T,MATCH(DATE(N565,MONTH(DATEVALUE(O565&amp;" 1")),1),'Currency Master'!A:A,0)),"")))</f>
        <v>46.860914000000001</v>
      </c>
      <c r="J565" s="3">
        <f t="shared" si="32"/>
        <v>33625.837599999999</v>
      </c>
      <c r="K565" s="3" t="str">
        <f t="shared" si="33"/>
        <v>₹/Candy</v>
      </c>
      <c r="L565" s="3">
        <v>2.8400000000000002E-2</v>
      </c>
      <c r="M565" s="3"/>
      <c r="N565" s="3">
        <f t="shared" si="34"/>
        <v>2000</v>
      </c>
      <c r="O565" s="3" t="str">
        <f t="shared" si="35"/>
        <v>December</v>
      </c>
      <c r="P565" s="3" t="s">
        <v>22</v>
      </c>
      <c r="Q565" s="3"/>
    </row>
    <row r="566" spans="1:17" hidden="1" x14ac:dyDescent="0.3">
      <c r="A566" s="2">
        <v>36831</v>
      </c>
      <c r="B566" s="3" t="s">
        <v>12</v>
      </c>
      <c r="C566" s="3" t="s">
        <v>19</v>
      </c>
      <c r="D566" s="3" t="s">
        <v>20</v>
      </c>
      <c r="E566" s="3" t="s">
        <v>21</v>
      </c>
      <c r="F566" s="3">
        <v>32999.551720000003</v>
      </c>
      <c r="G566" s="3" t="s">
        <v>16</v>
      </c>
      <c r="H566" s="3" t="s">
        <v>17</v>
      </c>
      <c r="I566" s="3">
        <f>IF(C566="India",1,IF(C566="USA",INDEX('Currency Master'!B:B,MATCH(DATE(N566,MONTH(DATEVALUE(O566&amp;" 1")),1),'Currency Master'!A:A,0)),IF(C566="Australia",INDEX('Currency Master'!T:T,MATCH(DATE(N566,MONTH(DATEVALUE(O566&amp;" 1")),1),'Currency Master'!A:A,0)),"")))</f>
        <v>46.742063000000002</v>
      </c>
      <c r="J566" s="3">
        <f t="shared" si="32"/>
        <v>32999.551720000003</v>
      </c>
      <c r="K566" s="3" t="str">
        <f t="shared" si="33"/>
        <v>₹/Candy</v>
      </c>
      <c r="L566" s="3">
        <v>5.2200000000000003E-2</v>
      </c>
      <c r="M566" s="3"/>
      <c r="N566" s="3">
        <f t="shared" si="34"/>
        <v>2000</v>
      </c>
      <c r="O566" s="3" t="str">
        <f t="shared" si="35"/>
        <v>November</v>
      </c>
      <c r="P566" s="3" t="s">
        <v>22</v>
      </c>
      <c r="Q566" s="3"/>
    </row>
    <row r="567" spans="1:17" hidden="1" x14ac:dyDescent="0.3">
      <c r="A567" s="2">
        <v>36800</v>
      </c>
      <c r="B567" s="3" t="s">
        <v>12</v>
      </c>
      <c r="C567" s="3" t="s">
        <v>19</v>
      </c>
      <c r="D567" s="3" t="s">
        <v>20</v>
      </c>
      <c r="E567" s="3" t="s">
        <v>21</v>
      </c>
      <c r="F567" s="3">
        <v>31701.632679999999</v>
      </c>
      <c r="G567" s="3" t="s">
        <v>16</v>
      </c>
      <c r="H567" s="3" t="s">
        <v>17</v>
      </c>
      <c r="I567" s="3">
        <f>IF(C567="India",1,IF(C567="USA",INDEX('Currency Master'!B:B,MATCH(DATE(N567,MONTH(DATEVALUE(O567&amp;" 1")),1),'Currency Master'!A:A,0)),IF(C567="Australia",INDEX('Currency Master'!T:T,MATCH(DATE(N567,MONTH(DATEVALUE(O567&amp;" 1")),1),'Currency Master'!A:A,0)),"")))</f>
        <v>46.529277999999998</v>
      </c>
      <c r="J567" s="3">
        <f t="shared" si="32"/>
        <v>31701.632679999999</v>
      </c>
      <c r="K567" s="3" t="str">
        <f t="shared" si="33"/>
        <v>₹/Candy</v>
      </c>
      <c r="L567" s="3">
        <v>-1.47E-2</v>
      </c>
      <c r="M567" s="3"/>
      <c r="N567" s="3">
        <f t="shared" si="34"/>
        <v>2000</v>
      </c>
      <c r="O567" s="3" t="str">
        <f t="shared" si="35"/>
        <v>October</v>
      </c>
      <c r="P567" s="3" t="s">
        <v>22</v>
      </c>
      <c r="Q567" s="3"/>
    </row>
    <row r="568" spans="1:17" hidden="1" x14ac:dyDescent="0.3">
      <c r="A568" s="2">
        <v>36770</v>
      </c>
      <c r="B568" s="3" t="s">
        <v>12</v>
      </c>
      <c r="C568" s="3" t="s">
        <v>19</v>
      </c>
      <c r="D568" s="3" t="s">
        <v>20</v>
      </c>
      <c r="E568" s="3" t="s">
        <v>21</v>
      </c>
      <c r="F568" s="3">
        <v>31607.84448</v>
      </c>
      <c r="G568" s="3" t="s">
        <v>16</v>
      </c>
      <c r="H568" s="3" t="s">
        <v>17</v>
      </c>
      <c r="I568" s="3">
        <f>IF(C568="India",1,IF(C568="USA",INDEX('Currency Master'!B:B,MATCH(DATE(N568,MONTH(DATEVALUE(O568&amp;" 1")),1),'Currency Master'!A:A,0)),IF(C568="Australia",INDEX('Currency Master'!T:T,MATCH(DATE(N568,MONTH(DATEVALUE(O568&amp;" 1")),1),'Currency Master'!A:A,0)),"")))</f>
        <v>45.929122999999997</v>
      </c>
      <c r="J568" s="3">
        <f t="shared" si="32"/>
        <v>31607.84448</v>
      </c>
      <c r="K568" s="3" t="str">
        <f t="shared" si="33"/>
        <v>₹/Candy</v>
      </c>
      <c r="L568" s="3">
        <v>1.49E-2</v>
      </c>
      <c r="M568" s="3"/>
      <c r="N568" s="3">
        <f t="shared" si="34"/>
        <v>2000</v>
      </c>
      <c r="O568" s="3" t="str">
        <f t="shared" si="35"/>
        <v>September</v>
      </c>
      <c r="P568" s="3" t="s">
        <v>22</v>
      </c>
      <c r="Q568" s="3"/>
    </row>
    <row r="569" spans="1:17" hidden="1" x14ac:dyDescent="0.3">
      <c r="A569" s="2">
        <v>36739</v>
      </c>
      <c r="B569" s="3" t="s">
        <v>12</v>
      </c>
      <c r="C569" s="3" t="s">
        <v>19</v>
      </c>
      <c r="D569" s="3" t="s">
        <v>20</v>
      </c>
      <c r="E569" s="3" t="s">
        <v>21</v>
      </c>
      <c r="F569" s="3">
        <v>31155.89892</v>
      </c>
      <c r="G569" s="3" t="s">
        <v>16</v>
      </c>
      <c r="H569" s="3" t="s">
        <v>17</v>
      </c>
      <c r="I569" s="3">
        <f>IF(C569="India",1,IF(C569="USA",INDEX('Currency Master'!B:B,MATCH(DATE(N569,MONTH(DATEVALUE(O569&amp;" 1")),1),'Currency Master'!A:A,0)),IF(C569="Australia",INDEX('Currency Master'!T:T,MATCH(DATE(N569,MONTH(DATEVALUE(O569&amp;" 1")),1),'Currency Master'!A:A,0)),"")))</f>
        <v>45.864660999999998</v>
      </c>
      <c r="J569" s="3">
        <f t="shared" si="32"/>
        <v>31155.89892</v>
      </c>
      <c r="K569" s="3" t="str">
        <f t="shared" si="33"/>
        <v>₹/Candy</v>
      </c>
      <c r="L569" s="3">
        <v>3.8800000000000001E-2</v>
      </c>
      <c r="M569" s="3"/>
      <c r="N569" s="3">
        <f t="shared" si="34"/>
        <v>2000</v>
      </c>
      <c r="O569" s="3" t="str">
        <f t="shared" si="35"/>
        <v>August</v>
      </c>
      <c r="P569" s="3" t="s">
        <v>22</v>
      </c>
      <c r="Q569" s="3"/>
    </row>
    <row r="570" spans="1:17" hidden="1" x14ac:dyDescent="0.3">
      <c r="A570" s="2">
        <v>36708</v>
      </c>
      <c r="B570" s="3" t="s">
        <v>12</v>
      </c>
      <c r="C570" s="3" t="s">
        <v>19</v>
      </c>
      <c r="D570" s="3" t="s">
        <v>20</v>
      </c>
      <c r="E570" s="3" t="s">
        <v>21</v>
      </c>
      <c r="F570" s="3">
        <v>29877.638200000001</v>
      </c>
      <c r="G570" s="3" t="s">
        <v>16</v>
      </c>
      <c r="H570" s="3" t="s">
        <v>17</v>
      </c>
      <c r="I570" s="3">
        <f>IF(C570="India",1,IF(C570="USA",INDEX('Currency Master'!B:B,MATCH(DATE(N570,MONTH(DATEVALUE(O570&amp;" 1")),1),'Currency Master'!A:A,0)),IF(C570="Australia",INDEX('Currency Master'!T:T,MATCH(DATE(N570,MONTH(DATEVALUE(O570&amp;" 1")),1),'Currency Master'!A:A,0)),"")))</f>
        <v>44.893577000000001</v>
      </c>
      <c r="J570" s="3">
        <f t="shared" si="32"/>
        <v>29877.638200000001</v>
      </c>
      <c r="K570" s="3" t="str">
        <f t="shared" si="33"/>
        <v>₹/Candy</v>
      </c>
      <c r="L570" s="3">
        <v>-1.5299999999999999E-2</v>
      </c>
      <c r="M570" s="3"/>
      <c r="N570" s="3">
        <f t="shared" si="34"/>
        <v>2000</v>
      </c>
      <c r="O570" s="3" t="str">
        <f t="shared" si="35"/>
        <v>July</v>
      </c>
      <c r="P570" s="3" t="s">
        <v>22</v>
      </c>
      <c r="Q570" s="3"/>
    </row>
    <row r="571" spans="1:17" hidden="1" x14ac:dyDescent="0.3">
      <c r="A571" s="2">
        <v>36678</v>
      </c>
      <c r="B571" s="3" t="s">
        <v>12</v>
      </c>
      <c r="C571" s="3" t="s">
        <v>19</v>
      </c>
      <c r="D571" s="3" t="s">
        <v>20</v>
      </c>
      <c r="E571" s="3" t="s">
        <v>21</v>
      </c>
      <c r="F571" s="3">
        <v>30025.271400000001</v>
      </c>
      <c r="G571" s="3" t="s">
        <v>16</v>
      </c>
      <c r="H571" s="3" t="s">
        <v>17</v>
      </c>
      <c r="I571" s="3">
        <f>IF(C571="India",1,IF(C571="USA",INDEX('Currency Master'!B:B,MATCH(DATE(N571,MONTH(DATEVALUE(O571&amp;" 1")),1),'Currency Master'!A:A,0)),IF(C571="Australia",INDEX('Currency Master'!T:T,MATCH(DATE(N571,MONTH(DATEVALUE(O571&amp;" 1")),1),'Currency Master'!A:A,0)),"")))</f>
        <v>44.735272999999999</v>
      </c>
      <c r="J571" s="3">
        <f t="shared" si="32"/>
        <v>30025.271400000001</v>
      </c>
      <c r="K571" s="3" t="str">
        <f t="shared" si="33"/>
        <v>₹/Candy</v>
      </c>
      <c r="L571" s="3">
        <v>-1.4999999999999999E-2</v>
      </c>
      <c r="M571" s="3"/>
      <c r="N571" s="3">
        <f t="shared" si="34"/>
        <v>2000</v>
      </c>
      <c r="O571" s="3" t="str">
        <f t="shared" si="35"/>
        <v>June</v>
      </c>
      <c r="P571" s="3" t="s">
        <v>22</v>
      </c>
      <c r="Q571" s="3"/>
    </row>
    <row r="572" spans="1:17" hidden="1" x14ac:dyDescent="0.3">
      <c r="A572" s="2">
        <v>36647</v>
      </c>
      <c r="B572" s="3" t="s">
        <v>12</v>
      </c>
      <c r="C572" s="3" t="s">
        <v>19</v>
      </c>
      <c r="D572" s="3" t="s">
        <v>20</v>
      </c>
      <c r="E572" s="3" t="s">
        <v>21</v>
      </c>
      <c r="F572" s="3">
        <v>30335.908100000001</v>
      </c>
      <c r="G572" s="3" t="s">
        <v>16</v>
      </c>
      <c r="H572" s="3" t="s">
        <v>17</v>
      </c>
      <c r="I572" s="3">
        <f>IF(C572="India",1,IF(C572="USA",INDEX('Currency Master'!B:B,MATCH(DATE(N572,MONTH(DATEVALUE(O572&amp;" 1")),1),'Currency Master'!A:A,0)),IF(C572="Australia",INDEX('Currency Master'!T:T,MATCH(DATE(N572,MONTH(DATEVALUE(O572&amp;" 1")),1),'Currency Master'!A:A,0)),"")))</f>
        <v>44.082540999999999</v>
      </c>
      <c r="J572" s="3">
        <f t="shared" si="32"/>
        <v>30335.908100000001</v>
      </c>
      <c r="K572" s="3" t="str">
        <f t="shared" si="33"/>
        <v>₹/Candy</v>
      </c>
      <c r="L572" s="3">
        <v>3.1E-2</v>
      </c>
      <c r="M572" s="3"/>
      <c r="N572" s="3">
        <f t="shared" si="34"/>
        <v>2000</v>
      </c>
      <c r="O572" s="3" t="str">
        <f t="shared" si="35"/>
        <v>May</v>
      </c>
      <c r="P572" s="3" t="s">
        <v>22</v>
      </c>
      <c r="Q572" s="3"/>
    </row>
    <row r="573" spans="1:17" hidden="1" x14ac:dyDescent="0.3">
      <c r="A573" s="2">
        <v>36617</v>
      </c>
      <c r="B573" s="3" t="s">
        <v>12</v>
      </c>
      <c r="C573" s="3" t="s">
        <v>19</v>
      </c>
      <c r="D573" s="3" t="s">
        <v>20</v>
      </c>
      <c r="E573" s="3" t="s">
        <v>21</v>
      </c>
      <c r="F573" s="3">
        <v>29170.408599999999</v>
      </c>
      <c r="G573" s="3" t="s">
        <v>16</v>
      </c>
      <c r="H573" s="3" t="s">
        <v>17</v>
      </c>
      <c r="I573" s="3">
        <f>IF(C573="India",1,IF(C573="USA",INDEX('Currency Master'!B:B,MATCH(DATE(N573,MONTH(DATEVALUE(O573&amp;" 1")),1),'Currency Master'!A:A,0)),IF(C573="Australia",INDEX('Currency Master'!T:T,MATCH(DATE(N573,MONTH(DATEVALUE(O573&amp;" 1")),1),'Currency Master'!A:A,0)),"")))</f>
        <v>43.685499999999998</v>
      </c>
      <c r="J573" s="3">
        <f t="shared" si="32"/>
        <v>29170.408599999999</v>
      </c>
      <c r="K573" s="3" t="str">
        <f t="shared" si="33"/>
        <v>₹/Candy</v>
      </c>
      <c r="L573" s="3">
        <v>2.3800000000000002E-2</v>
      </c>
      <c r="M573" s="3"/>
      <c r="N573" s="3">
        <f t="shared" si="34"/>
        <v>2000</v>
      </c>
      <c r="O573" s="3" t="str">
        <f t="shared" si="35"/>
        <v>April</v>
      </c>
      <c r="P573" s="3" t="s">
        <v>22</v>
      </c>
      <c r="Q573" s="3"/>
    </row>
    <row r="574" spans="1:17" hidden="1" x14ac:dyDescent="0.3">
      <c r="A574" s="2">
        <v>36586</v>
      </c>
      <c r="B574" s="3" t="s">
        <v>12</v>
      </c>
      <c r="C574" s="3" t="s">
        <v>19</v>
      </c>
      <c r="D574" s="3" t="s">
        <v>20</v>
      </c>
      <c r="E574" s="3" t="s">
        <v>21</v>
      </c>
      <c r="F574" s="3">
        <v>28632.937600000001</v>
      </c>
      <c r="G574" s="3" t="s">
        <v>16</v>
      </c>
      <c r="H574" s="3" t="s">
        <v>17</v>
      </c>
      <c r="I574" s="3">
        <f>IF(C574="India",1,IF(C574="USA",INDEX('Currency Master'!B:B,MATCH(DATE(N574,MONTH(DATEVALUE(O574&amp;" 1")),1),'Currency Master'!A:A,0)),IF(C574="Australia",INDEX('Currency Master'!T:T,MATCH(DATE(N574,MONTH(DATEVALUE(O574&amp;" 1")),1),'Currency Master'!A:A,0)),"")))</f>
        <v>43.638261</v>
      </c>
      <c r="J574" s="3">
        <f t="shared" si="32"/>
        <v>28632.937600000001</v>
      </c>
      <c r="K574" s="3" t="str">
        <f t="shared" si="33"/>
        <v>₹/Candy</v>
      </c>
      <c r="L574" s="3">
        <v>6.7799999999999999E-2</v>
      </c>
      <c r="M574" s="3"/>
      <c r="N574" s="3">
        <f t="shared" si="34"/>
        <v>2000</v>
      </c>
      <c r="O574" s="3" t="str">
        <f t="shared" si="35"/>
        <v>March</v>
      </c>
      <c r="P574" s="3" t="s">
        <v>22</v>
      </c>
      <c r="Q574" s="3"/>
    </row>
    <row r="575" spans="1:17" hidden="1" x14ac:dyDescent="0.3">
      <c r="A575" s="2">
        <v>36557</v>
      </c>
      <c r="B575" s="3" t="s">
        <v>12</v>
      </c>
      <c r="C575" s="3" t="s">
        <v>19</v>
      </c>
      <c r="D575" s="3" t="s">
        <v>20</v>
      </c>
      <c r="E575" s="3" t="s">
        <v>21</v>
      </c>
      <c r="F575" s="3">
        <v>27273.506032000001</v>
      </c>
      <c r="G575" s="3" t="s">
        <v>16</v>
      </c>
      <c r="H575" s="3" t="s">
        <v>17</v>
      </c>
      <c r="I575" s="3">
        <f>IF(C575="India",1,IF(C575="USA",INDEX('Currency Master'!B:B,MATCH(DATE(N575,MONTH(DATEVALUE(O575&amp;" 1")),1),'Currency Master'!A:A,0)),IF(C575="Australia",INDEX('Currency Master'!T:T,MATCH(DATE(N575,MONTH(DATEVALUE(O575&amp;" 1")),1),'Currency Master'!A:A,0)),"")))</f>
        <v>43.655237999999997</v>
      </c>
      <c r="J575" s="3">
        <f t="shared" si="32"/>
        <v>27273.506032000001</v>
      </c>
      <c r="K575" s="3" t="str">
        <f t="shared" si="33"/>
        <v>₹/Candy</v>
      </c>
      <c r="L575" s="3">
        <v>0.12379999999999999</v>
      </c>
      <c r="M575" s="3"/>
      <c r="N575" s="3">
        <f t="shared" si="34"/>
        <v>2000</v>
      </c>
      <c r="O575" s="3" t="str">
        <f t="shared" si="35"/>
        <v>February</v>
      </c>
      <c r="P575" s="3" t="s">
        <v>22</v>
      </c>
      <c r="Q575" s="3"/>
    </row>
    <row r="576" spans="1:17" hidden="1" x14ac:dyDescent="0.3">
      <c r="A576" s="2">
        <v>36526</v>
      </c>
      <c r="B576" s="3" t="s">
        <v>12</v>
      </c>
      <c r="C576" s="3" t="s">
        <v>19</v>
      </c>
      <c r="D576" s="3" t="s">
        <v>20</v>
      </c>
      <c r="E576" s="3" t="s">
        <v>21</v>
      </c>
      <c r="F576" s="3">
        <v>25057.727500000001</v>
      </c>
      <c r="G576" s="3" t="s">
        <v>16</v>
      </c>
      <c r="H576" s="3" t="s">
        <v>17</v>
      </c>
      <c r="I576" s="3">
        <f>IF(C576="India",1,IF(C576="USA",INDEX('Currency Master'!B:B,MATCH(DATE(N576,MONTH(DATEVALUE(O576&amp;" 1")),1),'Currency Master'!A:A,0)),IF(C576="Australia",INDEX('Currency Master'!T:T,MATCH(DATE(N576,MONTH(DATEVALUE(O576&amp;" 1")),1),'Currency Master'!A:A,0)),"")))</f>
        <v>43.614533000000002</v>
      </c>
      <c r="J576" s="3">
        <f t="shared" si="32"/>
        <v>25057.727500000001</v>
      </c>
      <c r="K576" s="3" t="str">
        <f t="shared" si="33"/>
        <v>₹/Candy</v>
      </c>
      <c r="L576" s="3">
        <v>8.2500000000000004E-2</v>
      </c>
      <c r="M576" s="3"/>
      <c r="N576" s="3">
        <f t="shared" si="34"/>
        <v>2000</v>
      </c>
      <c r="O576" s="3" t="str">
        <f t="shared" si="35"/>
        <v>January</v>
      </c>
      <c r="P576" s="3" t="s">
        <v>22</v>
      </c>
      <c r="Q576" s="3"/>
    </row>
    <row r="577" spans="1:17" hidden="1" x14ac:dyDescent="0.3">
      <c r="A577" s="2">
        <v>36495</v>
      </c>
      <c r="B577" s="3" t="s">
        <v>12</v>
      </c>
      <c r="C577" s="3" t="s">
        <v>19</v>
      </c>
      <c r="D577" s="3" t="s">
        <v>20</v>
      </c>
      <c r="E577" s="3" t="s">
        <v>21</v>
      </c>
      <c r="F577" s="3">
        <v>23643.562000000002</v>
      </c>
      <c r="G577" s="3" t="s">
        <v>16</v>
      </c>
      <c r="H577" s="3" t="s">
        <v>17</v>
      </c>
      <c r="I577" s="3">
        <f>IF(C577="India",1,IF(C577="USA",INDEX('Currency Master'!B:B,MATCH(DATE(N577,MONTH(DATEVALUE(O577&amp;" 1")),1),'Currency Master'!A:A,0)),IF(C577="Australia",INDEX('Currency Master'!T:T,MATCH(DATE(N577,MONTH(DATEVALUE(O577&amp;" 1")),1),'Currency Master'!A:A,0)),"")))</f>
        <v>43.523913</v>
      </c>
      <c r="J577" s="3">
        <f t="shared" si="32"/>
        <v>23643.562000000002</v>
      </c>
      <c r="K577" s="3" t="str">
        <f t="shared" si="33"/>
        <v>₹/Candy</v>
      </c>
      <c r="L577" s="3">
        <v>-4.9000000000000002E-2</v>
      </c>
      <c r="M577" s="3"/>
      <c r="N577" s="3">
        <f t="shared" si="34"/>
        <v>1999</v>
      </c>
      <c r="O577" s="3" t="str">
        <f t="shared" si="35"/>
        <v>December</v>
      </c>
      <c r="P577" s="3" t="s">
        <v>22</v>
      </c>
      <c r="Q577" s="3"/>
    </row>
    <row r="578" spans="1:17" hidden="1" x14ac:dyDescent="0.3">
      <c r="A578" s="2">
        <v>36465</v>
      </c>
      <c r="B578" s="3" t="s">
        <v>12</v>
      </c>
      <c r="C578" s="3" t="s">
        <v>19</v>
      </c>
      <c r="D578" s="3" t="s">
        <v>20</v>
      </c>
      <c r="E578" s="3" t="s">
        <v>21</v>
      </c>
      <c r="F578" s="3">
        <v>24457.345959999999</v>
      </c>
      <c r="G578" s="3" t="s">
        <v>16</v>
      </c>
      <c r="H578" s="3" t="s">
        <v>17</v>
      </c>
      <c r="I578" s="3">
        <f>IF(C578="India",1,IF(C578="USA",INDEX('Currency Master'!B:B,MATCH(DATE(N578,MONTH(DATEVALUE(O578&amp;" 1")),1),'Currency Master'!A:A,0)),IF(C578="Australia",INDEX('Currency Master'!T:T,MATCH(DATE(N578,MONTH(DATEVALUE(O578&amp;" 1")),1),'Currency Master'!A:A,0)),"")))</f>
        <v>43.460582000000002</v>
      </c>
      <c r="J578" s="3">
        <f t="shared" si="32"/>
        <v>24457.345959999999</v>
      </c>
      <c r="K578" s="3" t="str">
        <f t="shared" si="33"/>
        <v>₹/Candy</v>
      </c>
      <c r="L578" s="3">
        <v>-2.86E-2</v>
      </c>
      <c r="M578" s="3"/>
      <c r="N578" s="3">
        <f t="shared" si="34"/>
        <v>1999</v>
      </c>
      <c r="O578" s="3" t="str">
        <f t="shared" si="35"/>
        <v>November</v>
      </c>
      <c r="P578" s="3" t="s">
        <v>22</v>
      </c>
      <c r="Q578" s="3"/>
    </row>
    <row r="579" spans="1:17" hidden="1" x14ac:dyDescent="0.3">
      <c r="A579" s="2">
        <v>36434</v>
      </c>
      <c r="B579" s="3" t="s">
        <v>12</v>
      </c>
      <c r="C579" s="3" t="s">
        <v>19</v>
      </c>
      <c r="D579" s="3" t="s">
        <v>20</v>
      </c>
      <c r="E579" s="3" t="s">
        <v>21</v>
      </c>
      <c r="F579" s="3">
        <v>24973.435600000001</v>
      </c>
      <c r="G579" s="3" t="s">
        <v>16</v>
      </c>
      <c r="H579" s="3" t="s">
        <v>17</v>
      </c>
      <c r="I579" s="3">
        <f>IF(C579="India",1,IF(C579="USA",INDEX('Currency Master'!B:B,MATCH(DATE(N579,MONTH(DATEVALUE(O579&amp;" 1")),1),'Currency Master'!A:A,0)),IF(C579="Australia",INDEX('Currency Master'!T:T,MATCH(DATE(N579,MONTH(DATEVALUE(O579&amp;" 1")),1),'Currency Master'!A:A,0)),"")))</f>
        <v>43.557690999999998</v>
      </c>
      <c r="J579" s="3">
        <f t="shared" ref="J579:J642" si="36">IF(C579="India",F579,IF(C579="USA",IF(G579="US Cents/Lb",ROUND(((F579/100)/0.453592)*I579*356,0),F579),IF(C579="Australia",IF(G579="AUc/kg",ROUND((F579/100)*I579,2),F579),"")))</f>
        <v>24973.435600000001</v>
      </c>
      <c r="K579" s="3" t="str">
        <f t="shared" ref="K579:K642" si="37">IF(C579="India",G579,IF(C579="USA","₹/Candy",IF(C579="Australia","₹/Kg","")))</f>
        <v>₹/Candy</v>
      </c>
      <c r="L579" s="3">
        <v>-3.6700000000000003E-2</v>
      </c>
      <c r="M579" s="3"/>
      <c r="N579" s="3">
        <f t="shared" ref="N579:N642" si="38">YEAR(A579)</f>
        <v>1999</v>
      </c>
      <c r="O579" s="3" t="str">
        <f t="shared" ref="O579:O642" si="39">TEXT(A579,"mmmm")</f>
        <v>October</v>
      </c>
      <c r="P579" s="3" t="s">
        <v>22</v>
      </c>
      <c r="Q579" s="3"/>
    </row>
    <row r="580" spans="1:17" hidden="1" x14ac:dyDescent="0.3">
      <c r="A580" s="2">
        <v>36404</v>
      </c>
      <c r="B580" s="3" t="s">
        <v>12</v>
      </c>
      <c r="C580" s="3" t="s">
        <v>19</v>
      </c>
      <c r="D580" s="3" t="s">
        <v>20</v>
      </c>
      <c r="E580" s="3" t="s">
        <v>21</v>
      </c>
      <c r="F580" s="3">
        <v>25743.203720000001</v>
      </c>
      <c r="G580" s="3" t="s">
        <v>16</v>
      </c>
      <c r="H580" s="3" t="s">
        <v>17</v>
      </c>
      <c r="I580" s="3">
        <f>IF(C580="India",1,IF(C580="USA",INDEX('Currency Master'!B:B,MATCH(DATE(N580,MONTH(DATEVALUE(O580&amp;" 1")),1),'Currency Master'!A:A,0)),IF(C580="Australia",INDEX('Currency Master'!T:T,MATCH(DATE(N580,MONTH(DATEVALUE(O580&amp;" 1")),1),'Currency Master'!A:A,0)),"")))</f>
        <v>43.613269000000003</v>
      </c>
      <c r="J580" s="3">
        <f t="shared" si="36"/>
        <v>25743.203720000001</v>
      </c>
      <c r="K580" s="3" t="str">
        <f t="shared" si="37"/>
        <v>₹/Candy</v>
      </c>
      <c r="L580" s="3">
        <v>-2.6800000000000001E-2</v>
      </c>
      <c r="M580" s="3"/>
      <c r="N580" s="3">
        <f t="shared" si="38"/>
        <v>1999</v>
      </c>
      <c r="O580" s="3" t="str">
        <f t="shared" si="39"/>
        <v>September</v>
      </c>
      <c r="P580" s="3" t="s">
        <v>22</v>
      </c>
      <c r="Q580" s="3"/>
    </row>
    <row r="581" spans="1:17" hidden="1" x14ac:dyDescent="0.3">
      <c r="A581" s="2">
        <v>36373</v>
      </c>
      <c r="B581" s="3" t="s">
        <v>12</v>
      </c>
      <c r="C581" s="3" t="s">
        <v>19</v>
      </c>
      <c r="D581" s="3" t="s">
        <v>20</v>
      </c>
      <c r="E581" s="3" t="s">
        <v>21</v>
      </c>
      <c r="F581" s="3">
        <v>26196.55904</v>
      </c>
      <c r="G581" s="3" t="s">
        <v>16</v>
      </c>
      <c r="H581" s="3" t="s">
        <v>17</v>
      </c>
      <c r="I581" s="3">
        <f>IF(C581="India",1,IF(C581="USA",INDEX('Currency Master'!B:B,MATCH(DATE(N581,MONTH(DATEVALUE(O581&amp;" 1")),1),'Currency Master'!A:A,0)),IF(C581="Australia",INDEX('Currency Master'!T:T,MATCH(DATE(N581,MONTH(DATEVALUE(O581&amp;" 1")),1),'Currency Master'!A:A,0)),"")))</f>
        <v>43.503182000000002</v>
      </c>
      <c r="J581" s="3">
        <f t="shared" si="36"/>
        <v>26196.55904</v>
      </c>
      <c r="K581" s="3" t="str">
        <f t="shared" si="37"/>
        <v>₹/Candy</v>
      </c>
      <c r="L581" s="3">
        <v>-6.6699999999999995E-2</v>
      </c>
      <c r="M581" s="3"/>
      <c r="N581" s="3">
        <f t="shared" si="38"/>
        <v>1999</v>
      </c>
      <c r="O581" s="3" t="str">
        <f t="shared" si="39"/>
        <v>August</v>
      </c>
      <c r="P581" s="3" t="s">
        <v>22</v>
      </c>
      <c r="Q581" s="3"/>
    </row>
    <row r="582" spans="1:17" hidden="1" x14ac:dyDescent="0.3">
      <c r="A582" s="2">
        <v>36342</v>
      </c>
      <c r="B582" s="3" t="s">
        <v>12</v>
      </c>
      <c r="C582" s="3" t="s">
        <v>19</v>
      </c>
      <c r="D582" s="3" t="s">
        <v>20</v>
      </c>
      <c r="E582" s="3" t="s">
        <v>21</v>
      </c>
      <c r="F582" s="3">
        <v>27491.031999999999</v>
      </c>
      <c r="G582" s="3" t="s">
        <v>16</v>
      </c>
      <c r="H582" s="3" t="s">
        <v>17</v>
      </c>
      <c r="I582" s="3">
        <f>IF(C582="India",1,IF(C582="USA",INDEX('Currency Master'!B:B,MATCH(DATE(N582,MONTH(DATEVALUE(O582&amp;" 1")),1),'Currency Master'!A:A,0)),IF(C582="Australia",INDEX('Currency Master'!T:T,MATCH(DATE(N582,MONTH(DATEVALUE(O582&amp;" 1")),1),'Currency Master'!A:A,0)),"")))</f>
        <v>43.362645999999998</v>
      </c>
      <c r="J582" s="3">
        <f t="shared" si="36"/>
        <v>27491.031999999999</v>
      </c>
      <c r="K582" s="3" t="str">
        <f t="shared" si="37"/>
        <v>₹/Candy</v>
      </c>
      <c r="L582" s="3">
        <v>-6.9800000000000001E-2</v>
      </c>
      <c r="M582" s="3"/>
      <c r="N582" s="3">
        <f t="shared" si="38"/>
        <v>1999</v>
      </c>
      <c r="O582" s="3" t="str">
        <f t="shared" si="39"/>
        <v>July</v>
      </c>
      <c r="P582" s="3" t="s">
        <v>22</v>
      </c>
      <c r="Q582" s="3"/>
    </row>
    <row r="583" spans="1:17" hidden="1" x14ac:dyDescent="0.3">
      <c r="A583" s="2">
        <v>36312</v>
      </c>
      <c r="B583" s="3" t="s">
        <v>12</v>
      </c>
      <c r="C583" s="3" t="s">
        <v>19</v>
      </c>
      <c r="D583" s="3" t="s">
        <v>20</v>
      </c>
      <c r="E583" s="3" t="s">
        <v>21</v>
      </c>
      <c r="F583" s="3">
        <v>29034.014319999998</v>
      </c>
      <c r="G583" s="3" t="s">
        <v>16</v>
      </c>
      <c r="H583" s="3" t="s">
        <v>17</v>
      </c>
      <c r="I583" s="3">
        <f>IF(C583="India",1,IF(C583="USA",INDEX('Currency Master'!B:B,MATCH(DATE(N583,MONTH(DATEVALUE(O583&amp;" 1")),1),'Currency Master'!A:A,0)),IF(C583="Australia",INDEX('Currency Master'!T:T,MATCH(DATE(N583,MONTH(DATEVALUE(O583&amp;" 1")),1),'Currency Master'!A:A,0)),"")))</f>
        <v>43.212727000000001</v>
      </c>
      <c r="J583" s="3">
        <f t="shared" si="36"/>
        <v>29034.014319999998</v>
      </c>
      <c r="K583" s="3" t="str">
        <f t="shared" si="37"/>
        <v>₹/Candy</v>
      </c>
      <c r="L583" s="3">
        <v>-2.2700000000000001E-2</v>
      </c>
      <c r="M583" s="3"/>
      <c r="N583" s="3">
        <f t="shared" si="38"/>
        <v>1999</v>
      </c>
      <c r="O583" s="3" t="str">
        <f t="shared" si="39"/>
        <v>June</v>
      </c>
      <c r="P583" s="3" t="s">
        <v>22</v>
      </c>
      <c r="Q583" s="3"/>
    </row>
    <row r="584" spans="1:17" hidden="1" x14ac:dyDescent="0.3">
      <c r="A584" s="2">
        <v>36281</v>
      </c>
      <c r="B584" s="3" t="s">
        <v>12</v>
      </c>
      <c r="C584" s="3" t="s">
        <v>19</v>
      </c>
      <c r="D584" s="3" t="s">
        <v>20</v>
      </c>
      <c r="E584" s="3" t="s">
        <v>21</v>
      </c>
      <c r="F584" s="3">
        <v>29269.679199999999</v>
      </c>
      <c r="G584" s="3" t="s">
        <v>16</v>
      </c>
      <c r="H584" s="3" t="s">
        <v>17</v>
      </c>
      <c r="I584" s="3">
        <f>IF(C584="India",1,IF(C584="USA",INDEX('Currency Master'!B:B,MATCH(DATE(N584,MONTH(DATEVALUE(O584&amp;" 1")),1),'Currency Master'!A:A,0)),IF(C584="Australia",INDEX('Currency Master'!T:T,MATCH(DATE(N584,MONTH(DATEVALUE(O584&amp;" 1")),1),'Currency Master'!A:A,0)),"")))</f>
        <v>42.878331000000003</v>
      </c>
      <c r="J584" s="3">
        <f t="shared" si="36"/>
        <v>29269.679199999999</v>
      </c>
      <c r="K584" s="3" t="str">
        <f t="shared" si="37"/>
        <v>₹/Candy</v>
      </c>
      <c r="L584" s="3">
        <v>3.9399999999999998E-2</v>
      </c>
      <c r="M584" s="3"/>
      <c r="N584" s="3">
        <f t="shared" si="38"/>
        <v>1999</v>
      </c>
      <c r="O584" s="3" t="str">
        <f t="shared" si="39"/>
        <v>May</v>
      </c>
      <c r="P584" s="3" t="s">
        <v>22</v>
      </c>
      <c r="Q584" s="3"/>
    </row>
    <row r="585" spans="1:17" hidden="1" x14ac:dyDescent="0.3">
      <c r="A585" s="2">
        <v>36251</v>
      </c>
      <c r="B585" s="3" t="s">
        <v>12</v>
      </c>
      <c r="C585" s="3" t="s">
        <v>19</v>
      </c>
      <c r="D585" s="3" t="s">
        <v>20</v>
      </c>
      <c r="E585" s="3" t="s">
        <v>21</v>
      </c>
      <c r="F585" s="3">
        <v>28410.782920000001</v>
      </c>
      <c r="G585" s="3" t="s">
        <v>16</v>
      </c>
      <c r="H585" s="3" t="s">
        <v>17</v>
      </c>
      <c r="I585" s="3">
        <f>IF(C585="India",1,IF(C585="USA",INDEX('Currency Master'!B:B,MATCH(DATE(N585,MONTH(DATEVALUE(O585&amp;" 1")),1),'Currency Master'!A:A,0)),IF(C585="Australia",INDEX('Currency Master'!T:T,MATCH(DATE(N585,MONTH(DATEVALUE(O585&amp;" 1")),1),'Currency Master'!A:A,0)),"")))</f>
        <v>42.796818000000002</v>
      </c>
      <c r="J585" s="3">
        <f t="shared" si="36"/>
        <v>28410.782920000001</v>
      </c>
      <c r="K585" s="3" t="str">
        <f t="shared" si="37"/>
        <v>₹/Candy</v>
      </c>
      <c r="L585" s="3">
        <v>1.6E-2</v>
      </c>
      <c r="M585" s="3"/>
      <c r="N585" s="3">
        <f t="shared" si="38"/>
        <v>1999</v>
      </c>
      <c r="O585" s="3" t="str">
        <f t="shared" si="39"/>
        <v>April</v>
      </c>
      <c r="P585" s="3" t="s">
        <v>22</v>
      </c>
      <c r="Q585" s="3"/>
    </row>
    <row r="586" spans="1:17" hidden="1" x14ac:dyDescent="0.3">
      <c r="A586" s="2">
        <v>36220</v>
      </c>
      <c r="B586" s="3" t="s">
        <v>12</v>
      </c>
      <c r="C586" s="3" t="s">
        <v>19</v>
      </c>
      <c r="D586" s="3" t="s">
        <v>20</v>
      </c>
      <c r="E586" s="3" t="s">
        <v>21</v>
      </c>
      <c r="F586" s="3">
        <v>27877.247500000001</v>
      </c>
      <c r="G586" s="3" t="s">
        <v>16</v>
      </c>
      <c r="H586" s="3" t="s">
        <v>17</v>
      </c>
      <c r="I586" s="3">
        <f>IF(C586="India",1,IF(C586="USA",INDEX('Currency Master'!B:B,MATCH(DATE(N586,MONTH(DATEVALUE(O586&amp;" 1")),1),'Currency Master'!A:A,0)),IF(C586="Australia",INDEX('Currency Master'!T:T,MATCH(DATE(N586,MONTH(DATEVALUE(O586&amp;" 1")),1),'Currency Master'!A:A,0)),"")))</f>
        <v>42.516086999999999</v>
      </c>
      <c r="J586" s="3">
        <f t="shared" si="36"/>
        <v>27877.247500000001</v>
      </c>
      <c r="K586" s="3" t="str">
        <f t="shared" si="37"/>
        <v>₹/Candy</v>
      </c>
      <c r="L586" s="3">
        <v>8.0999999999999996E-3</v>
      </c>
      <c r="M586" s="3"/>
      <c r="N586" s="3">
        <f t="shared" si="38"/>
        <v>1999</v>
      </c>
      <c r="O586" s="3" t="str">
        <f t="shared" si="39"/>
        <v>March</v>
      </c>
      <c r="P586" s="3" t="s">
        <v>22</v>
      </c>
      <c r="Q586" s="3"/>
    </row>
    <row r="587" spans="1:17" hidden="1" x14ac:dyDescent="0.3">
      <c r="A587" s="2">
        <v>36192</v>
      </c>
      <c r="B587" s="3" t="s">
        <v>12</v>
      </c>
      <c r="C587" s="3" t="s">
        <v>19</v>
      </c>
      <c r="D587" s="3" t="s">
        <v>20</v>
      </c>
      <c r="E587" s="3" t="s">
        <v>21</v>
      </c>
      <c r="F587" s="3">
        <v>27844.725119999999</v>
      </c>
      <c r="G587" s="3" t="s">
        <v>16</v>
      </c>
      <c r="H587" s="3" t="s">
        <v>17</v>
      </c>
      <c r="I587" s="3">
        <f>IF(C587="India",1,IF(C587="USA",INDEX('Currency Master'!B:B,MATCH(DATE(N587,MONTH(DATEVALUE(O587&amp;" 1")),1),'Currency Master'!A:A,0)),IF(C587="Australia",INDEX('Currency Master'!T:T,MATCH(DATE(N587,MONTH(DATEVALUE(O587&amp;" 1")),1),'Currency Master'!A:A,0)),"")))</f>
        <v>42.536136999999997</v>
      </c>
      <c r="J587" s="3">
        <f t="shared" si="36"/>
        <v>27844.725119999999</v>
      </c>
      <c r="K587" s="3" t="str">
        <f t="shared" si="37"/>
        <v>₹/Candy</v>
      </c>
      <c r="L587" s="3">
        <v>8.0999999999999996E-3</v>
      </c>
      <c r="M587" s="3"/>
      <c r="N587" s="3">
        <f t="shared" si="38"/>
        <v>1999</v>
      </c>
      <c r="O587" s="3" t="str">
        <f t="shared" si="39"/>
        <v>February</v>
      </c>
      <c r="P587" s="3" t="s">
        <v>22</v>
      </c>
      <c r="Q587" s="3"/>
    </row>
    <row r="588" spans="1:17" hidden="1" x14ac:dyDescent="0.3">
      <c r="A588" s="2">
        <v>36161</v>
      </c>
      <c r="B588" s="3" t="s">
        <v>12</v>
      </c>
      <c r="C588" s="3" t="s">
        <v>19</v>
      </c>
      <c r="D588" s="3" t="s">
        <v>20</v>
      </c>
      <c r="E588" s="3" t="s">
        <v>21</v>
      </c>
      <c r="F588" s="3">
        <v>27586.07332</v>
      </c>
      <c r="G588" s="3" t="s">
        <v>16</v>
      </c>
      <c r="H588" s="3" t="s">
        <v>17</v>
      </c>
      <c r="I588" s="3">
        <f>IF(C588="India",1,IF(C588="USA",INDEX('Currency Master'!B:B,MATCH(DATE(N588,MONTH(DATEVALUE(O588&amp;" 1")),1),'Currency Master'!A:A,0)),IF(C588="Australia",INDEX('Currency Master'!T:T,MATCH(DATE(N588,MONTH(DATEVALUE(O588&amp;" 1")),1),'Currency Master'!A:A,0)),"")))</f>
        <v>42.544345</v>
      </c>
      <c r="J588" s="3">
        <f t="shared" si="36"/>
        <v>27586.07332</v>
      </c>
      <c r="K588" s="3" t="str">
        <f t="shared" si="37"/>
        <v>₹/Candy</v>
      </c>
      <c r="L588" s="3">
        <v>0</v>
      </c>
      <c r="M588" s="3"/>
      <c r="N588" s="3">
        <f t="shared" si="38"/>
        <v>1999</v>
      </c>
      <c r="O588" s="3" t="str">
        <f t="shared" si="39"/>
        <v>January</v>
      </c>
      <c r="P588" s="3" t="s">
        <v>22</v>
      </c>
      <c r="Q588" s="3"/>
    </row>
    <row r="589" spans="1:17" hidden="1" x14ac:dyDescent="0.3">
      <c r="A589" s="2">
        <v>36130</v>
      </c>
      <c r="B589" s="3" t="s">
        <v>12</v>
      </c>
      <c r="C589" s="3" t="s">
        <v>19</v>
      </c>
      <c r="D589" s="3" t="s">
        <v>20</v>
      </c>
      <c r="E589" s="3" t="s">
        <v>21</v>
      </c>
      <c r="F589" s="3">
        <v>27576.43996</v>
      </c>
      <c r="G589" s="3" t="s">
        <v>16</v>
      </c>
      <c r="H589" s="3" t="s">
        <v>17</v>
      </c>
      <c r="I589" s="3">
        <f>IF(C589="India",1,IF(C589="USA",INDEX('Currency Master'!B:B,MATCH(DATE(N589,MONTH(DATEVALUE(O589&amp;" 1")),1),'Currency Master'!A:A,0)),IF(C589="Australia",INDEX('Currency Master'!T:T,MATCH(DATE(N589,MONTH(DATEVALUE(O589&amp;" 1")),1),'Currency Master'!A:A,0)),"")))</f>
        <v>42.591304000000001</v>
      </c>
      <c r="J589" s="3">
        <f t="shared" si="36"/>
        <v>27576.43996</v>
      </c>
      <c r="K589" s="3" t="str">
        <f t="shared" si="37"/>
        <v>₹/Candy</v>
      </c>
      <c r="L589" s="3">
        <v>-8.0999999999999996E-3</v>
      </c>
      <c r="M589" s="3"/>
      <c r="N589" s="3">
        <f t="shared" si="38"/>
        <v>1998</v>
      </c>
      <c r="O589" s="3" t="str">
        <f t="shared" si="39"/>
        <v>December</v>
      </c>
      <c r="P589" s="3" t="s">
        <v>22</v>
      </c>
      <c r="Q589" s="3"/>
    </row>
    <row r="590" spans="1:17" hidden="1" x14ac:dyDescent="0.3">
      <c r="A590" s="2">
        <v>36100</v>
      </c>
      <c r="B590" s="3" t="s">
        <v>12</v>
      </c>
      <c r="C590" s="3" t="s">
        <v>19</v>
      </c>
      <c r="D590" s="3" t="s">
        <v>20</v>
      </c>
      <c r="E590" s="3" t="s">
        <v>21</v>
      </c>
      <c r="F590" s="3">
        <v>27786.455040000001</v>
      </c>
      <c r="G590" s="3" t="s">
        <v>16</v>
      </c>
      <c r="H590" s="3" t="s">
        <v>17</v>
      </c>
      <c r="I590" s="3">
        <f>IF(C590="India",1,IF(C590="USA",INDEX('Currency Master'!B:B,MATCH(DATE(N590,MONTH(DATEVALUE(O590&amp;" 1")),1),'Currency Master'!A:A,0)),IF(C590="Australia",INDEX('Currency Master'!T:T,MATCH(DATE(N590,MONTH(DATEVALUE(O590&amp;" 1")),1),'Currency Master'!A:A,0)),"")))</f>
        <v>42.428359</v>
      </c>
      <c r="J590" s="3">
        <f t="shared" si="36"/>
        <v>27786.455040000001</v>
      </c>
      <c r="K590" s="3" t="str">
        <f t="shared" si="37"/>
        <v>₹/Candy</v>
      </c>
      <c r="L590" s="3">
        <v>-8.8200000000000001E-2</v>
      </c>
      <c r="M590" s="3"/>
      <c r="N590" s="3">
        <f t="shared" si="38"/>
        <v>1998</v>
      </c>
      <c r="O590" s="3" t="str">
        <f t="shared" si="39"/>
        <v>November</v>
      </c>
      <c r="P590" s="3" t="s">
        <v>22</v>
      </c>
      <c r="Q590" s="3"/>
    </row>
    <row r="591" spans="1:17" hidden="1" x14ac:dyDescent="0.3">
      <c r="A591" s="2">
        <v>36069</v>
      </c>
      <c r="B591" s="3" t="s">
        <v>12</v>
      </c>
      <c r="C591" s="3" t="s">
        <v>19</v>
      </c>
      <c r="D591" s="3" t="s">
        <v>20</v>
      </c>
      <c r="E591" s="3" t="s">
        <v>21</v>
      </c>
      <c r="F591" s="3">
        <v>29687.907999999999</v>
      </c>
      <c r="G591" s="3" t="s">
        <v>16</v>
      </c>
      <c r="H591" s="3" t="s">
        <v>17</v>
      </c>
      <c r="I591" s="3">
        <f>IF(C591="India",1,IF(C591="USA",INDEX('Currency Master'!B:B,MATCH(DATE(N591,MONTH(DATEVALUE(O591&amp;" 1")),1),'Currency Master'!A:A,0)),IF(C591="Australia",INDEX('Currency Master'!T:T,MATCH(DATE(N591,MONTH(DATEVALUE(O591&amp;" 1")),1),'Currency Master'!A:A,0)),"")))</f>
        <v>42.412550000000003</v>
      </c>
      <c r="J591" s="3">
        <f t="shared" si="36"/>
        <v>29687.907999999999</v>
      </c>
      <c r="K591" s="3" t="str">
        <f t="shared" si="37"/>
        <v>₹/Candy</v>
      </c>
      <c r="L591" s="3">
        <v>-6.8500000000000005E-2</v>
      </c>
      <c r="M591" s="3"/>
      <c r="N591" s="3">
        <f t="shared" si="38"/>
        <v>1998</v>
      </c>
      <c r="O591" s="3" t="str">
        <f t="shared" si="39"/>
        <v>October</v>
      </c>
      <c r="P591" s="3" t="s">
        <v>22</v>
      </c>
      <c r="Q591" s="3"/>
    </row>
    <row r="592" spans="1:17" hidden="1" x14ac:dyDescent="0.3">
      <c r="A592" s="2">
        <v>36039</v>
      </c>
      <c r="B592" s="3" t="s">
        <v>12</v>
      </c>
      <c r="C592" s="3" t="s">
        <v>19</v>
      </c>
      <c r="D592" s="3" t="s">
        <v>20</v>
      </c>
      <c r="E592" s="3" t="s">
        <v>21</v>
      </c>
      <c r="F592" s="3">
        <v>31378.75848</v>
      </c>
      <c r="G592" s="3" t="s">
        <v>16</v>
      </c>
      <c r="H592" s="3" t="s">
        <v>17</v>
      </c>
      <c r="I592" s="3">
        <f>IF(C592="India",1,IF(C592="USA",INDEX('Currency Master'!B:B,MATCH(DATE(N592,MONTH(DATEVALUE(O592&amp;" 1")),1),'Currency Master'!A:A,0)),IF(C592="Australia",INDEX('Currency Master'!T:T,MATCH(DATE(N592,MONTH(DATEVALUE(O592&amp;" 1")),1),'Currency Master'!A:A,0)),"")))</f>
        <v>42.558653999999997</v>
      </c>
      <c r="J592" s="3">
        <f t="shared" si="36"/>
        <v>31378.75848</v>
      </c>
      <c r="K592" s="3" t="str">
        <f t="shared" si="37"/>
        <v>₹/Candy</v>
      </c>
      <c r="L592" s="3">
        <v>-2.6700000000000002E-2</v>
      </c>
      <c r="M592" s="3"/>
      <c r="N592" s="3">
        <f t="shared" si="38"/>
        <v>1998</v>
      </c>
      <c r="O592" s="3" t="str">
        <f t="shared" si="39"/>
        <v>September</v>
      </c>
      <c r="P592" s="3" t="s">
        <v>22</v>
      </c>
      <c r="Q592" s="3"/>
    </row>
    <row r="593" spans="1:17" hidden="1" x14ac:dyDescent="0.3">
      <c r="A593" s="2">
        <v>36008</v>
      </c>
      <c r="B593" s="3" t="s">
        <v>12</v>
      </c>
      <c r="C593" s="3" t="s">
        <v>19</v>
      </c>
      <c r="D593" s="3" t="s">
        <v>20</v>
      </c>
      <c r="E593" s="3" t="s">
        <v>21</v>
      </c>
      <c r="F593" s="3">
        <v>32099.185000000001</v>
      </c>
      <c r="G593" s="3" t="s">
        <v>16</v>
      </c>
      <c r="H593" s="3" t="s">
        <v>17</v>
      </c>
      <c r="I593" s="3">
        <f>IF(C593="India",1,IF(C593="USA",INDEX('Currency Master'!B:B,MATCH(DATE(N593,MONTH(DATEVALUE(O593&amp;" 1")),1),'Currency Master'!A:A,0)),IF(C593="Australia",INDEX('Currency Master'!T:T,MATCH(DATE(N593,MONTH(DATEVALUE(O593&amp;" 1")),1),'Currency Master'!A:A,0)),"")))</f>
        <v>42.842857000000002</v>
      </c>
      <c r="J593" s="3">
        <f t="shared" si="36"/>
        <v>32099.185000000001</v>
      </c>
      <c r="K593" s="3" t="str">
        <f t="shared" si="37"/>
        <v>₹/Candy</v>
      </c>
      <c r="L593" s="3">
        <v>-2.5999999999999999E-2</v>
      </c>
      <c r="M593" s="3"/>
      <c r="N593" s="3">
        <f t="shared" si="38"/>
        <v>1998</v>
      </c>
      <c r="O593" s="3" t="str">
        <f t="shared" si="39"/>
        <v>August</v>
      </c>
      <c r="P593" s="3" t="s">
        <v>22</v>
      </c>
      <c r="Q593" s="3"/>
    </row>
    <row r="594" spans="1:17" hidden="1" x14ac:dyDescent="0.3">
      <c r="A594" s="2">
        <v>35977</v>
      </c>
      <c r="B594" s="3" t="s">
        <v>12</v>
      </c>
      <c r="C594" s="3" t="s">
        <v>19</v>
      </c>
      <c r="D594" s="3" t="s">
        <v>20</v>
      </c>
      <c r="E594" s="3" t="s">
        <v>21</v>
      </c>
      <c r="F594" s="3">
        <v>32780.373200000002</v>
      </c>
      <c r="G594" s="3" t="s">
        <v>16</v>
      </c>
      <c r="H594" s="3" t="s">
        <v>17</v>
      </c>
      <c r="I594" s="3">
        <f>IF(C594="India",1,IF(C594="USA",INDEX('Currency Master'!B:B,MATCH(DATE(N594,MONTH(DATEVALUE(O594&amp;" 1")),1),'Currency Master'!A:A,0)),IF(C594="Australia",INDEX('Currency Master'!T:T,MATCH(DATE(N594,MONTH(DATEVALUE(O594&amp;" 1")),1),'Currency Master'!A:A,0)),"")))</f>
        <v>42.611826000000001</v>
      </c>
      <c r="J594" s="3">
        <f t="shared" si="36"/>
        <v>32780.373200000002</v>
      </c>
      <c r="K594" s="3" t="str">
        <f t="shared" si="37"/>
        <v>₹/Candy</v>
      </c>
      <c r="L594" s="3">
        <v>1.32E-2</v>
      </c>
      <c r="M594" s="3"/>
      <c r="N594" s="3">
        <f t="shared" si="38"/>
        <v>1998</v>
      </c>
      <c r="O594" s="3" t="str">
        <f t="shared" si="39"/>
        <v>July</v>
      </c>
      <c r="P594" s="3" t="s">
        <v>22</v>
      </c>
      <c r="Q594" s="3"/>
    </row>
    <row r="595" spans="1:17" hidden="1" x14ac:dyDescent="0.3">
      <c r="A595" s="2">
        <v>35947</v>
      </c>
      <c r="B595" s="3" t="s">
        <v>12</v>
      </c>
      <c r="C595" s="3" t="s">
        <v>19</v>
      </c>
      <c r="D595" s="3" t="s">
        <v>20</v>
      </c>
      <c r="E595" s="3" t="s">
        <v>21</v>
      </c>
      <c r="F595" s="3">
        <v>32357.836800000001</v>
      </c>
      <c r="G595" s="3" t="s">
        <v>16</v>
      </c>
      <c r="H595" s="3" t="s">
        <v>17</v>
      </c>
      <c r="I595" s="3">
        <f>IF(C595="India",1,IF(C595="USA",INDEX('Currency Master'!B:B,MATCH(DATE(N595,MONTH(DATEVALUE(O595&amp;" 1")),1),'Currency Master'!A:A,0)),IF(C595="Australia",INDEX('Currency Master'!T:T,MATCH(DATE(N595,MONTH(DATEVALUE(O595&amp;" 1")),1),'Currency Master'!A:A,0)),"")))</f>
        <v>42.366818000000002</v>
      </c>
      <c r="J595" s="3">
        <f t="shared" si="36"/>
        <v>32357.836800000001</v>
      </c>
      <c r="K595" s="3" t="str">
        <f t="shared" si="37"/>
        <v>₹/Candy</v>
      </c>
      <c r="L595" s="3">
        <v>7.0400000000000004E-2</v>
      </c>
      <c r="M595" s="3"/>
      <c r="N595" s="3">
        <f t="shared" si="38"/>
        <v>1998</v>
      </c>
      <c r="O595" s="3" t="str">
        <f t="shared" si="39"/>
        <v>June</v>
      </c>
      <c r="P595" s="3" t="s">
        <v>22</v>
      </c>
      <c r="Q595" s="3"/>
    </row>
    <row r="596" spans="1:17" hidden="1" x14ac:dyDescent="0.3">
      <c r="A596" s="2">
        <v>35916</v>
      </c>
      <c r="B596" s="3" t="s">
        <v>12</v>
      </c>
      <c r="C596" s="3" t="s">
        <v>19</v>
      </c>
      <c r="D596" s="3" t="s">
        <v>20</v>
      </c>
      <c r="E596" s="3" t="s">
        <v>21</v>
      </c>
      <c r="F596" s="3">
        <v>30280.398799999999</v>
      </c>
      <c r="G596" s="3" t="s">
        <v>16</v>
      </c>
      <c r="H596" s="3" t="s">
        <v>17</v>
      </c>
      <c r="I596" s="3">
        <f>IF(C596="India",1,IF(C596="USA",INDEX('Currency Master'!B:B,MATCH(DATE(N596,MONTH(DATEVALUE(O596&amp;" 1")),1),'Currency Master'!A:A,0)),IF(C596="Australia",INDEX('Currency Master'!T:T,MATCH(DATE(N596,MONTH(DATEVALUE(O596&amp;" 1")),1),'Currency Master'!A:A,0)),"")))</f>
        <v>40.482467999999997</v>
      </c>
      <c r="J596" s="3">
        <f t="shared" si="36"/>
        <v>30280.398799999999</v>
      </c>
      <c r="K596" s="3" t="str">
        <f t="shared" si="37"/>
        <v>₹/Candy</v>
      </c>
      <c r="L596" s="3">
        <v>-2.07E-2</v>
      </c>
      <c r="M596" s="3"/>
      <c r="N596" s="3">
        <f t="shared" si="38"/>
        <v>1998</v>
      </c>
      <c r="O596" s="3" t="str">
        <f t="shared" si="39"/>
        <v>May</v>
      </c>
      <c r="P596" s="3" t="s">
        <v>22</v>
      </c>
      <c r="Q596" s="3"/>
    </row>
    <row r="597" spans="1:17" hidden="1" x14ac:dyDescent="0.3">
      <c r="A597" s="2">
        <v>35886</v>
      </c>
      <c r="B597" s="3" t="s">
        <v>12</v>
      </c>
      <c r="C597" s="3" t="s">
        <v>19</v>
      </c>
      <c r="D597" s="3" t="s">
        <v>20</v>
      </c>
      <c r="E597" s="3" t="s">
        <v>21</v>
      </c>
      <c r="F597" s="3">
        <v>29670.971300000001</v>
      </c>
      <c r="G597" s="3" t="s">
        <v>16</v>
      </c>
      <c r="H597" s="3" t="s">
        <v>17</v>
      </c>
      <c r="I597" s="3">
        <f>IF(C597="India",1,IF(C597="USA",INDEX('Currency Master'!B:B,MATCH(DATE(N597,MONTH(DATEVALUE(O597&amp;" 1")),1),'Currency Master'!A:A,0)),IF(C597="Australia",INDEX('Currency Master'!T:T,MATCH(DATE(N597,MONTH(DATEVALUE(O597&amp;" 1")),1),'Currency Master'!A:A,0)),"")))</f>
        <v>39.702908999999998</v>
      </c>
      <c r="J597" s="3">
        <f t="shared" si="36"/>
        <v>29670.971300000001</v>
      </c>
      <c r="K597" s="3" t="str">
        <f t="shared" si="37"/>
        <v>₹/Candy</v>
      </c>
      <c r="L597" s="3">
        <v>-3.9699999999999999E-2</v>
      </c>
      <c r="M597" s="3"/>
      <c r="N597" s="3">
        <f t="shared" si="38"/>
        <v>1998</v>
      </c>
      <c r="O597" s="3" t="str">
        <f t="shared" si="39"/>
        <v>April</v>
      </c>
      <c r="P597" s="3" t="s">
        <v>22</v>
      </c>
      <c r="Q597" s="3"/>
    </row>
    <row r="598" spans="1:17" hidden="1" x14ac:dyDescent="0.3">
      <c r="A598" s="2">
        <v>35855</v>
      </c>
      <c r="B598" s="3" t="s">
        <v>12</v>
      </c>
      <c r="C598" s="3" t="s">
        <v>19</v>
      </c>
      <c r="D598" s="3" t="s">
        <v>20</v>
      </c>
      <c r="E598" s="3" t="s">
        <v>21</v>
      </c>
      <c r="F598" s="3">
        <v>30479.938579999998</v>
      </c>
      <c r="G598" s="3" t="s">
        <v>16</v>
      </c>
      <c r="H598" s="3" t="s">
        <v>17</v>
      </c>
      <c r="I598" s="3">
        <f>IF(C598="India",1,IF(C598="USA",INDEX('Currency Master'!B:B,MATCH(DATE(N598,MONTH(DATEVALUE(O598&amp;" 1")),1),'Currency Master'!A:A,0)),IF(C598="Australia",INDEX('Currency Master'!T:T,MATCH(DATE(N598,MONTH(DATEVALUE(O598&amp;" 1")),1),'Currency Master'!A:A,0)),"")))</f>
        <v>39.568635999999998</v>
      </c>
      <c r="J598" s="3">
        <f t="shared" si="36"/>
        <v>30479.938579999998</v>
      </c>
      <c r="K598" s="3" t="str">
        <f t="shared" si="37"/>
        <v>₹/Candy</v>
      </c>
      <c r="L598" s="3">
        <v>-6.6E-3</v>
      </c>
      <c r="M598" s="3"/>
      <c r="N598" s="3">
        <f t="shared" si="38"/>
        <v>1998</v>
      </c>
      <c r="O598" s="3" t="str">
        <f t="shared" si="39"/>
        <v>March</v>
      </c>
      <c r="P598" s="3" t="s">
        <v>22</v>
      </c>
      <c r="Q598" s="3"/>
    </row>
    <row r="599" spans="1:17" hidden="1" x14ac:dyDescent="0.3">
      <c r="A599" s="2">
        <v>35827</v>
      </c>
      <c r="B599" s="3" t="s">
        <v>12</v>
      </c>
      <c r="C599" s="3" t="s">
        <v>19</v>
      </c>
      <c r="D599" s="3" t="s">
        <v>20</v>
      </c>
      <c r="E599" s="3" t="s">
        <v>21</v>
      </c>
      <c r="F599" s="3">
        <v>30542.379199999999</v>
      </c>
      <c r="G599" s="3" t="s">
        <v>16</v>
      </c>
      <c r="H599" s="3" t="s">
        <v>17</v>
      </c>
      <c r="I599" s="3">
        <f>IF(C599="India",1,IF(C599="USA",INDEX('Currency Master'!B:B,MATCH(DATE(N599,MONTH(DATEVALUE(O599&amp;" 1")),1),'Currency Master'!A:A,0)),IF(C599="Australia",INDEX('Currency Master'!T:T,MATCH(DATE(N599,MONTH(DATEVALUE(O599&amp;" 1")),1),'Currency Master'!A:A,0)),"")))</f>
        <v>38.993597999999999</v>
      </c>
      <c r="J599" s="3">
        <f t="shared" si="36"/>
        <v>30542.379199999999</v>
      </c>
      <c r="K599" s="3" t="str">
        <f t="shared" si="37"/>
        <v>₹/Candy</v>
      </c>
      <c r="L599" s="3">
        <v>-4.3999999999999997E-2</v>
      </c>
      <c r="M599" s="3"/>
      <c r="N599" s="3">
        <f t="shared" si="38"/>
        <v>1998</v>
      </c>
      <c r="O599" s="3" t="str">
        <f t="shared" si="39"/>
        <v>February</v>
      </c>
      <c r="P599" s="3" t="s">
        <v>22</v>
      </c>
      <c r="Q599" s="3"/>
    </row>
    <row r="600" spans="1:17" hidden="1" x14ac:dyDescent="0.3">
      <c r="A600" s="2">
        <v>35796</v>
      </c>
      <c r="B600" s="3" t="s">
        <v>12</v>
      </c>
      <c r="C600" s="3" t="s">
        <v>19</v>
      </c>
      <c r="D600" s="3" t="s">
        <v>20</v>
      </c>
      <c r="E600" s="3" t="s">
        <v>21</v>
      </c>
      <c r="F600" s="3">
        <v>31185.190600000002</v>
      </c>
      <c r="G600" s="3" t="s">
        <v>16</v>
      </c>
      <c r="H600" s="3" t="s">
        <v>17</v>
      </c>
      <c r="I600" s="3">
        <f>IF(C600="India",1,IF(C600="USA",INDEX('Currency Master'!B:B,MATCH(DATE(N600,MONTH(DATEVALUE(O600&amp;" 1")),1),'Currency Master'!A:A,0)),IF(C600="Australia",INDEX('Currency Master'!T:T,MATCH(DATE(N600,MONTH(DATEVALUE(O600&amp;" 1")),1),'Currency Master'!A:A,0)),"")))</f>
        <v>39.421748999999998</v>
      </c>
      <c r="J600" s="3">
        <f t="shared" si="36"/>
        <v>31185.190600000002</v>
      </c>
      <c r="K600" s="3" t="str">
        <f t="shared" si="37"/>
        <v>₹/Candy</v>
      </c>
      <c r="L600" s="3">
        <v>-3.0499999999999999E-2</v>
      </c>
      <c r="M600" s="3"/>
      <c r="N600" s="3">
        <f t="shared" si="38"/>
        <v>1998</v>
      </c>
      <c r="O600" s="3" t="str">
        <f t="shared" si="39"/>
        <v>January</v>
      </c>
      <c r="P600" s="3" t="s">
        <v>22</v>
      </c>
      <c r="Q600" s="3"/>
    </row>
    <row r="601" spans="1:17" hidden="1" x14ac:dyDescent="0.3">
      <c r="A601" s="2">
        <v>35765</v>
      </c>
      <c r="B601" s="3" t="s">
        <v>12</v>
      </c>
      <c r="C601" s="3" t="s">
        <v>19</v>
      </c>
      <c r="D601" s="3" t="s">
        <v>20</v>
      </c>
      <c r="E601" s="3" t="s">
        <v>21</v>
      </c>
      <c r="F601" s="3">
        <v>32295.180799999998</v>
      </c>
      <c r="G601" s="3" t="s">
        <v>16</v>
      </c>
      <c r="H601" s="3" t="s">
        <v>17</v>
      </c>
      <c r="I601" s="3">
        <f>IF(C601="India",1,IF(C601="USA",INDEX('Currency Master'!B:B,MATCH(DATE(N601,MONTH(DATEVALUE(O601&amp;" 1")),1),'Currency Master'!A:A,0)),IF(C601="Australia",INDEX('Currency Master'!T:T,MATCH(DATE(N601,MONTH(DATEVALUE(O601&amp;" 1")),1),'Currency Master'!A:A,0)),"")))</f>
        <v>39.382609000000002</v>
      </c>
      <c r="J601" s="3">
        <f t="shared" si="36"/>
        <v>32295.180799999998</v>
      </c>
      <c r="K601" s="3" t="str">
        <f t="shared" si="37"/>
        <v>₹/Candy</v>
      </c>
      <c r="L601" s="3">
        <v>-3.5299999999999998E-2</v>
      </c>
      <c r="M601" s="3"/>
      <c r="N601" s="3">
        <f t="shared" si="38"/>
        <v>1997</v>
      </c>
      <c r="O601" s="3" t="str">
        <f t="shared" si="39"/>
        <v>December</v>
      </c>
      <c r="P601" s="3" t="s">
        <v>22</v>
      </c>
      <c r="Q601" s="3"/>
    </row>
    <row r="602" spans="1:17" hidden="1" x14ac:dyDescent="0.3">
      <c r="A602" s="2">
        <v>35735</v>
      </c>
      <c r="B602" s="3" t="s">
        <v>12</v>
      </c>
      <c r="C602" s="3" t="s">
        <v>19</v>
      </c>
      <c r="D602" s="3" t="s">
        <v>20</v>
      </c>
      <c r="E602" s="3" t="s">
        <v>21</v>
      </c>
      <c r="F602" s="3">
        <v>32949.936000000002</v>
      </c>
      <c r="G602" s="3" t="s">
        <v>16</v>
      </c>
      <c r="H602" s="3" t="s">
        <v>17</v>
      </c>
      <c r="I602" s="3">
        <f>IF(C602="India",1,IF(C602="USA",INDEX('Currency Master'!B:B,MATCH(DATE(N602,MONTH(DATEVALUE(O602&amp;" 1")),1),'Currency Master'!A:A,0)),IF(C602="Australia",INDEX('Currency Master'!T:T,MATCH(DATE(N602,MONTH(DATEVALUE(O602&amp;" 1")),1),'Currency Master'!A:A,0)),"")))</f>
        <v>37.324874000000001</v>
      </c>
      <c r="J602" s="3">
        <f t="shared" si="36"/>
        <v>32949.936000000002</v>
      </c>
      <c r="K602" s="3" t="str">
        <f t="shared" si="37"/>
        <v>₹/Candy</v>
      </c>
      <c r="L602" s="3">
        <v>-5.7999999999999996E-3</v>
      </c>
      <c r="M602" s="3"/>
      <c r="N602" s="3">
        <f t="shared" si="38"/>
        <v>1997</v>
      </c>
      <c r="O602" s="3" t="str">
        <f t="shared" si="39"/>
        <v>November</v>
      </c>
      <c r="P602" s="3" t="s">
        <v>22</v>
      </c>
      <c r="Q602" s="3"/>
    </row>
    <row r="603" spans="1:17" hidden="1" x14ac:dyDescent="0.3">
      <c r="A603" s="2">
        <v>35704</v>
      </c>
      <c r="B603" s="3" t="s">
        <v>12</v>
      </c>
      <c r="C603" s="3" t="s">
        <v>19</v>
      </c>
      <c r="D603" s="3" t="s">
        <v>20</v>
      </c>
      <c r="E603" s="3" t="s">
        <v>21</v>
      </c>
      <c r="F603" s="3">
        <v>31461.268599999999</v>
      </c>
      <c r="G603" s="3" t="s">
        <v>16</v>
      </c>
      <c r="H603" s="3" t="s">
        <v>17</v>
      </c>
      <c r="I603" s="3">
        <f>IF(C603="India",1,IF(C603="USA",INDEX('Currency Master'!B:B,MATCH(DATE(N603,MONTH(DATEVALUE(O603&amp;" 1")),1),'Currency Master'!A:A,0)),IF(C603="Australia",INDEX('Currency Master'!T:T,MATCH(DATE(N603,MONTH(DATEVALUE(O603&amp;" 1")),1),'Currency Master'!A:A,0)),"")))</f>
        <v>36.305546999999997</v>
      </c>
      <c r="J603" s="3">
        <f t="shared" si="36"/>
        <v>31461.268599999999</v>
      </c>
      <c r="K603" s="3" t="str">
        <f t="shared" si="37"/>
        <v>₹/Candy</v>
      </c>
      <c r="L603" s="3">
        <v>-2.8400000000000002E-2</v>
      </c>
      <c r="M603" s="3"/>
      <c r="N603" s="3">
        <f t="shared" si="38"/>
        <v>1997</v>
      </c>
      <c r="O603" s="3" t="str">
        <f t="shared" si="39"/>
        <v>October</v>
      </c>
      <c r="P603" s="3" t="s">
        <v>22</v>
      </c>
      <c r="Q603" s="3"/>
    </row>
    <row r="604" spans="1:17" hidden="1" x14ac:dyDescent="0.3">
      <c r="A604" s="2">
        <v>35674</v>
      </c>
      <c r="B604" s="3" t="s">
        <v>12</v>
      </c>
      <c r="C604" s="3" t="s">
        <v>19</v>
      </c>
      <c r="D604" s="3" t="s">
        <v>20</v>
      </c>
      <c r="E604" s="3" t="s">
        <v>21</v>
      </c>
      <c r="F604" s="3">
        <v>32052.388800000001</v>
      </c>
      <c r="G604" s="3" t="s">
        <v>16</v>
      </c>
      <c r="H604" s="3" t="s">
        <v>17</v>
      </c>
      <c r="I604" s="3">
        <f>IF(C604="India",1,IF(C604="USA",INDEX('Currency Master'!B:B,MATCH(DATE(N604,MONTH(DATEVALUE(O604&amp;" 1")),1),'Currency Master'!A:A,0)),IF(C604="Australia",INDEX('Currency Master'!T:T,MATCH(DATE(N604,MONTH(DATEVALUE(O604&amp;" 1")),1),'Currency Master'!A:A,0)),"")))</f>
        <v>36.489657999999999</v>
      </c>
      <c r="J604" s="3">
        <f t="shared" si="36"/>
        <v>32052.388800000001</v>
      </c>
      <c r="K604" s="3" t="str">
        <f t="shared" si="37"/>
        <v>₹/Candy</v>
      </c>
      <c r="L604" s="3">
        <v>-1.6799999999999999E-2</v>
      </c>
      <c r="M604" s="3"/>
      <c r="N604" s="3">
        <f t="shared" si="38"/>
        <v>1997</v>
      </c>
      <c r="O604" s="3" t="str">
        <f t="shared" si="39"/>
        <v>September</v>
      </c>
      <c r="P604" s="3" t="s">
        <v>22</v>
      </c>
      <c r="Q604" s="3"/>
    </row>
    <row r="605" spans="1:17" hidden="1" x14ac:dyDescent="0.3">
      <c r="A605" s="2">
        <v>35643</v>
      </c>
      <c r="B605" s="3" t="s">
        <v>12</v>
      </c>
      <c r="C605" s="3" t="s">
        <v>19</v>
      </c>
      <c r="D605" s="3" t="s">
        <v>20</v>
      </c>
      <c r="E605" s="3" t="s">
        <v>21</v>
      </c>
      <c r="F605" s="3">
        <v>32638.594420000001</v>
      </c>
      <c r="G605" s="3" t="s">
        <v>16</v>
      </c>
      <c r="H605" s="3" t="s">
        <v>17</v>
      </c>
      <c r="I605" s="3">
        <f>IF(C605="India",1,IF(C605="USA",INDEX('Currency Master'!B:B,MATCH(DATE(N605,MONTH(DATEVALUE(O605&amp;" 1")),1),'Currency Master'!A:A,0)),IF(C605="Australia",INDEX('Currency Master'!T:T,MATCH(DATE(N605,MONTH(DATEVALUE(O605&amp;" 1")),1),'Currency Master'!A:A,0)),"")))</f>
        <v>36.008476000000002</v>
      </c>
      <c r="J605" s="3">
        <f t="shared" si="36"/>
        <v>32638.594420000001</v>
      </c>
      <c r="K605" s="3" t="str">
        <f t="shared" si="37"/>
        <v>₹/Candy</v>
      </c>
      <c r="L605" s="3">
        <v>0</v>
      </c>
      <c r="M605" s="3"/>
      <c r="N605" s="3">
        <f t="shared" si="38"/>
        <v>1997</v>
      </c>
      <c r="O605" s="3" t="str">
        <f t="shared" si="39"/>
        <v>August</v>
      </c>
      <c r="P605" s="3" t="s">
        <v>22</v>
      </c>
      <c r="Q605" s="3"/>
    </row>
    <row r="606" spans="1:17" hidden="1" x14ac:dyDescent="0.3">
      <c r="A606" s="2">
        <v>35612</v>
      </c>
      <c r="B606" s="3" t="s">
        <v>12</v>
      </c>
      <c r="C606" s="3" t="s">
        <v>19</v>
      </c>
      <c r="D606" s="3" t="s">
        <v>20</v>
      </c>
      <c r="E606" s="3" t="s">
        <v>21</v>
      </c>
      <c r="F606" s="3">
        <v>32144.414799999999</v>
      </c>
      <c r="G606" s="3" t="s">
        <v>16</v>
      </c>
      <c r="H606" s="3" t="s">
        <v>17</v>
      </c>
      <c r="I606" s="3">
        <f>IF(C606="India",1,IF(C606="USA",INDEX('Currency Master'!B:B,MATCH(DATE(N606,MONTH(DATEVALUE(O606&amp;" 1")),1),'Currency Master'!A:A,0)),IF(C606="Australia",INDEX('Currency Master'!T:T,MATCH(DATE(N606,MONTH(DATEVALUE(O606&amp;" 1")),1),'Currency Master'!A:A,0)),"")))</f>
        <v>35.746968000000003</v>
      </c>
      <c r="J606" s="3">
        <f t="shared" si="36"/>
        <v>32144.414799999999</v>
      </c>
      <c r="K606" s="3" t="str">
        <f t="shared" si="37"/>
        <v>₹/Candy</v>
      </c>
      <c r="L606" s="3">
        <v>5.5999999999999999E-3</v>
      </c>
      <c r="M606" s="3"/>
      <c r="N606" s="3">
        <f t="shared" si="38"/>
        <v>1997</v>
      </c>
      <c r="O606" s="3" t="str">
        <f t="shared" si="39"/>
        <v>July</v>
      </c>
      <c r="P606" s="3" t="s">
        <v>22</v>
      </c>
      <c r="Q606" s="3"/>
    </row>
    <row r="607" spans="1:17" hidden="1" x14ac:dyDescent="0.3">
      <c r="A607" s="2">
        <v>35582</v>
      </c>
      <c r="B607" s="3" t="s">
        <v>12</v>
      </c>
      <c r="C607" s="3" t="s">
        <v>19</v>
      </c>
      <c r="D607" s="3" t="s">
        <v>20</v>
      </c>
      <c r="E607" s="3" t="s">
        <v>21</v>
      </c>
      <c r="F607" s="3">
        <v>32074.3184</v>
      </c>
      <c r="G607" s="3" t="s">
        <v>16</v>
      </c>
      <c r="H607" s="3" t="s">
        <v>17</v>
      </c>
      <c r="I607" s="3">
        <f>IF(C607="India",1,IF(C607="USA",INDEX('Currency Master'!B:B,MATCH(DATE(N607,MONTH(DATEVALUE(O607&amp;" 1")),1),'Currency Master'!A:A,0)),IF(C607="Australia",INDEX('Currency Master'!T:T,MATCH(DATE(N607,MONTH(DATEVALUE(O607&amp;" 1")),1),'Currency Master'!A:A,0)),"")))</f>
        <v>35.820189999999997</v>
      </c>
      <c r="J607" s="3">
        <f t="shared" si="36"/>
        <v>32074.3184</v>
      </c>
      <c r="K607" s="3" t="str">
        <f t="shared" si="37"/>
        <v>₹/Candy</v>
      </c>
      <c r="L607" s="3">
        <v>1.7100000000000001E-2</v>
      </c>
      <c r="M607" s="3"/>
      <c r="N607" s="3">
        <f t="shared" si="38"/>
        <v>1997</v>
      </c>
      <c r="O607" s="3" t="str">
        <f t="shared" si="39"/>
        <v>June</v>
      </c>
      <c r="P607" s="3" t="s">
        <v>22</v>
      </c>
      <c r="Q607" s="3"/>
    </row>
    <row r="608" spans="1:17" hidden="1" x14ac:dyDescent="0.3">
      <c r="A608" s="2">
        <v>35551</v>
      </c>
      <c r="B608" s="3" t="s">
        <v>12</v>
      </c>
      <c r="C608" s="3" t="s">
        <v>19</v>
      </c>
      <c r="D608" s="3" t="s">
        <v>20</v>
      </c>
      <c r="E608" s="3" t="s">
        <v>21</v>
      </c>
      <c r="F608" s="3">
        <v>31633.181</v>
      </c>
      <c r="G608" s="3" t="s">
        <v>16</v>
      </c>
      <c r="H608" s="3" t="s">
        <v>17</v>
      </c>
      <c r="I608" s="3">
        <f>IF(C608="India",1,IF(C608="USA",INDEX('Currency Master'!B:B,MATCH(DATE(N608,MONTH(DATEVALUE(O608&amp;" 1")),1),'Currency Master'!A:A,0)),IF(C608="Australia",INDEX('Currency Master'!T:T,MATCH(DATE(N608,MONTH(DATEVALUE(O608&amp;" 1")),1),'Currency Master'!A:A,0)),"")))</f>
        <v>35.817919000000003</v>
      </c>
      <c r="J608" s="3">
        <f t="shared" si="36"/>
        <v>31633.181</v>
      </c>
      <c r="K608" s="3" t="str">
        <f t="shared" si="37"/>
        <v>₹/Candy</v>
      </c>
      <c r="L608" s="3">
        <v>5.7000000000000002E-3</v>
      </c>
      <c r="M608" s="3"/>
      <c r="N608" s="3">
        <f t="shared" si="38"/>
        <v>1997</v>
      </c>
      <c r="O608" s="3" t="str">
        <f t="shared" si="39"/>
        <v>May</v>
      </c>
      <c r="P608" s="3" t="s">
        <v>22</v>
      </c>
      <c r="Q608" s="3"/>
    </row>
    <row r="609" spans="1:17" hidden="1" x14ac:dyDescent="0.3">
      <c r="A609" s="2">
        <v>35521</v>
      </c>
      <c r="B609" s="3" t="s">
        <v>12</v>
      </c>
      <c r="C609" s="3" t="s">
        <v>19</v>
      </c>
      <c r="D609" s="3" t="s">
        <v>20</v>
      </c>
      <c r="E609" s="3" t="s">
        <v>21</v>
      </c>
      <c r="F609" s="3">
        <v>31486.291840000002</v>
      </c>
      <c r="G609" s="3" t="s">
        <v>16</v>
      </c>
      <c r="H609" s="3" t="s">
        <v>17</v>
      </c>
      <c r="I609" s="3">
        <f>IF(C609="India",1,IF(C609="USA",INDEX('Currency Master'!B:B,MATCH(DATE(N609,MONTH(DATEVALUE(O609&amp;" 1")),1),'Currency Master'!A:A,0)),IF(C609="Australia",INDEX('Currency Master'!T:T,MATCH(DATE(N609,MONTH(DATEVALUE(O609&amp;" 1")),1),'Currency Master'!A:A,0)),"")))</f>
        <v>35.828136000000001</v>
      </c>
      <c r="J609" s="3">
        <f t="shared" si="36"/>
        <v>31486.291840000002</v>
      </c>
      <c r="K609" s="3" t="str">
        <f t="shared" si="37"/>
        <v>₹/Candy</v>
      </c>
      <c r="L609" s="3">
        <v>-2.2499999999999999E-2</v>
      </c>
      <c r="M609" s="3"/>
      <c r="N609" s="3">
        <f t="shared" si="38"/>
        <v>1997</v>
      </c>
      <c r="O609" s="3" t="str">
        <f t="shared" si="39"/>
        <v>April</v>
      </c>
      <c r="P609" s="3" t="s">
        <v>22</v>
      </c>
      <c r="Q609" s="3"/>
    </row>
    <row r="610" spans="1:17" hidden="1" x14ac:dyDescent="0.3">
      <c r="A610" s="2">
        <v>35490</v>
      </c>
      <c r="B610" s="3" t="s">
        <v>12</v>
      </c>
      <c r="C610" s="3" t="s">
        <v>19</v>
      </c>
      <c r="D610" s="3" t="s">
        <v>20</v>
      </c>
      <c r="E610" s="3" t="s">
        <v>21</v>
      </c>
      <c r="F610" s="3">
        <v>32126.597000000002</v>
      </c>
      <c r="G610" s="3" t="s">
        <v>16</v>
      </c>
      <c r="H610" s="3" t="s">
        <v>17</v>
      </c>
      <c r="I610" s="3">
        <f>IF(C610="India",1,IF(C610="USA",INDEX('Currency Master'!B:B,MATCH(DATE(N610,MONTH(DATEVALUE(O610&amp;" 1")),1),'Currency Master'!A:A,0)),IF(C610="Australia",INDEX('Currency Master'!T:T,MATCH(DATE(N610,MONTH(DATEVALUE(O610&amp;" 1")),1),'Currency Master'!A:A,0)),"")))</f>
        <v>35.884762000000002</v>
      </c>
      <c r="J610" s="3">
        <f t="shared" si="36"/>
        <v>32126.597000000002</v>
      </c>
      <c r="K610" s="3" t="str">
        <f t="shared" si="37"/>
        <v>₹/Candy</v>
      </c>
      <c r="L610" s="3">
        <v>5.5999999999999999E-3</v>
      </c>
      <c r="M610" s="3"/>
      <c r="N610" s="3">
        <f t="shared" si="38"/>
        <v>1997</v>
      </c>
      <c r="O610" s="3" t="str">
        <f t="shared" si="39"/>
        <v>March</v>
      </c>
      <c r="P610" s="3" t="s">
        <v>22</v>
      </c>
      <c r="Q610" s="3"/>
    </row>
    <row r="611" spans="1:17" hidden="1" x14ac:dyDescent="0.3">
      <c r="A611" s="2">
        <v>35462</v>
      </c>
      <c r="B611" s="3" t="s">
        <v>12</v>
      </c>
      <c r="C611" s="3" t="s">
        <v>19</v>
      </c>
      <c r="D611" s="3" t="s">
        <v>20</v>
      </c>
      <c r="E611" s="3" t="s">
        <v>21</v>
      </c>
      <c r="F611" s="3">
        <v>31975.713520000001</v>
      </c>
      <c r="G611" s="3" t="s">
        <v>16</v>
      </c>
      <c r="H611" s="3" t="s">
        <v>17</v>
      </c>
      <c r="I611" s="3">
        <f>IF(C611="India",1,IF(C611="USA",INDEX('Currency Master'!B:B,MATCH(DATE(N611,MONTH(DATEVALUE(O611&amp;" 1")),1),'Currency Master'!A:A,0)),IF(C611="Australia",INDEX('Currency Master'!T:T,MATCH(DATE(N611,MONTH(DATEVALUE(O611&amp;" 1")),1),'Currency Master'!A:A,0)),"")))</f>
        <v>35.898850000000003</v>
      </c>
      <c r="J611" s="3">
        <f t="shared" si="36"/>
        <v>31975.713520000001</v>
      </c>
      <c r="K611" s="3" t="str">
        <f t="shared" si="37"/>
        <v>₹/Candy</v>
      </c>
      <c r="L611" s="3">
        <v>5.7000000000000002E-3</v>
      </c>
      <c r="M611" s="3"/>
      <c r="N611" s="3">
        <f t="shared" si="38"/>
        <v>1997</v>
      </c>
      <c r="O611" s="3" t="str">
        <f t="shared" si="39"/>
        <v>February</v>
      </c>
      <c r="P611" s="3" t="s">
        <v>22</v>
      </c>
      <c r="Q611" s="3"/>
    </row>
    <row r="612" spans="1:17" hidden="1" x14ac:dyDescent="0.3">
      <c r="A612" s="2">
        <v>35431</v>
      </c>
      <c r="B612" s="3" t="s">
        <v>12</v>
      </c>
      <c r="C612" s="3" t="s">
        <v>19</v>
      </c>
      <c r="D612" s="3" t="s">
        <v>20</v>
      </c>
      <c r="E612" s="3" t="s">
        <v>21</v>
      </c>
      <c r="F612" s="3">
        <v>31828.393599999999</v>
      </c>
      <c r="G612" s="3" t="s">
        <v>16</v>
      </c>
      <c r="H612" s="3" t="s">
        <v>17</v>
      </c>
      <c r="I612" s="3">
        <f>IF(C612="India",1,IF(C612="USA",INDEX('Currency Master'!B:B,MATCH(DATE(N612,MONTH(DATEVALUE(O612&amp;" 1")),1),'Currency Master'!A:A,0)),IF(C612="Australia",INDEX('Currency Master'!T:T,MATCH(DATE(N612,MONTH(DATEVALUE(O612&amp;" 1")),1),'Currency Master'!A:A,0)),"")))</f>
        <v>35.922632</v>
      </c>
      <c r="J612" s="3">
        <f t="shared" si="36"/>
        <v>31828.393599999999</v>
      </c>
      <c r="K612" s="3" t="str">
        <f t="shared" si="37"/>
        <v>₹/Candy</v>
      </c>
      <c r="L612" s="3">
        <v>5.7000000000000002E-3</v>
      </c>
      <c r="M612" s="3"/>
      <c r="N612" s="3">
        <f t="shared" si="38"/>
        <v>1997</v>
      </c>
      <c r="O612" s="3" t="str">
        <f t="shared" si="39"/>
        <v>January</v>
      </c>
      <c r="P612" s="3" t="s">
        <v>22</v>
      </c>
      <c r="Q612" s="3"/>
    </row>
    <row r="613" spans="1:17" hidden="1" x14ac:dyDescent="0.3">
      <c r="A613" s="2">
        <v>35400</v>
      </c>
      <c r="B613" s="3" t="s">
        <v>12</v>
      </c>
      <c r="C613" s="3" t="s">
        <v>19</v>
      </c>
      <c r="D613" s="3" t="s">
        <v>20</v>
      </c>
      <c r="E613" s="3" t="s">
        <v>21</v>
      </c>
      <c r="F613" s="3">
        <v>31688.005000000001</v>
      </c>
      <c r="G613" s="3" t="s">
        <v>16</v>
      </c>
      <c r="H613" s="3" t="s">
        <v>17</v>
      </c>
      <c r="I613" s="3">
        <f>IF(C613="India",1,IF(C613="USA",INDEX('Currency Master'!B:B,MATCH(DATE(N613,MONTH(DATEVALUE(O613&amp;" 1")),1),'Currency Master'!A:A,0)),IF(C613="Australia",INDEX('Currency Master'!T:T,MATCH(DATE(N613,MONTH(DATEVALUE(O613&amp;" 1")),1),'Currency Master'!A:A,0)),"")))</f>
        <v>35.880091</v>
      </c>
      <c r="J613" s="3">
        <f t="shared" si="36"/>
        <v>31688.005000000001</v>
      </c>
      <c r="K613" s="3" t="str">
        <f t="shared" si="37"/>
        <v>₹/Candy</v>
      </c>
      <c r="L613" s="3">
        <v>4.1700000000000001E-2</v>
      </c>
      <c r="M613" s="3"/>
      <c r="N613" s="3">
        <f t="shared" si="38"/>
        <v>1996</v>
      </c>
      <c r="O613" s="3" t="str">
        <f t="shared" si="39"/>
        <v>December</v>
      </c>
      <c r="P613" s="3" t="s">
        <v>22</v>
      </c>
      <c r="Q613" s="3"/>
    </row>
    <row r="614" spans="1:17" hidden="1" x14ac:dyDescent="0.3">
      <c r="A614" s="2">
        <v>35370</v>
      </c>
      <c r="B614" s="3" t="s">
        <v>12</v>
      </c>
      <c r="C614" s="3" t="s">
        <v>19</v>
      </c>
      <c r="D614" s="3" t="s">
        <v>20</v>
      </c>
      <c r="E614" s="3" t="s">
        <v>21</v>
      </c>
      <c r="F614" s="3">
        <v>30621.075135999999</v>
      </c>
      <c r="G614" s="3" t="s">
        <v>16</v>
      </c>
      <c r="H614" s="3" t="s">
        <v>17</v>
      </c>
      <c r="I614" s="3">
        <f>IF(C614="India",1,IF(C614="USA",INDEX('Currency Master'!B:B,MATCH(DATE(N614,MONTH(DATEVALUE(O614&amp;" 1")),1),'Currency Master'!A:A,0)),IF(C614="Australia",INDEX('Currency Master'!T:T,MATCH(DATE(N614,MONTH(DATEVALUE(O614&amp;" 1")),1),'Currency Master'!A:A,0)),"")))</f>
        <v>35.851078000000001</v>
      </c>
      <c r="J614" s="3">
        <f t="shared" si="36"/>
        <v>30621.075135999999</v>
      </c>
      <c r="K614" s="3" t="str">
        <f t="shared" si="37"/>
        <v>₹/Candy</v>
      </c>
      <c r="L614" s="3">
        <v>1.2E-2</v>
      </c>
      <c r="M614" s="3"/>
      <c r="N614" s="3">
        <f t="shared" si="38"/>
        <v>1996</v>
      </c>
      <c r="O614" s="3" t="str">
        <f t="shared" si="39"/>
        <v>November</v>
      </c>
      <c r="P614" s="3" t="s">
        <v>22</v>
      </c>
      <c r="Q614" s="3"/>
    </row>
    <row r="615" spans="1:17" hidden="1" x14ac:dyDescent="0.3">
      <c r="A615" s="2">
        <v>35339</v>
      </c>
      <c r="B615" s="3" t="s">
        <v>12</v>
      </c>
      <c r="C615" s="3" t="s">
        <v>19</v>
      </c>
      <c r="D615" s="3" t="s">
        <v>20</v>
      </c>
      <c r="E615" s="3" t="s">
        <v>21</v>
      </c>
      <c r="F615" s="3">
        <v>30326.999199999998</v>
      </c>
      <c r="G615" s="3" t="s">
        <v>16</v>
      </c>
      <c r="H615" s="3" t="s">
        <v>17</v>
      </c>
      <c r="I615" s="3">
        <f>IF(C615="India",1,IF(C615="USA",INDEX('Currency Master'!B:B,MATCH(DATE(N615,MONTH(DATEVALUE(O615&amp;" 1")),1),'Currency Master'!A:A,0)),IF(C615="Australia",INDEX('Currency Master'!T:T,MATCH(DATE(N615,MONTH(DATEVALUE(O615&amp;" 1")),1),'Currency Master'!A:A,0)),"")))</f>
        <v>35.800514999999997</v>
      </c>
      <c r="J615" s="3">
        <f t="shared" si="36"/>
        <v>30326.999199999998</v>
      </c>
      <c r="K615" s="3" t="str">
        <f t="shared" si="37"/>
        <v>₹/Candy</v>
      </c>
      <c r="L615" s="3">
        <v>0</v>
      </c>
      <c r="M615" s="3"/>
      <c r="N615" s="3">
        <f t="shared" si="38"/>
        <v>1996</v>
      </c>
      <c r="O615" s="3" t="str">
        <f t="shared" si="39"/>
        <v>October</v>
      </c>
      <c r="P615" s="3" t="s">
        <v>22</v>
      </c>
      <c r="Q615" s="3"/>
    </row>
    <row r="616" spans="1:17" hidden="1" x14ac:dyDescent="0.3">
      <c r="A616" s="2">
        <v>35309</v>
      </c>
      <c r="B616" s="3" t="s">
        <v>12</v>
      </c>
      <c r="C616" s="3" t="s">
        <v>19</v>
      </c>
      <c r="D616" s="3" t="s">
        <v>20</v>
      </c>
      <c r="E616" s="3" t="s">
        <v>21</v>
      </c>
      <c r="F616" s="3">
        <v>30294.4964</v>
      </c>
      <c r="G616" s="3" t="s">
        <v>16</v>
      </c>
      <c r="H616" s="3" t="s">
        <v>17</v>
      </c>
      <c r="I616" s="3">
        <f>IF(C616="India",1,IF(C616="USA",INDEX('Currency Master'!B:B,MATCH(DATE(N616,MONTH(DATEVALUE(O616&amp;" 1")),1),'Currency Master'!A:A,0)),IF(C616="Australia",INDEX('Currency Master'!T:T,MATCH(DATE(N616,MONTH(DATEVALUE(O616&amp;" 1")),1),'Currency Master'!A:A,0)),"")))</f>
        <v>35.868250000000003</v>
      </c>
      <c r="J616" s="3">
        <f t="shared" si="36"/>
        <v>30294.4964</v>
      </c>
      <c r="K616" s="3" t="str">
        <f t="shared" si="37"/>
        <v>₹/Candy</v>
      </c>
      <c r="L616" s="3">
        <v>-1.1900000000000001E-2</v>
      </c>
      <c r="M616" s="3"/>
      <c r="N616" s="3">
        <f t="shared" si="38"/>
        <v>1996</v>
      </c>
      <c r="O616" s="3" t="str">
        <f t="shared" si="39"/>
        <v>September</v>
      </c>
      <c r="P616" s="3" t="s">
        <v>22</v>
      </c>
      <c r="Q616" s="3"/>
    </row>
    <row r="617" spans="1:17" hidden="1" x14ac:dyDescent="0.3">
      <c r="A617" s="2">
        <v>35278</v>
      </c>
      <c r="B617" s="3" t="s">
        <v>12</v>
      </c>
      <c r="C617" s="3" t="s">
        <v>19</v>
      </c>
      <c r="D617" s="3" t="s">
        <v>20</v>
      </c>
      <c r="E617" s="3" t="s">
        <v>21</v>
      </c>
      <c r="F617" s="3">
        <v>30573.707200000001</v>
      </c>
      <c r="G617" s="3" t="s">
        <v>16</v>
      </c>
      <c r="H617" s="3" t="s">
        <v>17</v>
      </c>
      <c r="I617" s="3">
        <f>IF(C617="India",1,IF(C617="USA",INDEX('Currency Master'!B:B,MATCH(DATE(N617,MONTH(DATEVALUE(O617&amp;" 1")),1),'Currency Master'!A:A,0)),IF(C617="Australia",INDEX('Currency Master'!T:T,MATCH(DATE(N617,MONTH(DATEVALUE(O617&amp;" 1")),1),'Currency Master'!A:A,0)),"")))</f>
        <v>35.799999999999997</v>
      </c>
      <c r="J617" s="3">
        <f t="shared" si="36"/>
        <v>30573.707200000001</v>
      </c>
      <c r="K617" s="3" t="str">
        <f t="shared" si="37"/>
        <v>₹/Candy</v>
      </c>
      <c r="L617" s="3">
        <v>-4.5499999999999999E-2</v>
      </c>
      <c r="M617" s="3"/>
      <c r="N617" s="3">
        <f t="shared" si="38"/>
        <v>1996</v>
      </c>
      <c r="O617" s="3" t="str">
        <f t="shared" si="39"/>
        <v>August</v>
      </c>
      <c r="P617" s="3" t="s">
        <v>22</v>
      </c>
      <c r="Q617" s="3"/>
    </row>
    <row r="618" spans="1:17" hidden="1" x14ac:dyDescent="0.3">
      <c r="A618" s="2">
        <v>35247</v>
      </c>
      <c r="B618" s="3" t="s">
        <v>12</v>
      </c>
      <c r="C618" s="3" t="s">
        <v>19</v>
      </c>
      <c r="D618" s="3" t="s">
        <v>20</v>
      </c>
      <c r="E618" s="3" t="s">
        <v>21</v>
      </c>
      <c r="F618" s="3">
        <v>31621.628799999999</v>
      </c>
      <c r="G618" s="3" t="s">
        <v>16</v>
      </c>
      <c r="H618" s="3" t="s">
        <v>17</v>
      </c>
      <c r="I618" s="3">
        <f>IF(C618="India",1,IF(C618="USA",INDEX('Currency Master'!B:B,MATCH(DATE(N618,MONTH(DATEVALUE(O618&amp;" 1")),1),'Currency Master'!A:A,0)),IF(C618="Australia",INDEX('Currency Master'!T:T,MATCH(DATE(N618,MONTH(DATEVALUE(O618&amp;" 1")),1),'Currency Master'!A:A,0)),"")))</f>
        <v>35.636952000000001</v>
      </c>
      <c r="J618" s="3">
        <f t="shared" si="36"/>
        <v>31621.628799999999</v>
      </c>
      <c r="K618" s="3" t="str">
        <f t="shared" si="37"/>
        <v>₹/Candy</v>
      </c>
      <c r="L618" s="3">
        <v>-3.8300000000000001E-2</v>
      </c>
      <c r="M618" s="3"/>
      <c r="N618" s="3">
        <f t="shared" si="38"/>
        <v>1996</v>
      </c>
      <c r="O618" s="3" t="str">
        <f t="shared" si="39"/>
        <v>July</v>
      </c>
      <c r="P618" s="3" t="s">
        <v>22</v>
      </c>
      <c r="Q618" s="3"/>
    </row>
    <row r="619" spans="1:17" hidden="1" x14ac:dyDescent="0.3">
      <c r="A619" s="2">
        <v>35217</v>
      </c>
      <c r="B619" s="3" t="s">
        <v>12</v>
      </c>
      <c r="C619" s="3" t="s">
        <v>19</v>
      </c>
      <c r="D619" s="3" t="s">
        <v>20</v>
      </c>
      <c r="E619" s="3" t="s">
        <v>21</v>
      </c>
      <c r="F619" s="3">
        <v>32166.1486</v>
      </c>
      <c r="G619" s="3" t="s">
        <v>16</v>
      </c>
      <c r="H619" s="3" t="s">
        <v>17</v>
      </c>
      <c r="I619" s="3">
        <f>IF(C619="India",1,IF(C619="USA",INDEX('Currency Master'!B:B,MATCH(DATE(N619,MONTH(DATEVALUE(O619&amp;" 1")),1),'Currency Master'!A:A,0)),IF(C619="Australia",INDEX('Currency Master'!T:T,MATCH(DATE(N619,MONTH(DATEVALUE(O619&amp;" 1")),1),'Currency Master'!A:A,0)),"")))</f>
        <v>35.099499999999999</v>
      </c>
      <c r="J619" s="3">
        <f t="shared" si="36"/>
        <v>32166.1486</v>
      </c>
      <c r="K619" s="3" t="str">
        <f t="shared" si="37"/>
        <v>₹/Candy</v>
      </c>
      <c r="L619" s="3">
        <v>0</v>
      </c>
      <c r="M619" s="3"/>
      <c r="N619" s="3">
        <f t="shared" si="38"/>
        <v>1996</v>
      </c>
      <c r="O619" s="3" t="str">
        <f t="shared" si="39"/>
        <v>June</v>
      </c>
      <c r="P619" s="3" t="s">
        <v>22</v>
      </c>
      <c r="Q619" s="3"/>
    </row>
    <row r="620" spans="1:17" hidden="1" x14ac:dyDescent="0.3">
      <c r="A620" s="2">
        <v>35186</v>
      </c>
      <c r="B620" s="3" t="s">
        <v>12</v>
      </c>
      <c r="C620" s="3" t="s">
        <v>19</v>
      </c>
      <c r="D620" s="3" t="s">
        <v>20</v>
      </c>
      <c r="E620" s="3" t="s">
        <v>21</v>
      </c>
      <c r="F620" s="3">
        <v>32166.1486</v>
      </c>
      <c r="G620" s="3" t="s">
        <v>16</v>
      </c>
      <c r="H620" s="3" t="s">
        <v>17</v>
      </c>
      <c r="I620" s="3">
        <f>IF(C620="India",1,IF(C620="USA",INDEX('Currency Master'!B:B,MATCH(DATE(N620,MONTH(DATEVALUE(O620&amp;" 1")),1),'Currency Master'!A:A,0)),IF(C620="Australia",INDEX('Currency Master'!T:T,MATCH(DATE(N620,MONTH(DATEVALUE(O620&amp;" 1")),1),'Currency Master'!A:A,0)),"")))</f>
        <v>35.034782999999997</v>
      </c>
      <c r="J620" s="3">
        <f t="shared" si="36"/>
        <v>32166.1486</v>
      </c>
      <c r="K620" s="3" t="str">
        <f t="shared" si="37"/>
        <v>₹/Candy</v>
      </c>
      <c r="L620" s="3">
        <v>0</v>
      </c>
      <c r="M620" s="3"/>
      <c r="N620" s="3">
        <f t="shared" si="38"/>
        <v>1996</v>
      </c>
      <c r="O620" s="3" t="str">
        <f t="shared" si="39"/>
        <v>May</v>
      </c>
      <c r="P620" s="3" t="s">
        <v>22</v>
      </c>
      <c r="Q620" s="3"/>
    </row>
    <row r="621" spans="1:17" hidden="1" x14ac:dyDescent="0.3">
      <c r="A621" s="2">
        <v>35156</v>
      </c>
      <c r="B621" s="3" t="s">
        <v>12</v>
      </c>
      <c r="C621" s="3" t="s">
        <v>19</v>
      </c>
      <c r="D621" s="3" t="s">
        <v>20</v>
      </c>
      <c r="E621" s="3" t="s">
        <v>21</v>
      </c>
      <c r="F621" s="3">
        <v>31951.160199999998</v>
      </c>
      <c r="G621" s="3" t="s">
        <v>16</v>
      </c>
      <c r="H621" s="3" t="s">
        <v>17</v>
      </c>
      <c r="I621" s="3">
        <f>IF(C621="India",1,IF(C621="USA",INDEX('Currency Master'!B:B,MATCH(DATE(N621,MONTH(DATEVALUE(O621&amp;" 1")),1),'Currency Master'!A:A,0)),IF(C621="Australia",INDEX('Currency Master'!T:T,MATCH(DATE(N621,MONTH(DATEVALUE(O621&amp;" 1")),1),'Currency Master'!A:A,0)),"")))</f>
        <v>34.319544999999998</v>
      </c>
      <c r="J621" s="3">
        <f t="shared" si="36"/>
        <v>31951.160199999998</v>
      </c>
      <c r="K621" s="3" t="str">
        <f t="shared" si="37"/>
        <v>₹/Candy</v>
      </c>
      <c r="L621" s="3">
        <v>0</v>
      </c>
      <c r="M621" s="3"/>
      <c r="N621" s="3">
        <f t="shared" si="38"/>
        <v>1996</v>
      </c>
      <c r="O621" s="3" t="str">
        <f t="shared" si="39"/>
        <v>April</v>
      </c>
      <c r="P621" s="3" t="s">
        <v>22</v>
      </c>
      <c r="Q621" s="3"/>
    </row>
    <row r="622" spans="1:17" hidden="1" x14ac:dyDescent="0.3">
      <c r="A622" s="2">
        <v>35125</v>
      </c>
      <c r="B622" s="3" t="s">
        <v>12</v>
      </c>
      <c r="C622" s="3" t="s">
        <v>19</v>
      </c>
      <c r="D622" s="3" t="s">
        <v>20</v>
      </c>
      <c r="E622" s="3" t="s">
        <v>21</v>
      </c>
      <c r="F622" s="3">
        <v>31557.014800000001</v>
      </c>
      <c r="G622" s="3" t="s">
        <v>16</v>
      </c>
      <c r="H622" s="3" t="s">
        <v>17</v>
      </c>
      <c r="I622" s="3">
        <f>IF(C622="India",1,IF(C622="USA",INDEX('Currency Master'!B:B,MATCH(DATE(N622,MONTH(DATEVALUE(O622&amp;" 1")),1),'Currency Master'!A:A,0)),IF(C622="Australia",INDEX('Currency Master'!T:T,MATCH(DATE(N622,MONTH(DATEVALUE(O622&amp;" 1")),1),'Currency Master'!A:A,0)),"")))</f>
        <v>34.485238000000003</v>
      </c>
      <c r="J622" s="3">
        <f t="shared" si="36"/>
        <v>31557.014800000001</v>
      </c>
      <c r="K622" s="3" t="str">
        <f t="shared" si="37"/>
        <v>₹/Candy</v>
      </c>
      <c r="L622" s="3">
        <v>-2.1399999999999999E-2</v>
      </c>
      <c r="M622" s="3"/>
      <c r="N622" s="3">
        <f t="shared" si="38"/>
        <v>1996</v>
      </c>
      <c r="O622" s="3" t="str">
        <f t="shared" si="39"/>
        <v>March</v>
      </c>
      <c r="P622" s="3" t="s">
        <v>22</v>
      </c>
      <c r="Q622" s="3"/>
    </row>
    <row r="623" spans="1:17" hidden="1" x14ac:dyDescent="0.3">
      <c r="A623" s="2">
        <v>35096</v>
      </c>
      <c r="B623" s="3" t="s">
        <v>12</v>
      </c>
      <c r="C623" s="3" t="s">
        <v>19</v>
      </c>
      <c r="D623" s="3" t="s">
        <v>20</v>
      </c>
      <c r="E623" s="3" t="s">
        <v>21</v>
      </c>
      <c r="F623" s="3">
        <v>32519.548019999998</v>
      </c>
      <c r="G623" s="3" t="s">
        <v>16</v>
      </c>
      <c r="H623" s="3" t="s">
        <v>17</v>
      </c>
      <c r="I623" s="3">
        <f>IF(C623="India",1,IF(C623="USA",INDEX('Currency Master'!B:B,MATCH(DATE(N623,MONTH(DATEVALUE(O623&amp;" 1")),1),'Currency Master'!A:A,0)),IF(C623="Australia",INDEX('Currency Master'!T:T,MATCH(DATE(N623,MONTH(DATEVALUE(O623&amp;" 1")),1),'Currency Master'!A:A,0)),"")))</f>
        <v>36.571534</v>
      </c>
      <c r="J623" s="3">
        <f t="shared" si="36"/>
        <v>32519.548019999998</v>
      </c>
      <c r="K623" s="3" t="str">
        <f t="shared" si="37"/>
        <v>₹/Candy</v>
      </c>
      <c r="L623" s="3">
        <v>-1.5800000000000002E-2</v>
      </c>
      <c r="M623" s="3"/>
      <c r="N623" s="3">
        <f t="shared" si="38"/>
        <v>1996</v>
      </c>
      <c r="O623" s="3" t="str">
        <f t="shared" si="39"/>
        <v>February</v>
      </c>
      <c r="P623" s="3" t="s">
        <v>22</v>
      </c>
      <c r="Q623" s="3"/>
    </row>
    <row r="624" spans="1:17" hidden="1" x14ac:dyDescent="0.3">
      <c r="A624" s="2">
        <v>35065</v>
      </c>
      <c r="B624" s="3" t="s">
        <v>12</v>
      </c>
      <c r="C624" s="3" t="s">
        <v>19</v>
      </c>
      <c r="D624" s="3" t="s">
        <v>20</v>
      </c>
      <c r="E624" s="3" t="s">
        <v>21</v>
      </c>
      <c r="F624" s="3">
        <v>34240.258000000002</v>
      </c>
      <c r="G624" s="3" t="s">
        <v>16</v>
      </c>
      <c r="H624" s="3" t="s">
        <v>17</v>
      </c>
      <c r="I624" s="3">
        <f>IF(C624="India",1,IF(C624="USA",INDEX('Currency Master'!B:B,MATCH(DATE(N624,MONTH(DATEVALUE(O624&amp;" 1")),1),'Currency Master'!A:A,0)),IF(C624="Australia",INDEX('Currency Master'!T:T,MATCH(DATE(N624,MONTH(DATEVALUE(O624&amp;" 1")),1),'Currency Master'!A:A,0)),"")))</f>
        <v>35.782229999999998</v>
      </c>
      <c r="J624" s="3">
        <f t="shared" si="36"/>
        <v>34240.258000000002</v>
      </c>
      <c r="K624" s="3" t="str">
        <f t="shared" si="37"/>
        <v>₹/Candy</v>
      </c>
      <c r="L624" s="3">
        <v>-2.06E-2</v>
      </c>
      <c r="M624" s="3"/>
      <c r="N624" s="3">
        <f t="shared" si="38"/>
        <v>1996</v>
      </c>
      <c r="O624" s="3" t="str">
        <f t="shared" si="39"/>
        <v>January</v>
      </c>
      <c r="P624" s="3" t="s">
        <v>22</v>
      </c>
      <c r="Q624" s="3"/>
    </row>
    <row r="625" spans="1:17" hidden="1" x14ac:dyDescent="0.3">
      <c r="A625" s="2">
        <v>35034</v>
      </c>
      <c r="B625" s="3" t="s">
        <v>12</v>
      </c>
      <c r="C625" s="3" t="s">
        <v>19</v>
      </c>
      <c r="D625" s="3" t="s">
        <v>20</v>
      </c>
      <c r="E625" s="3" t="s">
        <v>21</v>
      </c>
      <c r="F625" s="3">
        <v>33834.991159999998</v>
      </c>
      <c r="G625" s="3" t="s">
        <v>16</v>
      </c>
      <c r="H625" s="3" t="s">
        <v>17</v>
      </c>
      <c r="I625" s="3">
        <f>IF(C625="India",1,IF(C625="USA",INDEX('Currency Master'!B:B,MATCH(DATE(N625,MONTH(DATEVALUE(O625&amp;" 1")),1),'Currency Master'!A:A,0)),IF(C625="Australia",INDEX('Currency Master'!T:T,MATCH(DATE(N625,MONTH(DATEVALUE(O625&amp;" 1")),1),'Currency Master'!A:A,0)),"")))</f>
        <v>34.967381000000003</v>
      </c>
      <c r="J625" s="3">
        <f t="shared" si="36"/>
        <v>33834.991159999998</v>
      </c>
      <c r="K625" s="3" t="str">
        <f t="shared" si="37"/>
        <v>₹/Candy</v>
      </c>
      <c r="L625" s="3">
        <v>-1.52E-2</v>
      </c>
      <c r="M625" s="3"/>
      <c r="N625" s="3">
        <f t="shared" si="38"/>
        <v>1995</v>
      </c>
      <c r="O625" s="3" t="str">
        <f t="shared" si="39"/>
        <v>December</v>
      </c>
      <c r="P625" s="3" t="s">
        <v>22</v>
      </c>
      <c r="Q625" s="3"/>
    </row>
    <row r="626" spans="1:17" hidden="1" x14ac:dyDescent="0.3">
      <c r="A626" s="2">
        <v>35004</v>
      </c>
      <c r="B626" s="3" t="s">
        <v>12</v>
      </c>
      <c r="C626" s="3" t="s">
        <v>19</v>
      </c>
      <c r="D626" s="3" t="s">
        <v>20</v>
      </c>
      <c r="E626" s="3" t="s">
        <v>21</v>
      </c>
      <c r="F626" s="3">
        <v>34039.817539999996</v>
      </c>
      <c r="G626" s="3" t="s">
        <v>16</v>
      </c>
      <c r="H626" s="3" t="s">
        <v>17</v>
      </c>
      <c r="I626" s="3">
        <f>IF(C626="India",1,IF(C626="USA",INDEX('Currency Master'!B:B,MATCH(DATE(N626,MONTH(DATEVALUE(O626&amp;" 1")),1),'Currency Master'!A:A,0)),IF(C626="Australia",INDEX('Currency Master'!T:T,MATCH(DATE(N626,MONTH(DATEVALUE(O626&amp;" 1")),1),'Currency Master'!A:A,0)),"")))</f>
        <v>34.717362999999999</v>
      </c>
      <c r="J626" s="3">
        <f t="shared" si="36"/>
        <v>34039.817539999996</v>
      </c>
      <c r="K626" s="3" t="str">
        <f t="shared" si="37"/>
        <v>₹/Candy</v>
      </c>
      <c r="L626" s="3">
        <v>-1.9900000000000001E-2</v>
      </c>
      <c r="M626" s="3"/>
      <c r="N626" s="3">
        <f t="shared" si="38"/>
        <v>1995</v>
      </c>
      <c r="O626" s="3" t="str">
        <f t="shared" si="39"/>
        <v>November</v>
      </c>
      <c r="P626" s="3" t="s">
        <v>22</v>
      </c>
      <c r="Q626" s="3"/>
    </row>
    <row r="627" spans="1:17" hidden="1" x14ac:dyDescent="0.3">
      <c r="A627" s="2">
        <v>34973</v>
      </c>
      <c r="B627" s="3" t="s">
        <v>12</v>
      </c>
      <c r="C627" s="3" t="s">
        <v>19</v>
      </c>
      <c r="D627" s="3" t="s">
        <v>20</v>
      </c>
      <c r="E627" s="3" t="s">
        <v>21</v>
      </c>
      <c r="F627" s="3">
        <v>34039.367200000001</v>
      </c>
      <c r="G627" s="3" t="s">
        <v>16</v>
      </c>
      <c r="H627" s="3" t="s">
        <v>17</v>
      </c>
      <c r="I627" s="3">
        <f>IF(C627="India",1,IF(C627="USA",INDEX('Currency Master'!B:B,MATCH(DATE(N627,MONTH(DATEVALUE(O627&amp;" 1")),1),'Currency Master'!A:A,0)),IF(C627="Australia",INDEX('Currency Master'!T:T,MATCH(DATE(N627,MONTH(DATEVALUE(O627&amp;" 1")),1),'Currency Master'!A:A,0)),"")))</f>
        <v>34.619968999999998</v>
      </c>
      <c r="J627" s="3">
        <f t="shared" si="36"/>
        <v>34039.367200000001</v>
      </c>
      <c r="K627" s="3" t="str">
        <f t="shared" si="37"/>
        <v>₹/Candy</v>
      </c>
      <c r="L627" s="3">
        <v>0</v>
      </c>
      <c r="M627" s="3"/>
      <c r="N627" s="3">
        <f t="shared" si="38"/>
        <v>1995</v>
      </c>
      <c r="O627" s="3" t="str">
        <f t="shared" si="39"/>
        <v>October</v>
      </c>
      <c r="P627" s="3" t="s">
        <v>22</v>
      </c>
      <c r="Q627" s="3"/>
    </row>
    <row r="628" spans="1:17" hidden="1" x14ac:dyDescent="0.3">
      <c r="A628" s="2">
        <v>34943</v>
      </c>
      <c r="B628" s="3" t="s">
        <v>12</v>
      </c>
      <c r="C628" s="3" t="s">
        <v>19</v>
      </c>
      <c r="D628" s="3" t="s">
        <v>20</v>
      </c>
      <c r="E628" s="3" t="s">
        <v>21</v>
      </c>
      <c r="F628" s="3">
        <v>33822.910300000003</v>
      </c>
      <c r="G628" s="3" t="s">
        <v>16</v>
      </c>
      <c r="H628" s="3" t="s">
        <v>17</v>
      </c>
      <c r="I628" s="3">
        <f>IF(C628="India",1,IF(C628="USA",INDEX('Currency Master'!B:B,MATCH(DATE(N628,MONTH(DATEVALUE(O628&amp;" 1")),1),'Currency Master'!A:A,0)),IF(C628="Australia",INDEX('Currency Master'!T:T,MATCH(DATE(N628,MONTH(DATEVALUE(O628&amp;" 1")),1),'Currency Master'!A:A,0)),"")))</f>
        <v>33.236511</v>
      </c>
      <c r="J628" s="3">
        <f t="shared" si="36"/>
        <v>33822.910300000003</v>
      </c>
      <c r="K628" s="3" t="str">
        <f t="shared" si="37"/>
        <v>₹/Candy</v>
      </c>
      <c r="L628" s="3">
        <v>6.9099999999999995E-2</v>
      </c>
      <c r="M628" s="3"/>
      <c r="N628" s="3">
        <f t="shared" si="38"/>
        <v>1995</v>
      </c>
      <c r="O628" s="3" t="str">
        <f t="shared" si="39"/>
        <v>September</v>
      </c>
      <c r="P628" s="3" t="s">
        <v>22</v>
      </c>
      <c r="Q628" s="3"/>
    </row>
    <row r="629" spans="1:17" hidden="1" x14ac:dyDescent="0.3">
      <c r="A629" s="2">
        <v>34912</v>
      </c>
      <c r="B629" s="3" t="s">
        <v>12</v>
      </c>
      <c r="C629" s="3" t="s">
        <v>19</v>
      </c>
      <c r="D629" s="3" t="s">
        <v>20</v>
      </c>
      <c r="E629" s="3" t="s">
        <v>21</v>
      </c>
      <c r="F629" s="3">
        <v>30571.905839999999</v>
      </c>
      <c r="G629" s="3" t="s">
        <v>16</v>
      </c>
      <c r="H629" s="3" t="s">
        <v>17</v>
      </c>
      <c r="I629" s="3">
        <f>IF(C629="India",1,IF(C629="USA",INDEX('Currency Master'!B:B,MATCH(DATE(N629,MONTH(DATEVALUE(O629&amp;" 1")),1),'Currency Master'!A:A,0)),IF(C629="Australia",INDEX('Currency Master'!T:T,MATCH(DATE(N629,MONTH(DATEVALUE(O629&amp;" 1")),1),'Currency Master'!A:A,0)),"")))</f>
        <v>31.592348000000001</v>
      </c>
      <c r="J629" s="3">
        <f t="shared" si="36"/>
        <v>30571.905839999999</v>
      </c>
      <c r="K629" s="3" t="str">
        <f t="shared" si="37"/>
        <v>₹/Candy</v>
      </c>
      <c r="L629" s="3">
        <v>-2.5899999999999999E-2</v>
      </c>
      <c r="M629" s="3"/>
      <c r="N629" s="3">
        <f t="shared" si="38"/>
        <v>1995</v>
      </c>
      <c r="O629" s="3" t="str">
        <f t="shared" si="39"/>
        <v>August</v>
      </c>
      <c r="P629" s="3" t="s">
        <v>22</v>
      </c>
      <c r="Q629" s="3"/>
    </row>
    <row r="630" spans="1:17" hidden="1" x14ac:dyDescent="0.3">
      <c r="A630" s="2">
        <v>34881</v>
      </c>
      <c r="B630" s="3" t="s">
        <v>12</v>
      </c>
      <c r="C630" s="3" t="s">
        <v>19</v>
      </c>
      <c r="D630" s="3" t="s">
        <v>20</v>
      </c>
      <c r="E630" s="3" t="s">
        <v>21</v>
      </c>
      <c r="F630" s="3">
        <v>30863.080020000001</v>
      </c>
      <c r="G630" s="3" t="s">
        <v>16</v>
      </c>
      <c r="H630" s="3" t="s">
        <v>17</v>
      </c>
      <c r="I630" s="3">
        <f>IF(C630="India",1,IF(C630="USA",INDEX('Currency Master'!B:B,MATCH(DATE(N630,MONTH(DATEVALUE(O630&amp;" 1")),1),'Currency Master'!A:A,0)),IF(C630="Australia",INDEX('Currency Master'!T:T,MATCH(DATE(N630,MONTH(DATEVALUE(O630&amp;" 1")),1),'Currency Master'!A:A,0)),"")))</f>
        <v>31.385041000000001</v>
      </c>
      <c r="J630" s="3">
        <f t="shared" si="36"/>
        <v>30863.080020000001</v>
      </c>
      <c r="K630" s="3" t="str">
        <f t="shared" si="37"/>
        <v>₹/Candy</v>
      </c>
      <c r="L630" s="3">
        <v>-3.5000000000000003E-2</v>
      </c>
      <c r="M630" s="3"/>
      <c r="N630" s="3">
        <f t="shared" si="38"/>
        <v>1995</v>
      </c>
      <c r="O630" s="3" t="str">
        <f t="shared" si="39"/>
        <v>July</v>
      </c>
      <c r="P630" s="3" t="s">
        <v>22</v>
      </c>
      <c r="Q630" s="3"/>
    </row>
    <row r="631" spans="1:17" hidden="1" x14ac:dyDescent="0.3">
      <c r="A631" s="2">
        <v>34851</v>
      </c>
      <c r="B631" s="3" t="s">
        <v>12</v>
      </c>
      <c r="C631" s="3" t="s">
        <v>19</v>
      </c>
      <c r="D631" s="3" t="s">
        <v>20</v>
      </c>
      <c r="E631" s="3" t="s">
        <v>21</v>
      </c>
      <c r="F631" s="3">
        <v>31712.48</v>
      </c>
      <c r="G631" s="3" t="s">
        <v>16</v>
      </c>
      <c r="H631" s="3" t="s">
        <v>17</v>
      </c>
      <c r="I631" s="3">
        <f>IF(C631="India",1,IF(C631="USA",INDEX('Currency Master'!B:B,MATCH(DATE(N631,MONTH(DATEVALUE(O631&amp;" 1")),1),'Currency Master'!A:A,0)),IF(C631="Australia",INDEX('Currency Master'!T:T,MATCH(DATE(N631,MONTH(DATEVALUE(O631&amp;" 1")),1),'Currency Master'!A:A,0)),"")))</f>
        <v>31.403682</v>
      </c>
      <c r="J631" s="3">
        <f t="shared" si="36"/>
        <v>31712.48</v>
      </c>
      <c r="K631" s="3" t="str">
        <f t="shared" si="37"/>
        <v>₹/Candy</v>
      </c>
      <c r="L631" s="3">
        <v>-0.20949999999999999</v>
      </c>
      <c r="M631" s="3"/>
      <c r="N631" s="3">
        <f t="shared" si="38"/>
        <v>1995</v>
      </c>
      <c r="O631" s="3" t="str">
        <f t="shared" si="39"/>
        <v>June</v>
      </c>
      <c r="P631" s="3" t="s">
        <v>22</v>
      </c>
      <c r="Q631" s="3"/>
    </row>
    <row r="632" spans="1:17" hidden="1" x14ac:dyDescent="0.3">
      <c r="A632" s="2">
        <v>34820</v>
      </c>
      <c r="B632" s="3" t="s">
        <v>12</v>
      </c>
      <c r="C632" s="3" t="s">
        <v>19</v>
      </c>
      <c r="D632" s="3" t="s">
        <v>20</v>
      </c>
      <c r="E632" s="3" t="s">
        <v>21</v>
      </c>
      <c r="F632" s="3">
        <v>38254.255899999996</v>
      </c>
      <c r="G632" s="3" t="s">
        <v>16</v>
      </c>
      <c r="H632" s="3" t="s">
        <v>17</v>
      </c>
      <c r="I632" s="3">
        <f>IF(C632="India",1,IF(C632="USA",INDEX('Currency Master'!B:B,MATCH(DATE(N632,MONTH(DATEVALUE(O632&amp;" 1")),1),'Currency Master'!A:A,0)),IF(C632="Australia",INDEX('Currency Master'!T:T,MATCH(DATE(N632,MONTH(DATEVALUE(O632&amp;" 1")),1),'Currency Master'!A:A,0)),"")))</f>
        <v>31.420846999999998</v>
      </c>
      <c r="J632" s="3">
        <f t="shared" si="36"/>
        <v>38254.255899999996</v>
      </c>
      <c r="K632" s="3" t="str">
        <f t="shared" si="37"/>
        <v>₹/Candy</v>
      </c>
      <c r="L632" s="3">
        <v>8.0000000000000002E-3</v>
      </c>
      <c r="M632" s="3"/>
      <c r="N632" s="3">
        <f t="shared" si="38"/>
        <v>1995</v>
      </c>
      <c r="O632" s="3" t="str">
        <f t="shared" si="39"/>
        <v>May</v>
      </c>
      <c r="P632" s="3" t="s">
        <v>22</v>
      </c>
      <c r="Q632" s="3"/>
    </row>
    <row r="633" spans="1:17" hidden="1" x14ac:dyDescent="0.3">
      <c r="A633" s="2">
        <v>34790</v>
      </c>
      <c r="B633" s="3" t="s">
        <v>12</v>
      </c>
      <c r="C633" s="3" t="s">
        <v>19</v>
      </c>
      <c r="D633" s="3" t="s">
        <v>20</v>
      </c>
      <c r="E633" s="3" t="s">
        <v>21</v>
      </c>
      <c r="F633" s="3">
        <v>38015.998628000001</v>
      </c>
      <c r="G633" s="3" t="s">
        <v>16</v>
      </c>
      <c r="H633" s="3" t="s">
        <v>17</v>
      </c>
      <c r="I633" s="3">
        <f>IF(C633="India",1,IF(C633="USA",INDEX('Currency Master'!B:B,MATCH(DATE(N633,MONTH(DATEVALUE(O633&amp;" 1")),1),'Currency Master'!A:A,0)),IF(C633="Australia",INDEX('Currency Master'!T:T,MATCH(DATE(N633,MONTH(DATEVALUE(O633&amp;" 1")),1),'Currency Master'!A:A,0)),"")))</f>
        <v>31.407250000000001</v>
      </c>
      <c r="J633" s="3">
        <f t="shared" si="36"/>
        <v>38015.998628000001</v>
      </c>
      <c r="K633" s="3" t="str">
        <f t="shared" si="37"/>
        <v>₹/Candy</v>
      </c>
      <c r="L633" s="3">
        <v>2.87E-2</v>
      </c>
      <c r="M633" s="3"/>
      <c r="N633" s="3">
        <f t="shared" si="38"/>
        <v>1995</v>
      </c>
      <c r="O633" s="3" t="str">
        <f t="shared" si="39"/>
        <v>April</v>
      </c>
      <c r="P633" s="3" t="s">
        <v>22</v>
      </c>
      <c r="Q633" s="3"/>
    </row>
    <row r="634" spans="1:17" hidden="1" x14ac:dyDescent="0.3">
      <c r="A634" s="2">
        <v>34759</v>
      </c>
      <c r="B634" s="3" t="s">
        <v>12</v>
      </c>
      <c r="C634" s="3" t="s">
        <v>19</v>
      </c>
      <c r="D634" s="3" t="s">
        <v>20</v>
      </c>
      <c r="E634" s="3" t="s">
        <v>21</v>
      </c>
      <c r="F634" s="3">
        <v>37137.158159999999</v>
      </c>
      <c r="G634" s="3" t="s">
        <v>16</v>
      </c>
      <c r="H634" s="3" t="s">
        <v>17</v>
      </c>
      <c r="I634" s="3">
        <f>IF(C634="India",1,IF(C634="USA",INDEX('Currency Master'!B:B,MATCH(DATE(N634,MONTH(DATEVALUE(O634&amp;" 1")),1),'Currency Master'!A:A,0)),IF(C634="Australia",INDEX('Currency Master'!T:T,MATCH(DATE(N634,MONTH(DATEVALUE(O634&amp;" 1")),1),'Currency Master'!A:A,0)),"")))</f>
        <v>31.586542999999999</v>
      </c>
      <c r="J634" s="3">
        <f t="shared" si="36"/>
        <v>37137.158159999999</v>
      </c>
      <c r="K634" s="3" t="str">
        <f t="shared" si="37"/>
        <v>₹/Candy</v>
      </c>
      <c r="L634" s="3">
        <v>9.4200000000000006E-2</v>
      </c>
      <c r="M634" s="3"/>
      <c r="N634" s="3">
        <f t="shared" si="38"/>
        <v>1995</v>
      </c>
      <c r="O634" s="3" t="str">
        <f t="shared" si="39"/>
        <v>March</v>
      </c>
      <c r="P634" s="3" t="s">
        <v>22</v>
      </c>
      <c r="Q634" s="3"/>
    </row>
    <row r="635" spans="1:17" hidden="1" x14ac:dyDescent="0.3">
      <c r="A635" s="2">
        <v>34731</v>
      </c>
      <c r="B635" s="3" t="s">
        <v>12</v>
      </c>
      <c r="C635" s="3" t="s">
        <v>19</v>
      </c>
      <c r="D635" s="3" t="s">
        <v>20</v>
      </c>
      <c r="E635" s="3" t="s">
        <v>21</v>
      </c>
      <c r="F635" s="3">
        <v>34563.320167999998</v>
      </c>
      <c r="G635" s="3" t="s">
        <v>16</v>
      </c>
      <c r="H635" s="3" t="s">
        <v>17</v>
      </c>
      <c r="I635" s="3">
        <f>IF(C635="India",1,IF(C635="USA",INDEX('Currency Master'!B:B,MATCH(DATE(N635,MONTH(DATEVALUE(O635&amp;" 1")),1),'Currency Master'!A:A,0)),IF(C635="Australia",INDEX('Currency Master'!T:T,MATCH(DATE(N635,MONTH(DATEVALUE(O635&amp;" 1")),1),'Currency Master'!A:A,0)),"")))</f>
        <v>31.369385000000001</v>
      </c>
      <c r="J635" s="3">
        <f t="shared" si="36"/>
        <v>34563.320167999998</v>
      </c>
      <c r="K635" s="3" t="str">
        <f t="shared" si="37"/>
        <v>₹/Candy</v>
      </c>
      <c r="L635" s="3">
        <v>5.6899999999999999E-2</v>
      </c>
      <c r="M635" s="3"/>
      <c r="N635" s="3">
        <f t="shared" si="38"/>
        <v>1995</v>
      </c>
      <c r="O635" s="3" t="str">
        <f t="shared" si="39"/>
        <v>February</v>
      </c>
      <c r="P635" s="3" t="s">
        <v>22</v>
      </c>
      <c r="Q635" s="3"/>
    </row>
    <row r="636" spans="1:17" hidden="1" x14ac:dyDescent="0.3">
      <c r="A636" s="2">
        <v>34700</v>
      </c>
      <c r="B636" s="3" t="s">
        <v>12</v>
      </c>
      <c r="C636" s="3" t="s">
        <v>19</v>
      </c>
      <c r="D636" s="3" t="s">
        <v>20</v>
      </c>
      <c r="E636" s="3" t="s">
        <v>21</v>
      </c>
      <c r="F636" s="3">
        <v>33044.409500000002</v>
      </c>
      <c r="G636" s="3" t="s">
        <v>16</v>
      </c>
      <c r="H636" s="3" t="s">
        <v>17</v>
      </c>
      <c r="I636" s="3">
        <f>IF(C636="India",1,IF(C636="USA",INDEX('Currency Master'!B:B,MATCH(DATE(N636,MONTH(DATEVALUE(O636&amp;" 1")),1),'Currency Master'!A:A,0)),IF(C636="Australia",INDEX('Currency Master'!T:T,MATCH(DATE(N636,MONTH(DATEVALUE(O636&amp;" 1")),1),'Currency Master'!A:A,0)),"")))</f>
        <v>31.380106999999999</v>
      </c>
      <c r="J636" s="3">
        <f t="shared" si="36"/>
        <v>33044.409500000002</v>
      </c>
      <c r="K636" s="3" t="str">
        <f t="shared" si="37"/>
        <v>₹/Candy</v>
      </c>
      <c r="L636" s="3">
        <v>9.9000000000000005E-2</v>
      </c>
      <c r="M636" s="3"/>
      <c r="N636" s="3">
        <f t="shared" si="38"/>
        <v>1995</v>
      </c>
      <c r="O636" s="3" t="str">
        <f t="shared" si="39"/>
        <v>January</v>
      </c>
      <c r="P636" s="3" t="s">
        <v>22</v>
      </c>
      <c r="Q636" s="3"/>
    </row>
    <row r="637" spans="1:17" hidden="1" x14ac:dyDescent="0.3">
      <c r="A637" s="2">
        <v>34669</v>
      </c>
      <c r="B637" s="3" t="s">
        <v>12</v>
      </c>
      <c r="C637" s="3" t="s">
        <v>19</v>
      </c>
      <c r="D637" s="3" t="s">
        <v>20</v>
      </c>
      <c r="E637" s="3" t="s">
        <v>21</v>
      </c>
      <c r="F637" s="3">
        <v>30705.472768</v>
      </c>
      <c r="G637" s="3" t="s">
        <v>16</v>
      </c>
      <c r="H637" s="3" t="s">
        <v>17</v>
      </c>
      <c r="I637" s="3">
        <f>IF(C637="India",1,IF(C637="USA",INDEX('Currency Master'!B:B,MATCH(DATE(N637,MONTH(DATEVALUE(O637&amp;" 1")),1),'Currency Master'!A:A,0)),IF(C637="Australia",INDEX('Currency Master'!T:T,MATCH(DATE(N637,MONTH(DATEVALUE(O637&amp;" 1")),1),'Currency Master'!A:A,0)),"")))</f>
        <v>31.389544999999998</v>
      </c>
      <c r="J637" s="3">
        <f t="shared" si="36"/>
        <v>30705.472768</v>
      </c>
      <c r="K637" s="3" t="str">
        <f t="shared" si="37"/>
        <v>₹/Candy</v>
      </c>
      <c r="L637" s="3">
        <v>0.12280000000000001</v>
      </c>
      <c r="M637" s="3"/>
      <c r="N637" s="3">
        <f t="shared" si="38"/>
        <v>1994</v>
      </c>
      <c r="O637" s="3" t="str">
        <f t="shared" si="39"/>
        <v>December</v>
      </c>
      <c r="P637" s="3" t="s">
        <v>22</v>
      </c>
      <c r="Q637" s="3"/>
    </row>
    <row r="638" spans="1:17" hidden="1" x14ac:dyDescent="0.3">
      <c r="A638" s="2">
        <v>34639</v>
      </c>
      <c r="B638" s="3" t="s">
        <v>12</v>
      </c>
      <c r="C638" s="3" t="s">
        <v>19</v>
      </c>
      <c r="D638" s="3" t="s">
        <v>20</v>
      </c>
      <c r="E638" s="3" t="s">
        <v>21</v>
      </c>
      <c r="F638" s="3">
        <v>28143.22222</v>
      </c>
      <c r="G638" s="3" t="s">
        <v>16</v>
      </c>
      <c r="H638" s="3" t="s">
        <v>17</v>
      </c>
      <c r="I638" s="3">
        <f>IF(C638="India",1,IF(C638="USA",INDEX('Currency Master'!B:B,MATCH(DATE(N638,MONTH(DATEVALUE(O638&amp;" 1")),1),'Currency Master'!A:A,0)),IF(C638="Australia",INDEX('Currency Master'!T:T,MATCH(DATE(N638,MONTH(DATEVALUE(O638&amp;" 1")),1),'Currency Master'!A:A,0)),"")))</f>
        <v>31.406704000000001</v>
      </c>
      <c r="J638" s="3">
        <f t="shared" si="36"/>
        <v>28143.22222</v>
      </c>
      <c r="K638" s="3" t="str">
        <f t="shared" si="37"/>
        <v>₹/Candy</v>
      </c>
      <c r="L638" s="3">
        <v>4.9099999999999998E-2</v>
      </c>
      <c r="M638" s="3"/>
      <c r="N638" s="3">
        <f t="shared" si="38"/>
        <v>1994</v>
      </c>
      <c r="O638" s="3" t="str">
        <f t="shared" si="39"/>
        <v>November</v>
      </c>
      <c r="P638" s="3" t="s">
        <v>22</v>
      </c>
      <c r="Q638" s="3"/>
    </row>
    <row r="639" spans="1:17" hidden="1" x14ac:dyDescent="0.3">
      <c r="A639" s="2">
        <v>34608</v>
      </c>
      <c r="B639" s="3" t="s">
        <v>12</v>
      </c>
      <c r="C639" s="3" t="s">
        <v>19</v>
      </c>
      <c r="D639" s="3" t="s">
        <v>20</v>
      </c>
      <c r="E639" s="3" t="s">
        <v>21</v>
      </c>
      <c r="F639" s="3">
        <v>27147.551808</v>
      </c>
      <c r="G639" s="3" t="s">
        <v>16</v>
      </c>
      <c r="H639" s="3" t="s">
        <v>17</v>
      </c>
      <c r="I639" s="3">
        <f>IF(C639="India",1,IF(C639="USA",INDEX('Currency Master'!B:B,MATCH(DATE(N639,MONTH(DATEVALUE(O639&amp;" 1")),1),'Currency Master'!A:A,0)),IF(C639="Australia",INDEX('Currency Master'!T:T,MATCH(DATE(N639,MONTH(DATEVALUE(O639&amp;" 1")),1),'Currency Master'!A:A,0)),"")))</f>
        <v>31.380856000000001</v>
      </c>
      <c r="J639" s="3">
        <f t="shared" si="36"/>
        <v>27147.551808</v>
      </c>
      <c r="K639" s="3" t="str">
        <f t="shared" si="37"/>
        <v>₹/Candy</v>
      </c>
      <c r="L639" s="3">
        <v>-1.8100000000000002E-2</v>
      </c>
      <c r="M639" s="3"/>
      <c r="N639" s="3">
        <f t="shared" si="38"/>
        <v>1994</v>
      </c>
      <c r="O639" s="3" t="str">
        <f t="shared" si="39"/>
        <v>October</v>
      </c>
      <c r="P639" s="3" t="s">
        <v>22</v>
      </c>
      <c r="Q639" s="3"/>
    </row>
    <row r="640" spans="1:17" hidden="1" x14ac:dyDescent="0.3">
      <c r="A640" s="2">
        <v>34578</v>
      </c>
      <c r="B640" s="3" t="s">
        <v>12</v>
      </c>
      <c r="C640" s="3" t="s">
        <v>19</v>
      </c>
      <c r="D640" s="3" t="s">
        <v>20</v>
      </c>
      <c r="E640" s="3" t="s">
        <v>21</v>
      </c>
      <c r="F640" s="3">
        <v>27507.706328</v>
      </c>
      <c r="G640" s="3" t="s">
        <v>16</v>
      </c>
      <c r="H640" s="3" t="s">
        <v>17</v>
      </c>
      <c r="I640" s="3">
        <f>IF(C640="India",1,IF(C640="USA",INDEX('Currency Master'!B:B,MATCH(DATE(N640,MONTH(DATEVALUE(O640&amp;" 1")),1),'Currency Master'!A:A,0)),IF(C640="Australia",INDEX('Currency Master'!T:T,MATCH(DATE(N640,MONTH(DATEVALUE(O640&amp;" 1")),1),'Currency Master'!A:A,0)),"")))</f>
        <v>31.354785</v>
      </c>
      <c r="J640" s="3">
        <f t="shared" si="36"/>
        <v>27507.706328</v>
      </c>
      <c r="K640" s="3" t="str">
        <f t="shared" si="37"/>
        <v>₹/Candy</v>
      </c>
      <c r="L640" s="3">
        <v>-1.78E-2</v>
      </c>
      <c r="M640" s="3"/>
      <c r="N640" s="3">
        <f t="shared" si="38"/>
        <v>1994</v>
      </c>
      <c r="O640" s="3" t="str">
        <f t="shared" si="39"/>
        <v>September</v>
      </c>
      <c r="P640" s="3" t="s">
        <v>22</v>
      </c>
      <c r="Q640" s="3"/>
    </row>
    <row r="641" spans="1:17" hidden="1" x14ac:dyDescent="0.3">
      <c r="A641" s="2">
        <v>34547</v>
      </c>
      <c r="B641" s="3" t="s">
        <v>12</v>
      </c>
      <c r="C641" s="3" t="s">
        <v>19</v>
      </c>
      <c r="D641" s="3" t="s">
        <v>20</v>
      </c>
      <c r="E641" s="3" t="s">
        <v>21</v>
      </c>
      <c r="F641" s="3">
        <v>27880.129676</v>
      </c>
      <c r="G641" s="3" t="s">
        <v>16</v>
      </c>
      <c r="H641" s="3" t="s">
        <v>17</v>
      </c>
      <c r="I641" s="3">
        <f>IF(C641="India",1,IF(C641="USA",INDEX('Currency Master'!B:B,MATCH(DATE(N641,MONTH(DATEVALUE(O641&amp;" 1")),1),'Currency Master'!A:A,0)),IF(C641="Australia",INDEX('Currency Master'!T:T,MATCH(DATE(N641,MONTH(DATEVALUE(O641&amp;" 1")),1),'Currency Master'!A:A,0)),"")))</f>
        <v>31.372717000000002</v>
      </c>
      <c r="J641" s="3">
        <f t="shared" si="36"/>
        <v>27880.129676</v>
      </c>
      <c r="K641" s="3" t="str">
        <f t="shared" si="37"/>
        <v>₹/Candy</v>
      </c>
      <c r="L641" s="3">
        <v>-6.1100000000000002E-2</v>
      </c>
      <c r="M641" s="3"/>
      <c r="N641" s="3">
        <f t="shared" si="38"/>
        <v>1994</v>
      </c>
      <c r="O641" s="3" t="str">
        <f t="shared" si="39"/>
        <v>August</v>
      </c>
      <c r="P641" s="3" t="s">
        <v>22</v>
      </c>
      <c r="Q641" s="3"/>
    </row>
    <row r="642" spans="1:17" hidden="1" x14ac:dyDescent="0.3">
      <c r="A642" s="2">
        <v>34516</v>
      </c>
      <c r="B642" s="3" t="s">
        <v>12</v>
      </c>
      <c r="C642" s="3" t="s">
        <v>19</v>
      </c>
      <c r="D642" s="3" t="s">
        <v>20</v>
      </c>
      <c r="E642" s="3" t="s">
        <v>21</v>
      </c>
      <c r="F642" s="3">
        <v>29232.085599999999</v>
      </c>
      <c r="G642" s="3" t="s">
        <v>16</v>
      </c>
      <c r="H642" s="3" t="s">
        <v>17</v>
      </c>
      <c r="I642" s="3">
        <f>IF(C642="India",1,IF(C642="USA",INDEX('Currency Master'!B:B,MATCH(DATE(N642,MONTH(DATEVALUE(O642&amp;" 1")),1),'Currency Master'!A:A,0)),IF(C642="Australia",INDEX('Currency Master'!T:T,MATCH(DATE(N642,MONTH(DATEVALUE(O642&amp;" 1")),1),'Currency Master'!A:A,0)),"")))</f>
        <v>31.372505</v>
      </c>
      <c r="J642" s="3">
        <f t="shared" si="36"/>
        <v>29232.085599999999</v>
      </c>
      <c r="K642" s="3" t="str">
        <f t="shared" si="37"/>
        <v>₹/Candy</v>
      </c>
      <c r="L642" s="3">
        <v>-4.7600000000000003E-2</v>
      </c>
      <c r="M642" s="3"/>
      <c r="N642" s="3">
        <f t="shared" si="38"/>
        <v>1994</v>
      </c>
      <c r="O642" s="3" t="str">
        <f t="shared" si="39"/>
        <v>July</v>
      </c>
      <c r="P642" s="3" t="s">
        <v>22</v>
      </c>
      <c r="Q642" s="3"/>
    </row>
    <row r="643" spans="1:17" hidden="1" x14ac:dyDescent="0.3">
      <c r="A643" s="2">
        <v>34486</v>
      </c>
      <c r="B643" s="3" t="s">
        <v>12</v>
      </c>
      <c r="C643" s="3" t="s">
        <v>19</v>
      </c>
      <c r="D643" s="3" t="s">
        <v>20</v>
      </c>
      <c r="E643" s="3" t="s">
        <v>21</v>
      </c>
      <c r="F643" s="3">
        <v>30337.689880000002</v>
      </c>
      <c r="G643" s="3" t="s">
        <v>16</v>
      </c>
      <c r="H643" s="3" t="s">
        <v>17</v>
      </c>
      <c r="I643" s="3">
        <f>IF(C643="India",1,IF(C643="USA",INDEX('Currency Master'!B:B,MATCH(DATE(N643,MONTH(DATEVALUE(O643&amp;" 1")),1),'Currency Master'!A:A,0)),IF(C643="Australia",INDEX('Currency Master'!T:T,MATCH(DATE(N643,MONTH(DATEVALUE(O643&amp;" 1")),1),'Currency Master'!A:A,0)),"")))</f>
        <v>31.384544999999999</v>
      </c>
      <c r="J643" s="3">
        <f t="shared" ref="J643:J706" si="40">IF(C643="India",F643,IF(C643="USA",IF(G643="US Cents/Lb",ROUND(((F643/100)/0.453592)*I643*356,0),F643),IF(C643="Australia",IF(G643="AUc/kg",ROUND((F643/100)*I643,2),F643),"")))</f>
        <v>30337.689880000002</v>
      </c>
      <c r="K643" s="3" t="str">
        <f t="shared" ref="K643:K706" si="41">IF(C643="India",G643,IF(C643="USA","₹/Candy",IF(C643="Australia","₹/Kg","")))</f>
        <v>₹/Candy</v>
      </c>
      <c r="L643" s="3">
        <v>-5.3E-3</v>
      </c>
      <c r="M643" s="3"/>
      <c r="N643" s="3">
        <f t="shared" ref="N643:N706" si="42">YEAR(A643)</f>
        <v>1994</v>
      </c>
      <c r="O643" s="3" t="str">
        <f t="shared" ref="O643:O706" si="43">TEXT(A643,"mmmm")</f>
        <v>June</v>
      </c>
      <c r="P643" s="3" t="s">
        <v>22</v>
      </c>
      <c r="Q643" s="3"/>
    </row>
    <row r="644" spans="1:17" hidden="1" x14ac:dyDescent="0.3">
      <c r="A644" s="2">
        <v>34455</v>
      </c>
      <c r="B644" s="3" t="s">
        <v>12</v>
      </c>
      <c r="C644" s="3" t="s">
        <v>19</v>
      </c>
      <c r="D644" s="3" t="s">
        <v>20</v>
      </c>
      <c r="E644" s="3" t="s">
        <v>21</v>
      </c>
      <c r="F644" s="3">
        <v>30460.534800000001</v>
      </c>
      <c r="G644" s="3" t="s">
        <v>16</v>
      </c>
      <c r="H644" s="3" t="s">
        <v>17</v>
      </c>
      <c r="I644" s="3">
        <f>IF(C644="India",1,IF(C644="USA",INDEX('Currency Master'!B:B,MATCH(DATE(N644,MONTH(DATEVALUE(O644&amp;" 1")),1),'Currency Master'!A:A,0)),IF(C644="Australia",INDEX('Currency Master'!T:T,MATCH(DATE(N644,MONTH(DATEVALUE(O644&amp;" 1")),1),'Currency Master'!A:A,0)),"")))</f>
        <v>31.373698999999998</v>
      </c>
      <c r="J644" s="3">
        <f t="shared" si="40"/>
        <v>30460.534800000001</v>
      </c>
      <c r="K644" s="3" t="str">
        <f t="shared" si="41"/>
        <v>₹/Candy</v>
      </c>
      <c r="L644" s="3">
        <v>2.7E-2</v>
      </c>
      <c r="M644" s="3"/>
      <c r="N644" s="3">
        <f t="shared" si="42"/>
        <v>1994</v>
      </c>
      <c r="O644" s="3" t="str">
        <f t="shared" si="43"/>
        <v>May</v>
      </c>
      <c r="P644" s="3" t="s">
        <v>22</v>
      </c>
      <c r="Q644" s="3"/>
    </row>
    <row r="645" spans="1:17" hidden="1" x14ac:dyDescent="0.3">
      <c r="A645" s="2">
        <v>34425</v>
      </c>
      <c r="B645" s="3" t="s">
        <v>12</v>
      </c>
      <c r="C645" s="3" t="s">
        <v>19</v>
      </c>
      <c r="D645" s="3" t="s">
        <v>20</v>
      </c>
      <c r="E645" s="3" t="s">
        <v>21</v>
      </c>
      <c r="F645" s="3">
        <v>29844.13682</v>
      </c>
      <c r="G645" s="3" t="s">
        <v>16</v>
      </c>
      <c r="H645" s="3" t="s">
        <v>17</v>
      </c>
      <c r="I645" s="3">
        <f>IF(C645="India",1,IF(C645="USA",INDEX('Currency Master'!B:B,MATCH(DATE(N645,MONTH(DATEVALUE(O645&amp;" 1")),1),'Currency Master'!A:A,0)),IF(C645="Australia",INDEX('Currency Master'!T:T,MATCH(DATE(N645,MONTH(DATEVALUE(O645&amp;" 1")),1),'Currency Master'!A:A,0)),"")))</f>
        <v>31.391428999999999</v>
      </c>
      <c r="J645" s="3">
        <f t="shared" si="40"/>
        <v>29844.13682</v>
      </c>
      <c r="K645" s="3" t="str">
        <f t="shared" si="41"/>
        <v>₹/Candy</v>
      </c>
      <c r="L645" s="3">
        <v>2.7799999999999998E-2</v>
      </c>
      <c r="M645" s="3"/>
      <c r="N645" s="3">
        <f t="shared" si="42"/>
        <v>1994</v>
      </c>
      <c r="O645" s="3" t="str">
        <f t="shared" si="43"/>
        <v>April</v>
      </c>
      <c r="P645" s="3" t="s">
        <v>22</v>
      </c>
      <c r="Q645" s="3"/>
    </row>
    <row r="646" spans="1:17" hidden="1" x14ac:dyDescent="0.3">
      <c r="A646" s="2">
        <v>34394</v>
      </c>
      <c r="B646" s="3" t="s">
        <v>12</v>
      </c>
      <c r="C646" s="3" t="s">
        <v>19</v>
      </c>
      <c r="D646" s="3" t="s">
        <v>20</v>
      </c>
      <c r="E646" s="3" t="s">
        <v>21</v>
      </c>
      <c r="F646" s="3">
        <v>29232.085599999999</v>
      </c>
      <c r="G646" s="3" t="s">
        <v>16</v>
      </c>
      <c r="H646" s="3" t="s">
        <v>17</v>
      </c>
      <c r="I646" s="3">
        <f>IF(C646="India",1,IF(C646="USA",INDEX('Currency Master'!B:B,MATCH(DATE(N646,MONTH(DATEVALUE(O646&amp;" 1")),1),'Currency Master'!A:A,0)),IF(C646="Australia",INDEX('Currency Master'!T:T,MATCH(DATE(N646,MONTH(DATEVALUE(O646&amp;" 1")),1),'Currency Master'!A:A,0)),"")))</f>
        <v>31.414674000000002</v>
      </c>
      <c r="J646" s="3">
        <f t="shared" si="40"/>
        <v>29232.085599999999</v>
      </c>
      <c r="K646" s="3" t="str">
        <f t="shared" si="41"/>
        <v>₹/Candy</v>
      </c>
      <c r="L646" s="3">
        <v>1.12E-2</v>
      </c>
      <c r="M646" s="3"/>
      <c r="N646" s="3">
        <f t="shared" si="42"/>
        <v>1994</v>
      </c>
      <c r="O646" s="3" t="str">
        <f t="shared" si="43"/>
        <v>March</v>
      </c>
      <c r="P646" s="3" t="s">
        <v>22</v>
      </c>
      <c r="Q646" s="3"/>
    </row>
    <row r="647" spans="1:17" hidden="1" x14ac:dyDescent="0.3">
      <c r="A647" s="2">
        <v>34366</v>
      </c>
      <c r="B647" s="3" t="s">
        <v>12</v>
      </c>
      <c r="C647" s="3" t="s">
        <v>19</v>
      </c>
      <c r="D647" s="3" t="s">
        <v>20</v>
      </c>
      <c r="E647" s="3" t="s">
        <v>21</v>
      </c>
      <c r="F647" s="3">
        <v>28982.910520000001</v>
      </c>
      <c r="G647" s="3" t="s">
        <v>16</v>
      </c>
      <c r="H647" s="3" t="s">
        <v>17</v>
      </c>
      <c r="I647" s="3">
        <f>IF(C647="India",1,IF(C647="USA",INDEX('Currency Master'!B:B,MATCH(DATE(N647,MONTH(DATEVALUE(O647&amp;" 1")),1),'Currency Master'!A:A,0)),IF(C647="Australia",INDEX('Currency Master'!T:T,MATCH(DATE(N647,MONTH(DATEVALUE(O647&amp;" 1")),1),'Currency Master'!A:A,0)),"")))</f>
        <v>31.450897000000001</v>
      </c>
      <c r="J647" s="3">
        <f t="shared" si="40"/>
        <v>28982.910520000001</v>
      </c>
      <c r="K647" s="3" t="str">
        <f t="shared" si="41"/>
        <v>₹/Candy</v>
      </c>
      <c r="L647" s="3">
        <v>0.16339999999999999</v>
      </c>
      <c r="M647" s="3"/>
      <c r="N647" s="3">
        <f t="shared" si="42"/>
        <v>1994</v>
      </c>
      <c r="O647" s="3" t="str">
        <f t="shared" si="43"/>
        <v>February</v>
      </c>
      <c r="P647" s="3" t="s">
        <v>22</v>
      </c>
      <c r="Q647" s="3"/>
    </row>
    <row r="648" spans="1:17" hidden="1" x14ac:dyDescent="0.3">
      <c r="A648" s="2">
        <v>34335</v>
      </c>
      <c r="B648" s="3" t="s">
        <v>12</v>
      </c>
      <c r="C648" s="3" t="s">
        <v>19</v>
      </c>
      <c r="D648" s="3" t="s">
        <v>20</v>
      </c>
      <c r="E648" s="3" t="s">
        <v>21</v>
      </c>
      <c r="F648" s="3">
        <v>25912.876167999999</v>
      </c>
      <c r="G648" s="3" t="s">
        <v>16</v>
      </c>
      <c r="H648" s="3" t="s">
        <v>17</v>
      </c>
      <c r="I648" s="3">
        <f>IF(C648="India",1,IF(C648="USA",INDEX('Currency Master'!B:B,MATCH(DATE(N648,MONTH(DATEVALUE(O648&amp;" 1")),1),'Currency Master'!A:A,0)),IF(C648="Australia",INDEX('Currency Master'!T:T,MATCH(DATE(N648,MONTH(DATEVALUE(O648&amp;" 1")),1),'Currency Master'!A:A,0)),"")))</f>
        <v>31.438582</v>
      </c>
      <c r="J648" s="3">
        <f t="shared" si="40"/>
        <v>25912.876167999999</v>
      </c>
      <c r="K648" s="3" t="str">
        <f t="shared" si="41"/>
        <v>₹/Candy</v>
      </c>
      <c r="L648" s="3">
        <v>0.16789999999999999</v>
      </c>
      <c r="M648" s="3"/>
      <c r="N648" s="3">
        <f t="shared" si="42"/>
        <v>1994</v>
      </c>
      <c r="O648" s="3" t="str">
        <f t="shared" si="43"/>
        <v>January</v>
      </c>
      <c r="P648" s="3" t="s">
        <v>22</v>
      </c>
      <c r="Q648" s="3"/>
    </row>
    <row r="649" spans="1:17" hidden="1" x14ac:dyDescent="0.3">
      <c r="A649" s="2">
        <v>34304</v>
      </c>
      <c r="B649" s="3" t="s">
        <v>12</v>
      </c>
      <c r="C649" s="3" t="s">
        <v>19</v>
      </c>
      <c r="D649" s="3" t="s">
        <v>20</v>
      </c>
      <c r="E649" s="3" t="s">
        <v>21</v>
      </c>
      <c r="F649" s="3">
        <v>23212.171524000001</v>
      </c>
      <c r="G649" s="3" t="s">
        <v>16</v>
      </c>
      <c r="H649" s="3" t="s">
        <v>17</v>
      </c>
      <c r="I649" s="3">
        <f>IF(C649="India",1,IF(C649="USA",INDEX('Currency Master'!B:B,MATCH(DATE(N649,MONTH(DATEVALUE(O649&amp;" 1")),1),'Currency Master'!A:A,0)),IF(C649="Australia",INDEX('Currency Master'!T:T,MATCH(DATE(N649,MONTH(DATEVALUE(O649&amp;" 1")),1),'Currency Master'!A:A,0)),"")))</f>
        <v>31.44</v>
      </c>
      <c r="J649" s="3">
        <f t="shared" si="40"/>
        <v>23212.171524000001</v>
      </c>
      <c r="K649" s="3" t="str">
        <f t="shared" si="41"/>
        <v>₹/Candy</v>
      </c>
      <c r="L649" s="3">
        <v>8.2600000000000007E-2</v>
      </c>
      <c r="M649" s="3"/>
      <c r="N649" s="3">
        <f t="shared" si="42"/>
        <v>1993</v>
      </c>
      <c r="O649" s="3" t="str">
        <f t="shared" si="43"/>
        <v>December</v>
      </c>
      <c r="P649" s="3" t="s">
        <v>22</v>
      </c>
      <c r="Q649" s="3"/>
    </row>
    <row r="650" spans="1:17" hidden="1" x14ac:dyDescent="0.3">
      <c r="A650" s="2">
        <v>34274</v>
      </c>
      <c r="B650" s="3" t="s">
        <v>12</v>
      </c>
      <c r="C650" s="3" t="s">
        <v>19</v>
      </c>
      <c r="D650" s="3" t="s">
        <v>20</v>
      </c>
      <c r="E650" s="3" t="s">
        <v>21</v>
      </c>
      <c r="F650" s="3">
        <v>21984.709156000001</v>
      </c>
      <c r="G650" s="3" t="s">
        <v>16</v>
      </c>
      <c r="H650" s="3" t="s">
        <v>17</v>
      </c>
      <c r="I650" s="3">
        <f>IF(C650="India",1,IF(C650="USA",INDEX('Currency Master'!B:B,MATCH(DATE(N650,MONTH(DATEVALUE(O650&amp;" 1")),1),'Currency Master'!A:A,0)),IF(C650="Australia",INDEX('Currency Master'!T:T,MATCH(DATE(N650,MONTH(DATEVALUE(O650&amp;" 1")),1),'Currency Master'!A:A,0)),"")))</f>
        <v>31.435120999999999</v>
      </c>
      <c r="J650" s="3">
        <f t="shared" si="40"/>
        <v>21984.709156000001</v>
      </c>
      <c r="K650" s="3" t="str">
        <f t="shared" si="41"/>
        <v>₹/Candy</v>
      </c>
      <c r="L650" s="3">
        <v>0</v>
      </c>
      <c r="M650" s="3"/>
      <c r="N650" s="3">
        <f t="shared" si="42"/>
        <v>1993</v>
      </c>
      <c r="O650" s="3" t="str">
        <f t="shared" si="43"/>
        <v>November</v>
      </c>
      <c r="P650" s="3" t="s">
        <v>22</v>
      </c>
      <c r="Q650" s="3"/>
    </row>
    <row r="651" spans="1:17" hidden="1" x14ac:dyDescent="0.3">
      <c r="A651" s="2">
        <v>34243</v>
      </c>
      <c r="B651" s="3" t="s">
        <v>12</v>
      </c>
      <c r="C651" s="3" t="s">
        <v>19</v>
      </c>
      <c r="D651" s="3" t="s">
        <v>20</v>
      </c>
      <c r="E651" s="3" t="s">
        <v>21</v>
      </c>
      <c r="F651" s="3">
        <v>21984.709156000001</v>
      </c>
      <c r="G651" s="3" t="s">
        <v>16</v>
      </c>
      <c r="H651" s="3" t="s">
        <v>17</v>
      </c>
      <c r="I651" s="3">
        <f>IF(C651="India",1,IF(C651="USA",INDEX('Currency Master'!B:B,MATCH(DATE(N651,MONTH(DATEVALUE(O651&amp;" 1")),1),'Currency Master'!A:A,0)),IF(C651="Australia",INDEX('Currency Master'!T:T,MATCH(DATE(N651,MONTH(DATEVALUE(O651&amp;" 1")),1),'Currency Master'!A:A,0)),"")))</f>
        <v>31.500931999999999</v>
      </c>
      <c r="J651" s="3">
        <f t="shared" si="40"/>
        <v>21984.709156000001</v>
      </c>
      <c r="K651" s="3" t="str">
        <f t="shared" si="41"/>
        <v>₹/Candy</v>
      </c>
      <c r="L651" s="3">
        <v>-8.2000000000000007E-3</v>
      </c>
      <c r="M651" s="3"/>
      <c r="N651" s="3">
        <f t="shared" si="42"/>
        <v>1993</v>
      </c>
      <c r="O651" s="3" t="str">
        <f t="shared" si="43"/>
        <v>October</v>
      </c>
      <c r="P651" s="3" t="s">
        <v>22</v>
      </c>
      <c r="Q651" s="3"/>
    </row>
    <row r="652" spans="1:17" hidden="1" x14ac:dyDescent="0.3">
      <c r="A652" s="2">
        <v>34213</v>
      </c>
      <c r="B652" s="3" t="s">
        <v>12</v>
      </c>
      <c r="C652" s="3" t="s">
        <v>19</v>
      </c>
      <c r="D652" s="3" t="s">
        <v>20</v>
      </c>
      <c r="E652" s="3" t="s">
        <v>21</v>
      </c>
      <c r="F652" s="3">
        <v>22107.080239999999</v>
      </c>
      <c r="G652" s="3" t="s">
        <v>16</v>
      </c>
      <c r="H652" s="3" t="s">
        <v>17</v>
      </c>
      <c r="I652" s="3">
        <f>IF(C652="India",1,IF(C652="USA",INDEX('Currency Master'!B:B,MATCH(DATE(N652,MONTH(DATEVALUE(O652&amp;" 1")),1),'Currency Master'!A:A,0)),IF(C652="Australia",INDEX('Currency Master'!T:T,MATCH(DATE(N652,MONTH(DATEVALUE(O652&amp;" 1")),1),'Currency Master'!A:A,0)),"")))</f>
        <v>31.555066</v>
      </c>
      <c r="J652" s="3">
        <f t="shared" si="40"/>
        <v>22107.080239999999</v>
      </c>
      <c r="K652" s="3" t="str">
        <f t="shared" si="41"/>
        <v>₹/Candy</v>
      </c>
      <c r="L652" s="3">
        <v>0</v>
      </c>
      <c r="M652" s="3"/>
      <c r="N652" s="3">
        <f t="shared" si="42"/>
        <v>1993</v>
      </c>
      <c r="O652" s="3" t="str">
        <f t="shared" si="43"/>
        <v>September</v>
      </c>
      <c r="P652" s="3" t="s">
        <v>22</v>
      </c>
      <c r="Q652" s="3"/>
    </row>
    <row r="653" spans="1:17" hidden="1" x14ac:dyDescent="0.3">
      <c r="A653" s="2">
        <v>34182</v>
      </c>
      <c r="B653" s="3" t="s">
        <v>12</v>
      </c>
      <c r="C653" s="3" t="s">
        <v>19</v>
      </c>
      <c r="D653" s="3" t="s">
        <v>20</v>
      </c>
      <c r="E653" s="3" t="s">
        <v>21</v>
      </c>
      <c r="F653" s="3">
        <v>22110.424503999999</v>
      </c>
      <c r="G653" s="3" t="s">
        <v>16</v>
      </c>
      <c r="H653" s="3" t="s">
        <v>17</v>
      </c>
      <c r="I653" s="3">
        <f>IF(C653="India",1,IF(C653="USA",INDEX('Currency Master'!B:B,MATCH(DATE(N653,MONTH(DATEVALUE(O653&amp;" 1")),1),'Currency Master'!A:A,0)),IF(C653="Australia",INDEX('Currency Master'!T:T,MATCH(DATE(N653,MONTH(DATEVALUE(O653&amp;" 1")),1),'Currency Master'!A:A,0)),"")))</f>
        <v>31.612272999999998</v>
      </c>
      <c r="J653" s="3">
        <f t="shared" si="40"/>
        <v>22110.424503999999</v>
      </c>
      <c r="K653" s="3" t="str">
        <f t="shared" si="41"/>
        <v>₹/Candy</v>
      </c>
      <c r="L653" s="3">
        <v>-3.9399999999999998E-2</v>
      </c>
      <c r="M653" s="3"/>
      <c r="N653" s="3">
        <f t="shared" si="42"/>
        <v>1993</v>
      </c>
      <c r="O653" s="3" t="str">
        <f t="shared" si="43"/>
        <v>August</v>
      </c>
      <c r="P653" s="3" t="s">
        <v>22</v>
      </c>
      <c r="Q653" s="3"/>
    </row>
    <row r="654" spans="1:17" hidden="1" x14ac:dyDescent="0.3">
      <c r="A654" s="2">
        <v>34151</v>
      </c>
      <c r="B654" s="3" t="s">
        <v>12</v>
      </c>
      <c r="C654" s="3" t="s">
        <v>19</v>
      </c>
      <c r="D654" s="3" t="s">
        <v>20</v>
      </c>
      <c r="E654" s="3" t="s">
        <v>21</v>
      </c>
      <c r="F654" s="3">
        <v>22720.310175999999</v>
      </c>
      <c r="G654" s="3" t="s">
        <v>16</v>
      </c>
      <c r="H654" s="3" t="s">
        <v>17</v>
      </c>
      <c r="I654" s="3">
        <f>IF(C654="India",1,IF(C654="USA",INDEX('Currency Master'!B:B,MATCH(DATE(N654,MONTH(DATEVALUE(O654&amp;" 1")),1),'Currency Master'!A:A,0)),IF(C654="Australia",INDEX('Currency Master'!T:T,MATCH(DATE(N654,MONTH(DATEVALUE(O654&amp;" 1")),1),'Currency Master'!A:A,0)),"")))</f>
        <v>31.602547999999999</v>
      </c>
      <c r="J654" s="3">
        <f t="shared" si="40"/>
        <v>22720.310175999999</v>
      </c>
      <c r="K654" s="3" t="str">
        <f t="shared" si="41"/>
        <v>₹/Candy</v>
      </c>
      <c r="L654" s="3">
        <v>-2.3099999999999999E-2</v>
      </c>
      <c r="M654" s="3"/>
      <c r="N654" s="3">
        <f t="shared" si="42"/>
        <v>1993</v>
      </c>
      <c r="O654" s="3" t="str">
        <f t="shared" si="43"/>
        <v>July</v>
      </c>
      <c r="P654" s="3" t="s">
        <v>22</v>
      </c>
      <c r="Q654" s="3"/>
    </row>
    <row r="655" spans="1:17" hidden="1" x14ac:dyDescent="0.3">
      <c r="A655" s="2">
        <v>34121</v>
      </c>
      <c r="B655" s="3" t="s">
        <v>12</v>
      </c>
      <c r="C655" s="3" t="s">
        <v>19</v>
      </c>
      <c r="D655" s="3" t="s">
        <v>20</v>
      </c>
      <c r="E655" s="3" t="s">
        <v>21</v>
      </c>
      <c r="F655" s="3">
        <v>23087.2942</v>
      </c>
      <c r="G655" s="3" t="s">
        <v>16</v>
      </c>
      <c r="H655" s="3" t="s">
        <v>17</v>
      </c>
      <c r="I655" s="3">
        <f>IF(C655="India",1,IF(C655="USA",INDEX('Currency Master'!B:B,MATCH(DATE(N655,MONTH(DATEVALUE(O655&amp;" 1")),1),'Currency Master'!A:A,0)),IF(C655="Australia",INDEX('Currency Master'!T:T,MATCH(DATE(N655,MONTH(DATEVALUE(O655&amp;" 1")),1),'Currency Master'!A:A,0)),"")))</f>
        <v>31.668182000000002</v>
      </c>
      <c r="J655" s="3">
        <f t="shared" si="40"/>
        <v>23087.2942</v>
      </c>
      <c r="K655" s="3" t="str">
        <f t="shared" si="41"/>
        <v>₹/Candy</v>
      </c>
      <c r="L655" s="3">
        <v>-2.2599999999999999E-2</v>
      </c>
      <c r="M655" s="3"/>
      <c r="N655" s="3">
        <f t="shared" si="42"/>
        <v>1993</v>
      </c>
      <c r="O655" s="3" t="str">
        <f t="shared" si="43"/>
        <v>June</v>
      </c>
      <c r="P655" s="3" t="s">
        <v>22</v>
      </c>
      <c r="Q655" s="3"/>
    </row>
    <row r="656" spans="1:17" hidden="1" x14ac:dyDescent="0.3">
      <c r="A656" s="2">
        <v>34090</v>
      </c>
      <c r="B656" s="3" t="s">
        <v>12</v>
      </c>
      <c r="C656" s="3" t="s">
        <v>19</v>
      </c>
      <c r="D656" s="3" t="s">
        <v>20</v>
      </c>
      <c r="E656" s="3" t="s">
        <v>21</v>
      </c>
      <c r="F656" s="3">
        <v>23462.020155999999</v>
      </c>
      <c r="G656" s="3" t="s">
        <v>16</v>
      </c>
      <c r="H656" s="3" t="s">
        <v>17</v>
      </c>
      <c r="I656" s="3">
        <f>IF(C656="India",1,IF(C656="USA",INDEX('Currency Master'!B:B,MATCH(DATE(N656,MONTH(DATEVALUE(O656&amp;" 1")),1),'Currency Master'!A:A,0)),IF(C656="Australia",INDEX('Currency Master'!T:T,MATCH(DATE(N656,MONTH(DATEVALUE(O656&amp;" 1")),1),'Currency Master'!A:A,0)),"")))</f>
        <v>31.616667</v>
      </c>
      <c r="J656" s="3">
        <f t="shared" si="40"/>
        <v>23462.020155999999</v>
      </c>
      <c r="K656" s="3" t="str">
        <f t="shared" si="41"/>
        <v>₹/Candy</v>
      </c>
      <c r="L656" s="3">
        <v>-1.4800000000000001E-2</v>
      </c>
      <c r="M656" s="3"/>
      <c r="N656" s="3">
        <f t="shared" si="42"/>
        <v>1993</v>
      </c>
      <c r="O656" s="3" t="str">
        <f t="shared" si="43"/>
        <v>May</v>
      </c>
      <c r="P656" s="3" t="s">
        <v>22</v>
      </c>
      <c r="Q656" s="3"/>
    </row>
    <row r="657" spans="1:17" hidden="1" x14ac:dyDescent="0.3">
      <c r="A657" s="2">
        <v>34060</v>
      </c>
      <c r="B657" s="3" t="s">
        <v>12</v>
      </c>
      <c r="C657" s="3" t="s">
        <v>19</v>
      </c>
      <c r="D657" s="3" t="s">
        <v>20</v>
      </c>
      <c r="E657" s="3" t="s">
        <v>21</v>
      </c>
      <c r="F657" s="3">
        <v>23689.790379999999</v>
      </c>
      <c r="G657" s="3" t="s">
        <v>16</v>
      </c>
      <c r="H657" s="3" t="s">
        <v>17</v>
      </c>
      <c r="I657" s="3">
        <f>IF(C657="India",1,IF(C657="USA",INDEX('Currency Master'!B:B,MATCH(DATE(N657,MONTH(DATEVALUE(O657&amp;" 1")),1),'Currency Master'!A:A,0)),IF(C657="Australia",INDEX('Currency Master'!T:T,MATCH(DATE(N657,MONTH(DATEVALUE(O657&amp;" 1")),1),'Currency Master'!A:A,0)),"")))</f>
        <v>31.609090999999999</v>
      </c>
      <c r="J657" s="3">
        <f t="shared" si="40"/>
        <v>23689.790379999999</v>
      </c>
      <c r="K657" s="3" t="str">
        <f t="shared" si="41"/>
        <v>₹/Candy</v>
      </c>
      <c r="L657" s="3">
        <v>-7.4000000000000003E-3</v>
      </c>
      <c r="M657" s="3"/>
      <c r="N657" s="3">
        <f t="shared" si="42"/>
        <v>1993</v>
      </c>
      <c r="O657" s="3" t="str">
        <f t="shared" si="43"/>
        <v>April</v>
      </c>
      <c r="P657" s="3" t="s">
        <v>22</v>
      </c>
      <c r="Q657" s="3"/>
    </row>
    <row r="658" spans="1:17" hidden="1" x14ac:dyDescent="0.3">
      <c r="A658" s="2">
        <v>34029</v>
      </c>
      <c r="B658" s="3" t="s">
        <v>12</v>
      </c>
      <c r="C658" s="3" t="s">
        <v>19</v>
      </c>
      <c r="D658" s="3" t="s">
        <v>20</v>
      </c>
      <c r="E658" s="3" t="s">
        <v>21</v>
      </c>
      <c r="F658" s="3">
        <v>23736.903775999999</v>
      </c>
      <c r="G658" s="3" t="s">
        <v>16</v>
      </c>
      <c r="H658" s="3" t="s">
        <v>17</v>
      </c>
      <c r="I658" s="3">
        <f>IF(C658="India",1,IF(C658="USA",INDEX('Currency Master'!B:B,MATCH(DATE(N658,MONTH(DATEVALUE(O658&amp;" 1")),1),'Currency Master'!A:A,0)),IF(C658="Australia",INDEX('Currency Master'!T:T,MATCH(DATE(N658,MONTH(DATEVALUE(O658&amp;" 1")),1),'Currency Master'!A:A,0)),"")))</f>
        <v>31.939129999999999</v>
      </c>
      <c r="J658" s="3">
        <f t="shared" si="40"/>
        <v>23736.903775999999</v>
      </c>
      <c r="K658" s="3" t="str">
        <f t="shared" si="41"/>
        <v>₹/Candy</v>
      </c>
      <c r="L658" s="3">
        <v>2.2599999999999999E-2</v>
      </c>
      <c r="M658" s="3"/>
      <c r="N658" s="3">
        <f t="shared" si="42"/>
        <v>1993</v>
      </c>
      <c r="O658" s="3" t="str">
        <f t="shared" si="43"/>
        <v>March</v>
      </c>
      <c r="P658" s="3" t="s">
        <v>22</v>
      </c>
      <c r="Q658" s="3"/>
    </row>
    <row r="659" spans="1:17" hidden="1" x14ac:dyDescent="0.3">
      <c r="A659" s="2">
        <v>34001</v>
      </c>
      <c r="B659" s="3" t="s">
        <v>12</v>
      </c>
      <c r="C659" s="3" t="s">
        <v>19</v>
      </c>
      <c r="D659" s="3" t="s">
        <v>20</v>
      </c>
      <c r="E659" s="3" t="s">
        <v>21</v>
      </c>
      <c r="F659" s="3">
        <v>24238.574703999999</v>
      </c>
      <c r="G659" s="3" t="s">
        <v>16</v>
      </c>
      <c r="H659" s="3" t="s">
        <v>17</v>
      </c>
      <c r="I659" s="3">
        <f>IF(C659="India",1,IF(C659="USA",INDEX('Currency Master'!B:B,MATCH(DATE(N659,MONTH(DATEVALUE(O659&amp;" 1")),1),'Currency Master'!A:A,0)),IF(C659="Australia",INDEX('Currency Master'!T:T,MATCH(DATE(N659,MONTH(DATEVALUE(O659&amp;" 1")),1),'Currency Master'!A:A,0)),"")))</f>
        <v>30.071645</v>
      </c>
      <c r="J659" s="3">
        <f t="shared" si="40"/>
        <v>24238.574703999999</v>
      </c>
      <c r="K659" s="3" t="str">
        <f t="shared" si="41"/>
        <v>₹/Candy</v>
      </c>
      <c r="L659" s="3">
        <v>5.5599999999999997E-2</v>
      </c>
      <c r="M659" s="3"/>
      <c r="N659" s="3">
        <f t="shared" si="42"/>
        <v>1993</v>
      </c>
      <c r="O659" s="3" t="str">
        <f t="shared" si="43"/>
        <v>February</v>
      </c>
      <c r="P659" s="3" t="s">
        <v>22</v>
      </c>
      <c r="Q659" s="3"/>
    </row>
    <row r="660" spans="1:17" hidden="1" x14ac:dyDescent="0.3">
      <c r="A660" s="2">
        <v>33970</v>
      </c>
      <c r="B660" s="3" t="s">
        <v>12</v>
      </c>
      <c r="C660" s="3" t="s">
        <v>19</v>
      </c>
      <c r="D660" s="3" t="s">
        <v>20</v>
      </c>
      <c r="E660" s="3" t="s">
        <v>21</v>
      </c>
      <c r="F660" s="3">
        <v>22601.913831999998</v>
      </c>
      <c r="G660" s="3" t="s">
        <v>16</v>
      </c>
      <c r="H660" s="3" t="s">
        <v>17</v>
      </c>
      <c r="I660" s="3">
        <f>IF(C660="India",1,IF(C660="USA",INDEX('Currency Master'!B:B,MATCH(DATE(N660,MONTH(DATEVALUE(O660&amp;" 1")),1),'Currency Master'!A:A,0)),IF(C660="Australia",INDEX('Currency Master'!T:T,MATCH(DATE(N660,MONTH(DATEVALUE(O660&amp;" 1")),1),'Currency Master'!A:A,0)),"")))</f>
        <v>29.038591</v>
      </c>
      <c r="J660" s="3">
        <f t="shared" si="40"/>
        <v>22601.913831999998</v>
      </c>
      <c r="K660" s="3" t="str">
        <f t="shared" si="41"/>
        <v>₹/Candy</v>
      </c>
      <c r="L660" s="3">
        <v>0.05</v>
      </c>
      <c r="M660" s="3"/>
      <c r="N660" s="3">
        <f t="shared" si="42"/>
        <v>1993</v>
      </c>
      <c r="O660" s="3" t="str">
        <f t="shared" si="43"/>
        <v>January</v>
      </c>
      <c r="P660" s="3" t="s">
        <v>22</v>
      </c>
      <c r="Q660" s="3"/>
    </row>
    <row r="661" spans="1:17" hidden="1" x14ac:dyDescent="0.3">
      <c r="A661" s="2">
        <v>33939</v>
      </c>
      <c r="B661" s="3" t="s">
        <v>12</v>
      </c>
      <c r="C661" s="3" t="s">
        <v>19</v>
      </c>
      <c r="D661" s="3" t="s">
        <v>20</v>
      </c>
      <c r="E661" s="3" t="s">
        <v>21</v>
      </c>
      <c r="F661" s="3">
        <v>21608.103520000001</v>
      </c>
      <c r="G661" s="3" t="s">
        <v>16</v>
      </c>
      <c r="H661" s="3" t="s">
        <v>17</v>
      </c>
      <c r="I661" s="3">
        <f>IF(C661="India",1,IF(C661="USA",INDEX('Currency Master'!B:B,MATCH(DATE(N661,MONTH(DATEVALUE(O661&amp;" 1")),1),'Currency Master'!A:A,0)),IF(C661="Australia",INDEX('Currency Master'!T:T,MATCH(DATE(N661,MONTH(DATEVALUE(O661&amp;" 1")),1),'Currency Master'!A:A,0)),"")))</f>
        <v>28.979565000000001</v>
      </c>
      <c r="J661" s="3">
        <f t="shared" si="40"/>
        <v>21608.103520000001</v>
      </c>
      <c r="K661" s="3" t="str">
        <f t="shared" si="41"/>
        <v>₹/Candy</v>
      </c>
      <c r="L661" s="3">
        <v>3.4500000000000003E-2</v>
      </c>
      <c r="M661" s="3"/>
      <c r="N661" s="3">
        <f t="shared" si="42"/>
        <v>1992</v>
      </c>
      <c r="O661" s="3" t="str">
        <f t="shared" si="43"/>
        <v>December</v>
      </c>
      <c r="P661" s="3" t="s">
        <v>22</v>
      </c>
      <c r="Q661" s="3"/>
    </row>
    <row r="662" spans="1:17" hidden="1" x14ac:dyDescent="0.3">
      <c r="A662" s="2">
        <v>33909</v>
      </c>
      <c r="B662" s="3" t="s">
        <v>12</v>
      </c>
      <c r="C662" s="3" t="s">
        <v>19</v>
      </c>
      <c r="D662" s="3" t="s">
        <v>20</v>
      </c>
      <c r="E662" s="3" t="s">
        <v>21</v>
      </c>
      <c r="F662" s="3">
        <v>20878.959984000001</v>
      </c>
      <c r="G662" s="3" t="s">
        <v>16</v>
      </c>
      <c r="H662" s="3" t="s">
        <v>17</v>
      </c>
      <c r="I662" s="3">
        <f>IF(C662="India",1,IF(C662="USA",INDEX('Currency Master'!B:B,MATCH(DATE(N662,MONTH(DATEVALUE(O662&amp;" 1")),1),'Currency Master'!A:A,0)),IF(C662="Australia",INDEX('Currency Master'!T:T,MATCH(DATE(N662,MONTH(DATEVALUE(O662&amp;" 1")),1),'Currency Master'!A:A,0)),"")))</f>
        <v>28.47663</v>
      </c>
      <c r="J662" s="3">
        <f t="shared" si="40"/>
        <v>20878.959984000001</v>
      </c>
      <c r="K662" s="3" t="str">
        <f t="shared" si="41"/>
        <v>₹/Candy</v>
      </c>
      <c r="L662" s="3">
        <v>-8.5000000000000006E-3</v>
      </c>
      <c r="M662" s="3"/>
      <c r="N662" s="3">
        <f t="shared" si="42"/>
        <v>1992</v>
      </c>
      <c r="O662" s="3" t="str">
        <f t="shared" si="43"/>
        <v>November</v>
      </c>
      <c r="P662" s="3" t="s">
        <v>22</v>
      </c>
      <c r="Q662" s="3"/>
    </row>
    <row r="663" spans="1:17" hidden="1" x14ac:dyDescent="0.3">
      <c r="A663" s="2">
        <v>33878</v>
      </c>
      <c r="B663" s="3" t="s">
        <v>12</v>
      </c>
      <c r="C663" s="3" t="s">
        <v>19</v>
      </c>
      <c r="D663" s="3" t="s">
        <v>20</v>
      </c>
      <c r="E663" s="3" t="s">
        <v>21</v>
      </c>
      <c r="F663" s="3">
        <v>20893.566664000002</v>
      </c>
      <c r="G663" s="3" t="s">
        <v>16</v>
      </c>
      <c r="H663" s="3" t="s">
        <v>17</v>
      </c>
      <c r="I663" s="3">
        <f>IF(C663="India",1,IF(C663="USA",INDEX('Currency Master'!B:B,MATCH(DATE(N663,MONTH(DATEVALUE(O663&amp;" 1")),1),'Currency Master'!A:A,0)),IF(C663="Australia",INDEX('Currency Master'!T:T,MATCH(DATE(N663,MONTH(DATEVALUE(O663&amp;" 1")),1),'Currency Master'!A:A,0)),"")))</f>
        <v>28.473904000000001</v>
      </c>
      <c r="J663" s="3">
        <f t="shared" si="40"/>
        <v>20893.566664000002</v>
      </c>
      <c r="K663" s="3" t="str">
        <f t="shared" si="41"/>
        <v>₹/Candy</v>
      </c>
      <c r="L663" s="3">
        <v>-6.4000000000000001E-2</v>
      </c>
      <c r="M663" s="3"/>
      <c r="N663" s="3">
        <f t="shared" si="42"/>
        <v>1992</v>
      </c>
      <c r="O663" s="3" t="str">
        <f t="shared" si="43"/>
        <v>October</v>
      </c>
      <c r="P663" s="3" t="s">
        <v>22</v>
      </c>
      <c r="Q663" s="3"/>
    </row>
    <row r="664" spans="1:17" hidden="1" x14ac:dyDescent="0.3">
      <c r="A664" s="2">
        <v>33848</v>
      </c>
      <c r="B664" s="3" t="s">
        <v>12</v>
      </c>
      <c r="C664" s="3" t="s">
        <v>19</v>
      </c>
      <c r="D664" s="3" t="s">
        <v>20</v>
      </c>
      <c r="E664" s="3" t="s">
        <v>21</v>
      </c>
      <c r="F664" s="3">
        <v>21828.495999999999</v>
      </c>
      <c r="G664" s="3" t="s">
        <v>16</v>
      </c>
      <c r="H664" s="3" t="s">
        <v>17</v>
      </c>
      <c r="I664" s="3">
        <f>IF(C664="India",1,IF(C664="USA",INDEX('Currency Master'!B:B,MATCH(DATE(N664,MONTH(DATEVALUE(O664&amp;" 1")),1),'Currency Master'!A:A,0)),IF(C664="Australia",INDEX('Currency Master'!T:T,MATCH(DATE(N664,MONTH(DATEVALUE(O664&amp;" 1")),1),'Currency Master'!A:A,0)),"")))</f>
        <v>28.454554000000002</v>
      </c>
      <c r="J664" s="3">
        <f t="shared" si="40"/>
        <v>21828.495999999999</v>
      </c>
      <c r="K664" s="3" t="str">
        <f t="shared" si="41"/>
        <v>₹/Candy</v>
      </c>
      <c r="L664" s="3" t="s">
        <v>23</v>
      </c>
      <c r="M664" s="3"/>
      <c r="N664" s="3">
        <f t="shared" si="42"/>
        <v>1992</v>
      </c>
      <c r="O664" s="3" t="str">
        <f t="shared" si="43"/>
        <v>September</v>
      </c>
      <c r="P664" s="3" t="s">
        <v>22</v>
      </c>
      <c r="Q664" s="3"/>
    </row>
    <row r="665" spans="1:17" x14ac:dyDescent="0.3">
      <c r="A665" s="2">
        <v>46143</v>
      </c>
      <c r="B665" s="3" t="s">
        <v>12</v>
      </c>
      <c r="C665" s="3" t="s">
        <v>13</v>
      </c>
      <c r="D665" s="3" t="s">
        <v>24</v>
      </c>
      <c r="E665" s="3" t="s">
        <v>15</v>
      </c>
      <c r="F665" s="3">
        <v>84000</v>
      </c>
      <c r="G665" s="3" t="s">
        <v>16</v>
      </c>
      <c r="H665" s="3" t="s">
        <v>17</v>
      </c>
      <c r="I665" s="3">
        <f>IF(C665="India",1,IF(C665="USA",INDEX('Currency Master'!B:B,MATCH(DATE(N665,MONTH(DATEVALUE(O665&amp;" 1")),1),'Currency Master'!A:A,0)),IF(C665="Australia",INDEX('Currency Master'!T:T,MATCH(DATE(N665,MONTH(DATEVALUE(O665&amp;" 1")),1),'Currency Master'!A:A,0)),"")))</f>
        <v>1</v>
      </c>
      <c r="J665" s="3">
        <f t="shared" si="40"/>
        <v>84000</v>
      </c>
      <c r="K665" s="3" t="str">
        <f t="shared" si="41"/>
        <v>₹/Candy</v>
      </c>
      <c r="L665" s="3">
        <v>0.105263157894737</v>
      </c>
      <c r="M665" s="3">
        <v>6.4490375232857194E-2</v>
      </c>
      <c r="N665" s="3">
        <f t="shared" si="42"/>
        <v>2026</v>
      </c>
      <c r="O665" s="3" t="str">
        <f t="shared" si="43"/>
        <v>May</v>
      </c>
      <c r="P665" s="3" t="s">
        <v>25</v>
      </c>
      <c r="Q665" s="3"/>
    </row>
    <row r="666" spans="1:17" x14ac:dyDescent="0.3">
      <c r="A666" s="2">
        <v>46113</v>
      </c>
      <c r="B666" s="3" t="s">
        <v>12</v>
      </c>
      <c r="C666" s="3" t="s">
        <v>13</v>
      </c>
      <c r="D666" s="3" t="s">
        <v>24</v>
      </c>
      <c r="E666" s="3" t="s">
        <v>15</v>
      </c>
      <c r="F666" s="3">
        <v>76000</v>
      </c>
      <c r="G666" s="3" t="s">
        <v>16</v>
      </c>
      <c r="H666" s="3" t="s">
        <v>17</v>
      </c>
      <c r="I666" s="3">
        <f>IF(C666="India",1,IF(C666="USA",INDEX('Currency Master'!B:B,MATCH(DATE(N666,MONTH(DATEVALUE(O666&amp;" 1")),1),'Currency Master'!A:A,0)),IF(C666="Australia",INDEX('Currency Master'!T:T,MATCH(DATE(N666,MONTH(DATEVALUE(O666&amp;" 1")),1),'Currency Master'!A:A,0)),"")))</f>
        <v>1</v>
      </c>
      <c r="J666" s="3">
        <f t="shared" si="40"/>
        <v>76000</v>
      </c>
      <c r="K666" s="3" t="str">
        <f t="shared" si="41"/>
        <v>₹/Candy</v>
      </c>
      <c r="L666" s="3">
        <v>5.5555555555555601E-2</v>
      </c>
      <c r="M666" s="3">
        <v>-5.5959257188994499E-2</v>
      </c>
      <c r="N666" s="3">
        <f t="shared" si="42"/>
        <v>2026</v>
      </c>
      <c r="O666" s="3" t="str">
        <f t="shared" si="43"/>
        <v>April</v>
      </c>
      <c r="P666" s="3" t="s">
        <v>25</v>
      </c>
      <c r="Q666" s="3"/>
    </row>
    <row r="667" spans="1:17" x14ac:dyDescent="0.3">
      <c r="A667" s="2">
        <v>46082</v>
      </c>
      <c r="B667" s="3" t="s">
        <v>12</v>
      </c>
      <c r="C667" s="3" t="s">
        <v>13</v>
      </c>
      <c r="D667" s="3" t="s">
        <v>24</v>
      </c>
      <c r="E667" s="3" t="s">
        <v>15</v>
      </c>
      <c r="F667" s="3">
        <v>72000</v>
      </c>
      <c r="G667" s="3" t="s">
        <v>16</v>
      </c>
      <c r="H667" s="3" t="s">
        <v>17</v>
      </c>
      <c r="I667" s="3">
        <f>IF(C667="India",1,IF(C667="USA",INDEX('Currency Master'!B:B,MATCH(DATE(N667,MONTH(DATEVALUE(O667&amp;" 1")),1),'Currency Master'!A:A,0)),IF(C667="Australia",INDEX('Currency Master'!T:T,MATCH(DATE(N667,MONTH(DATEVALUE(O667&amp;" 1")),1),'Currency Master'!A:A,0)),"")))</f>
        <v>1</v>
      </c>
      <c r="J667" s="3">
        <f t="shared" si="40"/>
        <v>72000</v>
      </c>
      <c r="K667" s="3" t="str">
        <f t="shared" si="41"/>
        <v>₹/Candy</v>
      </c>
      <c r="L667" s="3">
        <v>-2.7027027027027001E-2</v>
      </c>
      <c r="M667" s="3">
        <v>-0.10908730944367501</v>
      </c>
      <c r="N667" s="3">
        <f t="shared" si="42"/>
        <v>2026</v>
      </c>
      <c r="O667" s="3" t="str">
        <f t="shared" si="43"/>
        <v>March</v>
      </c>
      <c r="P667" s="3" t="s">
        <v>25</v>
      </c>
      <c r="Q667" s="3"/>
    </row>
    <row r="668" spans="1:17" x14ac:dyDescent="0.3">
      <c r="A668" s="2">
        <v>46054</v>
      </c>
      <c r="B668" s="3" t="s">
        <v>12</v>
      </c>
      <c r="C668" s="3" t="s">
        <v>13</v>
      </c>
      <c r="D668" s="3" t="s">
        <v>24</v>
      </c>
      <c r="E668" s="3" t="s">
        <v>15</v>
      </c>
      <c r="F668" s="3">
        <v>74000</v>
      </c>
      <c r="G668" s="3" t="s">
        <v>16</v>
      </c>
      <c r="H668" s="3" t="s">
        <v>17</v>
      </c>
      <c r="I668" s="3">
        <f>IF(C668="India",1,IF(C668="USA",INDEX('Currency Master'!B:B,MATCH(DATE(N668,MONTH(DATEVALUE(O668&amp;" 1")),1),'Currency Master'!A:A,0)),IF(C668="Australia",INDEX('Currency Master'!T:T,MATCH(DATE(N668,MONTH(DATEVALUE(O668&amp;" 1")),1),'Currency Master'!A:A,0)),"")))</f>
        <v>1</v>
      </c>
      <c r="J668" s="3">
        <f t="shared" si="40"/>
        <v>74000</v>
      </c>
      <c r="K668" s="3" t="str">
        <f t="shared" si="41"/>
        <v>₹/Candy</v>
      </c>
      <c r="L668" s="3">
        <v>3.99685198718309E-2</v>
      </c>
      <c r="M668" s="3">
        <v>-9.0450964244890006E-2</v>
      </c>
      <c r="N668" s="3">
        <f t="shared" si="42"/>
        <v>2026</v>
      </c>
      <c r="O668" s="3" t="str">
        <f t="shared" si="43"/>
        <v>February</v>
      </c>
      <c r="P668" s="3" t="s">
        <v>25</v>
      </c>
      <c r="Q668" s="3"/>
    </row>
    <row r="669" spans="1:17" x14ac:dyDescent="0.3">
      <c r="A669" s="2">
        <v>46023</v>
      </c>
      <c r="B669" s="3" t="s">
        <v>12</v>
      </c>
      <c r="C669" s="3" t="s">
        <v>13</v>
      </c>
      <c r="D669" s="3" t="s">
        <v>24</v>
      </c>
      <c r="E669" s="3" t="s">
        <v>15</v>
      </c>
      <c r="F669" s="3">
        <v>71156</v>
      </c>
      <c r="G669" s="3" t="s">
        <v>16</v>
      </c>
      <c r="H669" s="3" t="s">
        <v>17</v>
      </c>
      <c r="I669" s="3">
        <f>IF(C669="India",1,IF(C669="USA",INDEX('Currency Master'!B:B,MATCH(DATE(N669,MONTH(DATEVALUE(O669&amp;" 1")),1),'Currency Master'!A:A,0)),IF(C669="Australia",INDEX('Currency Master'!T:T,MATCH(DATE(N669,MONTH(DATEVALUE(O669&amp;" 1")),1),'Currency Master'!A:A,0)),"")))</f>
        <v>1</v>
      </c>
      <c r="J669" s="3">
        <f t="shared" si="40"/>
        <v>71156</v>
      </c>
      <c r="K669" s="3" t="str">
        <f t="shared" si="41"/>
        <v>₹/Candy</v>
      </c>
      <c r="L669" s="3">
        <v>-2.0056382277451302E-3</v>
      </c>
      <c r="M669" s="3">
        <v>-0.14269879518072301</v>
      </c>
      <c r="N669" s="3">
        <f t="shared" si="42"/>
        <v>2026</v>
      </c>
      <c r="O669" s="3" t="str">
        <f t="shared" si="43"/>
        <v>January</v>
      </c>
      <c r="P669" s="3" t="s">
        <v>25</v>
      </c>
      <c r="Q669" s="3"/>
    </row>
    <row r="670" spans="1:17" hidden="1" x14ac:dyDescent="0.3">
      <c r="A670" s="2">
        <v>45992</v>
      </c>
      <c r="B670" s="3" t="s">
        <v>12</v>
      </c>
      <c r="C670" s="3" t="s">
        <v>13</v>
      </c>
      <c r="D670" s="3" t="s">
        <v>24</v>
      </c>
      <c r="E670" s="3" t="s">
        <v>15</v>
      </c>
      <c r="F670" s="3">
        <v>71299</v>
      </c>
      <c r="G670" s="3" t="s">
        <v>16</v>
      </c>
      <c r="H670" s="3" t="s">
        <v>17</v>
      </c>
      <c r="I670" s="3">
        <f>IF(C670="India",1,IF(C670="USA",INDEX('Currency Master'!B:B,MATCH(DATE(N670,MONTH(DATEVALUE(O670&amp;" 1")),1),'Currency Master'!A:A,0)),IF(C670="Australia",INDEX('Currency Master'!T:T,MATCH(DATE(N670,MONTH(DATEVALUE(O670&amp;" 1")),1),'Currency Master'!A:A,0)),"")))</f>
        <v>1</v>
      </c>
      <c r="J670" s="3">
        <f t="shared" si="40"/>
        <v>71299</v>
      </c>
      <c r="K670" s="3" t="str">
        <f t="shared" si="41"/>
        <v>₹/Candy</v>
      </c>
      <c r="L670" s="3">
        <v>-3.6135294435732497E-2</v>
      </c>
      <c r="M670" s="3">
        <v>-0.20336312849162</v>
      </c>
      <c r="N670" s="3">
        <f t="shared" si="42"/>
        <v>2025</v>
      </c>
      <c r="O670" s="3" t="str">
        <f t="shared" si="43"/>
        <v>December</v>
      </c>
      <c r="P670" s="3" t="s">
        <v>25</v>
      </c>
      <c r="Q670" s="3"/>
    </row>
    <row r="671" spans="1:17" hidden="1" x14ac:dyDescent="0.3">
      <c r="A671" s="2">
        <v>45962</v>
      </c>
      <c r="B671" s="3" t="s">
        <v>12</v>
      </c>
      <c r="C671" s="3" t="s">
        <v>13</v>
      </c>
      <c r="D671" s="3" t="s">
        <v>24</v>
      </c>
      <c r="E671" s="3" t="s">
        <v>15</v>
      </c>
      <c r="F671" s="3">
        <v>73972</v>
      </c>
      <c r="G671" s="3" t="s">
        <v>16</v>
      </c>
      <c r="H671" s="3" t="s">
        <v>17</v>
      </c>
      <c r="I671" s="3">
        <f>IF(C671="India",1,IF(C671="USA",INDEX('Currency Master'!B:B,MATCH(DATE(N671,MONTH(DATEVALUE(O671&amp;" 1")),1),'Currency Master'!A:A,0)),IF(C671="Australia",INDEX('Currency Master'!T:T,MATCH(DATE(N671,MONTH(DATEVALUE(O671&amp;" 1")),1),'Currency Master'!A:A,0)),"")))</f>
        <v>1</v>
      </c>
      <c r="J671" s="3">
        <f t="shared" si="40"/>
        <v>73972</v>
      </c>
      <c r="K671" s="3" t="str">
        <f t="shared" si="41"/>
        <v>₹/Candy</v>
      </c>
      <c r="L671" s="3">
        <v>-3.5416232005007299E-2</v>
      </c>
      <c r="M671" s="3">
        <v>-0.22134736842105299</v>
      </c>
      <c r="N671" s="3">
        <f t="shared" si="42"/>
        <v>2025</v>
      </c>
      <c r="O671" s="3" t="str">
        <f t="shared" si="43"/>
        <v>November</v>
      </c>
      <c r="P671" s="3" t="s">
        <v>25</v>
      </c>
      <c r="Q671" s="3"/>
    </row>
    <row r="672" spans="1:17" hidden="1" x14ac:dyDescent="0.3">
      <c r="A672" s="2">
        <v>45931</v>
      </c>
      <c r="B672" s="3" t="s">
        <v>12</v>
      </c>
      <c r="C672" s="3" t="s">
        <v>13</v>
      </c>
      <c r="D672" s="3" t="s">
        <v>24</v>
      </c>
      <c r="E672" s="3" t="s">
        <v>15</v>
      </c>
      <c r="F672" s="3">
        <v>76688</v>
      </c>
      <c r="G672" s="3" t="s">
        <v>16</v>
      </c>
      <c r="H672" s="3" t="s">
        <v>17</v>
      </c>
      <c r="I672" s="3">
        <f>IF(C672="India",1,IF(C672="USA",INDEX('Currency Master'!B:B,MATCH(DATE(N672,MONTH(DATEVALUE(O672&amp;" 1")),1),'Currency Master'!A:A,0)),IF(C672="Australia",INDEX('Currency Master'!T:T,MATCH(DATE(N672,MONTH(DATEVALUE(O672&amp;" 1")),1),'Currency Master'!A:A,0)),"")))</f>
        <v>1</v>
      </c>
      <c r="J672" s="3">
        <f t="shared" si="40"/>
        <v>76688</v>
      </c>
      <c r="K672" s="3" t="str">
        <f t="shared" si="41"/>
        <v>₹/Candy</v>
      </c>
      <c r="L672" s="3">
        <v>-2.0437359493153499E-2</v>
      </c>
      <c r="M672" s="3">
        <v>-0.18848677248677201</v>
      </c>
      <c r="N672" s="3">
        <f t="shared" si="42"/>
        <v>2025</v>
      </c>
      <c r="O672" s="3" t="str">
        <f t="shared" si="43"/>
        <v>October</v>
      </c>
      <c r="P672" s="3" t="s">
        <v>25</v>
      </c>
      <c r="Q672" s="3"/>
    </row>
    <row r="673" spans="1:17" hidden="1" x14ac:dyDescent="0.3">
      <c r="A673" s="2">
        <v>45901</v>
      </c>
      <c r="B673" s="3" t="s">
        <v>12</v>
      </c>
      <c r="C673" s="3" t="s">
        <v>13</v>
      </c>
      <c r="D673" s="3" t="s">
        <v>24</v>
      </c>
      <c r="E673" s="3" t="s">
        <v>15</v>
      </c>
      <c r="F673" s="3">
        <v>78288</v>
      </c>
      <c r="G673" s="3" t="s">
        <v>16</v>
      </c>
      <c r="H673" s="3" t="s">
        <v>17</v>
      </c>
      <c r="I673" s="3">
        <f>IF(C673="India",1,IF(C673="USA",INDEX('Currency Master'!B:B,MATCH(DATE(N673,MONTH(DATEVALUE(O673&amp;" 1")),1),'Currency Master'!A:A,0)),IF(C673="Australia",INDEX('Currency Master'!T:T,MATCH(DATE(N673,MONTH(DATEVALUE(O673&amp;" 1")),1),'Currency Master'!A:A,0)),"")))</f>
        <v>1</v>
      </c>
      <c r="J673" s="3">
        <f t="shared" si="40"/>
        <v>78288</v>
      </c>
      <c r="K673" s="3" t="str">
        <f t="shared" si="41"/>
        <v>₹/Candy</v>
      </c>
      <c r="L673" s="3">
        <v>-4.9810661229245601E-2</v>
      </c>
      <c r="M673" s="3">
        <v>-8.4350877192982496E-2</v>
      </c>
      <c r="N673" s="3">
        <f t="shared" si="42"/>
        <v>2025</v>
      </c>
      <c r="O673" s="3" t="str">
        <f t="shared" si="43"/>
        <v>September</v>
      </c>
      <c r="P673" s="3" t="s">
        <v>25</v>
      </c>
      <c r="Q673" s="3"/>
    </row>
    <row r="674" spans="1:17" hidden="1" x14ac:dyDescent="0.3">
      <c r="A674" s="2">
        <v>45870</v>
      </c>
      <c r="B674" s="3" t="s">
        <v>12</v>
      </c>
      <c r="C674" s="3" t="s">
        <v>13</v>
      </c>
      <c r="D674" s="3" t="s">
        <v>24</v>
      </c>
      <c r="E674" s="3" t="s">
        <v>15</v>
      </c>
      <c r="F674" s="3">
        <v>82392</v>
      </c>
      <c r="G674" s="3" t="s">
        <v>16</v>
      </c>
      <c r="H674" s="3" t="s">
        <v>17</v>
      </c>
      <c r="I674" s="3">
        <f>IF(C674="India",1,IF(C674="USA",INDEX('Currency Master'!B:B,MATCH(DATE(N674,MONTH(DATEVALUE(O674&amp;" 1")),1),'Currency Master'!A:A,0)),IF(C674="Australia",INDEX('Currency Master'!T:T,MATCH(DATE(N674,MONTH(DATEVALUE(O674&amp;" 1")),1),'Currency Master'!A:A,0)),"")))</f>
        <v>1</v>
      </c>
      <c r="J674" s="3">
        <f t="shared" si="40"/>
        <v>82392</v>
      </c>
      <c r="K674" s="3" t="str">
        <f t="shared" si="41"/>
        <v>₹/Candy</v>
      </c>
      <c r="L674" s="3">
        <v>3.68207786978079E-2</v>
      </c>
      <c r="M674" s="3">
        <v>-3.0682352941176501E-2</v>
      </c>
      <c r="N674" s="3">
        <f t="shared" si="42"/>
        <v>2025</v>
      </c>
      <c r="O674" s="3" t="str">
        <f t="shared" si="43"/>
        <v>August</v>
      </c>
      <c r="P674" s="3" t="s">
        <v>25</v>
      </c>
      <c r="Q674" s="3"/>
    </row>
    <row r="675" spans="1:17" hidden="1" x14ac:dyDescent="0.3">
      <c r="A675" s="2">
        <v>45839</v>
      </c>
      <c r="B675" s="3" t="s">
        <v>12</v>
      </c>
      <c r="C675" s="3" t="s">
        <v>13</v>
      </c>
      <c r="D675" s="3" t="s">
        <v>24</v>
      </c>
      <c r="E675" s="3" t="s">
        <v>15</v>
      </c>
      <c r="F675" s="3">
        <v>79466</v>
      </c>
      <c r="G675" s="3" t="s">
        <v>16</v>
      </c>
      <c r="H675" s="3" t="s">
        <v>17</v>
      </c>
      <c r="I675" s="3">
        <f>IF(C675="India",1,IF(C675="USA",INDEX('Currency Master'!B:B,MATCH(DATE(N675,MONTH(DATEVALUE(O675&amp;" 1")),1),'Currency Master'!A:A,0)),IF(C675="Australia",INDEX('Currency Master'!T:T,MATCH(DATE(N675,MONTH(DATEVALUE(O675&amp;" 1")),1),'Currency Master'!A:A,0)),"")))</f>
        <v>1</v>
      </c>
      <c r="J675" s="3">
        <f t="shared" si="40"/>
        <v>79466</v>
      </c>
      <c r="K675" s="3" t="str">
        <f t="shared" si="41"/>
        <v>₹/Candy</v>
      </c>
      <c r="L675" s="3">
        <v>4.3984933896206203E-3</v>
      </c>
      <c r="M675" s="3">
        <v>-3.0902439024390299E-2</v>
      </c>
      <c r="N675" s="3">
        <f t="shared" si="42"/>
        <v>2025</v>
      </c>
      <c r="O675" s="3" t="str">
        <f t="shared" si="43"/>
        <v>July</v>
      </c>
      <c r="P675" s="3" t="s">
        <v>25</v>
      </c>
      <c r="Q675" s="3"/>
    </row>
    <row r="676" spans="1:17" hidden="1" x14ac:dyDescent="0.3">
      <c r="A676" s="2">
        <v>45809</v>
      </c>
      <c r="B676" s="3" t="s">
        <v>12</v>
      </c>
      <c r="C676" s="3" t="s">
        <v>13</v>
      </c>
      <c r="D676" s="3" t="s">
        <v>24</v>
      </c>
      <c r="E676" s="3" t="s">
        <v>15</v>
      </c>
      <c r="F676" s="3">
        <v>79118</v>
      </c>
      <c r="G676" s="3" t="s">
        <v>16</v>
      </c>
      <c r="H676" s="3" t="s">
        <v>17</v>
      </c>
      <c r="I676" s="3">
        <f>IF(C676="India",1,IF(C676="USA",INDEX('Currency Master'!B:B,MATCH(DATE(N676,MONTH(DATEVALUE(O676&amp;" 1")),1),'Currency Master'!A:A,0)),IF(C676="Australia",INDEX('Currency Master'!T:T,MATCH(DATE(N676,MONTH(DATEVALUE(O676&amp;" 1")),1),'Currency Master'!A:A,0)),"")))</f>
        <v>1</v>
      </c>
      <c r="J676" s="3">
        <f t="shared" si="40"/>
        <v>79118</v>
      </c>
      <c r="K676" s="3" t="str">
        <f t="shared" si="41"/>
        <v>₹/Candy</v>
      </c>
      <c r="L676" s="3">
        <v>2.62320842468089E-3</v>
      </c>
      <c r="M676" s="3">
        <v>-3.51463414634147E-2</v>
      </c>
      <c r="N676" s="3">
        <f t="shared" si="42"/>
        <v>2025</v>
      </c>
      <c r="O676" s="3" t="str">
        <f t="shared" si="43"/>
        <v>June</v>
      </c>
      <c r="P676" s="3" t="s">
        <v>25</v>
      </c>
      <c r="Q676" s="3"/>
    </row>
    <row r="677" spans="1:17" hidden="1" x14ac:dyDescent="0.3">
      <c r="A677" s="2">
        <v>45778</v>
      </c>
      <c r="B677" s="3" t="s">
        <v>12</v>
      </c>
      <c r="C677" s="3" t="s">
        <v>13</v>
      </c>
      <c r="D677" s="3" t="s">
        <v>24</v>
      </c>
      <c r="E677" s="3" t="s">
        <v>15</v>
      </c>
      <c r="F677" s="3">
        <v>78911</v>
      </c>
      <c r="G677" s="3" t="s">
        <v>16</v>
      </c>
      <c r="H677" s="3" t="s">
        <v>17</v>
      </c>
      <c r="I677" s="3">
        <f>IF(C677="India",1,IF(C677="USA",INDEX('Currency Master'!B:B,MATCH(DATE(N677,MONTH(DATEVALUE(O677&amp;" 1")),1),'Currency Master'!A:A,0)),IF(C677="Australia",INDEX('Currency Master'!T:T,MATCH(DATE(N677,MONTH(DATEVALUE(O677&amp;" 1")),1),'Currency Master'!A:A,0)),"")))</f>
        <v>1</v>
      </c>
      <c r="J677" s="3">
        <f t="shared" si="40"/>
        <v>78911</v>
      </c>
      <c r="K677" s="3" t="str">
        <f t="shared" si="41"/>
        <v>₹/Candy</v>
      </c>
      <c r="L677" s="3">
        <v>-1.98000124215887E-2</v>
      </c>
      <c r="M677" s="3">
        <v>-3.76707317073171E-2</v>
      </c>
      <c r="N677" s="3">
        <f t="shared" si="42"/>
        <v>2025</v>
      </c>
      <c r="O677" s="3" t="str">
        <f t="shared" si="43"/>
        <v>May</v>
      </c>
      <c r="P677" s="3" t="s">
        <v>25</v>
      </c>
      <c r="Q677" s="3"/>
    </row>
    <row r="678" spans="1:17" hidden="1" x14ac:dyDescent="0.3">
      <c r="A678" s="2">
        <v>45748</v>
      </c>
      <c r="B678" s="3" t="s">
        <v>12</v>
      </c>
      <c r="C678" s="3" t="s">
        <v>13</v>
      </c>
      <c r="D678" s="3" t="s">
        <v>24</v>
      </c>
      <c r="E678" s="3" t="s">
        <v>15</v>
      </c>
      <c r="F678" s="3">
        <v>80505</v>
      </c>
      <c r="G678" s="3" t="s">
        <v>16</v>
      </c>
      <c r="H678" s="3" t="s">
        <v>17</v>
      </c>
      <c r="I678" s="3">
        <f>IF(C678="India",1,IF(C678="USA",INDEX('Currency Master'!B:B,MATCH(DATE(N678,MONTH(DATEVALUE(O678&amp;" 1")),1),'Currency Master'!A:A,0)),IF(C678="Australia",INDEX('Currency Master'!T:T,MATCH(DATE(N678,MONTH(DATEVALUE(O678&amp;" 1")),1),'Currency Master'!A:A,0)),"")))</f>
        <v>1</v>
      </c>
      <c r="J678" s="3">
        <f t="shared" si="40"/>
        <v>80505</v>
      </c>
      <c r="K678" s="3" t="str">
        <f t="shared" si="41"/>
        <v>₹/Candy</v>
      </c>
      <c r="L678" s="3">
        <v>-3.8482478717085699E-3</v>
      </c>
      <c r="M678" s="3">
        <v>-1.82317073170731E-2</v>
      </c>
      <c r="N678" s="3">
        <f t="shared" si="42"/>
        <v>2025</v>
      </c>
      <c r="O678" s="3" t="str">
        <f t="shared" si="43"/>
        <v>April</v>
      </c>
      <c r="P678" s="3" t="s">
        <v>25</v>
      </c>
      <c r="Q678" s="3"/>
    </row>
    <row r="679" spans="1:17" hidden="1" x14ac:dyDescent="0.3">
      <c r="A679" s="2">
        <v>45717</v>
      </c>
      <c r="B679" s="3" t="s">
        <v>12</v>
      </c>
      <c r="C679" s="3" t="s">
        <v>13</v>
      </c>
      <c r="D679" s="3" t="s">
        <v>24</v>
      </c>
      <c r="E679" s="3" t="s">
        <v>15</v>
      </c>
      <c r="F679" s="3">
        <v>80816</v>
      </c>
      <c r="G679" s="3" t="s">
        <v>16</v>
      </c>
      <c r="H679" s="3" t="s">
        <v>17</v>
      </c>
      <c r="I679" s="3">
        <f>IF(C679="India",1,IF(C679="USA",INDEX('Currency Master'!B:B,MATCH(DATE(N679,MONTH(DATEVALUE(O679&amp;" 1")),1),'Currency Master'!A:A,0)),IF(C679="Australia",INDEX('Currency Master'!T:T,MATCH(DATE(N679,MONTH(DATEVALUE(O679&amp;" 1")),1),'Currency Master'!A:A,0)),"")))</f>
        <v>1</v>
      </c>
      <c r="J679" s="3">
        <f t="shared" si="40"/>
        <v>80816</v>
      </c>
      <c r="K679" s="3" t="str">
        <f t="shared" si="41"/>
        <v>₹/Candy</v>
      </c>
      <c r="L679" s="3">
        <v>-6.6741233299327796E-3</v>
      </c>
      <c r="M679" s="3">
        <v>-2.2716049382716101E-3</v>
      </c>
      <c r="N679" s="3">
        <f t="shared" si="42"/>
        <v>2025</v>
      </c>
      <c r="O679" s="3" t="str">
        <f t="shared" si="43"/>
        <v>March</v>
      </c>
      <c r="P679" s="3" t="s">
        <v>25</v>
      </c>
      <c r="Q679" s="3"/>
    </row>
    <row r="680" spans="1:17" hidden="1" x14ac:dyDescent="0.3">
      <c r="A680" s="2">
        <v>45689</v>
      </c>
      <c r="B680" s="3" t="s">
        <v>12</v>
      </c>
      <c r="C680" s="3" t="s">
        <v>13</v>
      </c>
      <c r="D680" s="3" t="s">
        <v>24</v>
      </c>
      <c r="E680" s="3" t="s">
        <v>15</v>
      </c>
      <c r="F680" s="3">
        <v>81359</v>
      </c>
      <c r="G680" s="3" t="s">
        <v>16</v>
      </c>
      <c r="H680" s="3" t="s">
        <v>17</v>
      </c>
      <c r="I680" s="3">
        <f>IF(C680="India",1,IF(C680="USA",INDEX('Currency Master'!B:B,MATCH(DATE(N680,MONTH(DATEVALUE(O680&amp;" 1")),1),'Currency Master'!A:A,0)),IF(C680="Australia",INDEX('Currency Master'!T:T,MATCH(DATE(N680,MONTH(DATEVALUE(O680&amp;" 1")),1),'Currency Master'!A:A,0)),"")))</f>
        <v>1</v>
      </c>
      <c r="J680" s="3">
        <f t="shared" si="40"/>
        <v>81359</v>
      </c>
      <c r="K680" s="3" t="str">
        <f t="shared" si="41"/>
        <v>₹/Candy</v>
      </c>
      <c r="L680" s="3">
        <v>-1.97710843373494E-2</v>
      </c>
      <c r="M680" s="3">
        <v>4.43209876543205E-3</v>
      </c>
      <c r="N680" s="3">
        <f t="shared" si="42"/>
        <v>2025</v>
      </c>
      <c r="O680" s="3" t="str">
        <f t="shared" si="43"/>
        <v>February</v>
      </c>
      <c r="P680" s="3" t="s">
        <v>25</v>
      </c>
      <c r="Q680" s="3"/>
    </row>
    <row r="681" spans="1:17" hidden="1" x14ac:dyDescent="0.3">
      <c r="A681" s="2">
        <v>45658</v>
      </c>
      <c r="B681" s="3" t="s">
        <v>12</v>
      </c>
      <c r="C681" s="3" t="s">
        <v>13</v>
      </c>
      <c r="D681" s="3" t="s">
        <v>24</v>
      </c>
      <c r="E681" s="3" t="s">
        <v>15</v>
      </c>
      <c r="F681" s="3">
        <v>83000</v>
      </c>
      <c r="G681" s="3" t="s">
        <v>16</v>
      </c>
      <c r="H681" s="3" t="s">
        <v>17</v>
      </c>
      <c r="I681" s="3">
        <f>IF(C681="India",1,IF(C681="USA",INDEX('Currency Master'!B:B,MATCH(DATE(N681,MONTH(DATEVALUE(O681&amp;" 1")),1),'Currency Master'!A:A,0)),IF(C681="Australia",INDEX('Currency Master'!T:T,MATCH(DATE(N681,MONTH(DATEVALUE(O681&amp;" 1")),1),'Currency Master'!A:A,0)),"")))</f>
        <v>1</v>
      </c>
      <c r="J681" s="3">
        <f t="shared" si="40"/>
        <v>83000</v>
      </c>
      <c r="K681" s="3" t="str">
        <f t="shared" si="41"/>
        <v>₹/Candy</v>
      </c>
      <c r="L681" s="3">
        <v>-7.2625698324022298E-2</v>
      </c>
      <c r="M681" s="3">
        <v>5.5347793574792997E-2</v>
      </c>
      <c r="N681" s="3">
        <f t="shared" si="42"/>
        <v>2025</v>
      </c>
      <c r="O681" s="3" t="str">
        <f t="shared" si="43"/>
        <v>January</v>
      </c>
      <c r="P681" s="3" t="s">
        <v>25</v>
      </c>
      <c r="Q681" s="3"/>
    </row>
    <row r="682" spans="1:17" hidden="1" x14ac:dyDescent="0.3">
      <c r="A682" s="2">
        <v>45627</v>
      </c>
      <c r="B682" s="3" t="s">
        <v>12</v>
      </c>
      <c r="C682" s="3" t="s">
        <v>13</v>
      </c>
      <c r="D682" s="3" t="s">
        <v>24</v>
      </c>
      <c r="E682" s="3" t="s">
        <v>15</v>
      </c>
      <c r="F682" s="3">
        <v>89500</v>
      </c>
      <c r="G682" s="3" t="s">
        <v>16</v>
      </c>
      <c r="H682" s="3" t="s">
        <v>17</v>
      </c>
      <c r="I682" s="3">
        <f>IF(C682="India",1,IF(C682="USA",INDEX('Currency Master'!B:B,MATCH(DATE(N682,MONTH(DATEVALUE(O682&amp;" 1")),1),'Currency Master'!A:A,0)),IF(C682="Australia",INDEX('Currency Master'!T:T,MATCH(DATE(N682,MONTH(DATEVALUE(O682&amp;" 1")),1),'Currency Master'!A:A,0)),"")))</f>
        <v>1</v>
      </c>
      <c r="J682" s="3">
        <f t="shared" si="40"/>
        <v>89500</v>
      </c>
      <c r="K682" s="3" t="str">
        <f t="shared" si="41"/>
        <v>₹/Candy</v>
      </c>
      <c r="L682" s="3">
        <v>-5.78947368421052E-2</v>
      </c>
      <c r="M682" s="3">
        <v>0.20134228187919501</v>
      </c>
      <c r="N682" s="3">
        <f t="shared" si="42"/>
        <v>2024</v>
      </c>
      <c r="O682" s="3" t="str">
        <f t="shared" si="43"/>
        <v>December</v>
      </c>
      <c r="P682" s="3" t="s">
        <v>25</v>
      </c>
      <c r="Q682" s="3"/>
    </row>
    <row r="683" spans="1:17" hidden="1" x14ac:dyDescent="0.3">
      <c r="A683" s="2">
        <v>45597</v>
      </c>
      <c r="B683" s="3" t="s">
        <v>12</v>
      </c>
      <c r="C683" s="3" t="s">
        <v>13</v>
      </c>
      <c r="D683" s="3" t="s">
        <v>24</v>
      </c>
      <c r="E683" s="3" t="s">
        <v>15</v>
      </c>
      <c r="F683" s="3">
        <v>95000</v>
      </c>
      <c r="G683" s="3" t="s">
        <v>16</v>
      </c>
      <c r="H683" s="3" t="s">
        <v>17</v>
      </c>
      <c r="I683" s="3">
        <f>IF(C683="India",1,IF(C683="USA",INDEX('Currency Master'!B:B,MATCH(DATE(N683,MONTH(DATEVALUE(O683&amp;" 1")),1),'Currency Master'!A:A,0)),IF(C683="Australia",INDEX('Currency Master'!T:T,MATCH(DATE(N683,MONTH(DATEVALUE(O683&amp;" 1")),1),'Currency Master'!A:A,0)),"")))</f>
        <v>1</v>
      </c>
      <c r="J683" s="3">
        <f t="shared" si="40"/>
        <v>95000</v>
      </c>
      <c r="K683" s="3" t="str">
        <f t="shared" si="41"/>
        <v>₹/Candy</v>
      </c>
      <c r="L683" s="3">
        <v>5.2910052910053497E-3</v>
      </c>
      <c r="M683" s="3">
        <v>0.26114166509585601</v>
      </c>
      <c r="N683" s="3">
        <f t="shared" si="42"/>
        <v>2024</v>
      </c>
      <c r="O683" s="3" t="str">
        <f t="shared" si="43"/>
        <v>November</v>
      </c>
      <c r="P683" s="3" t="s">
        <v>25</v>
      </c>
      <c r="Q683" s="3"/>
    </row>
    <row r="684" spans="1:17" hidden="1" x14ac:dyDescent="0.3">
      <c r="A684" s="2">
        <v>45566</v>
      </c>
      <c r="B684" s="3" t="s">
        <v>12</v>
      </c>
      <c r="C684" s="3" t="s">
        <v>13</v>
      </c>
      <c r="D684" s="3" t="s">
        <v>24</v>
      </c>
      <c r="E684" s="3" t="s">
        <v>15</v>
      </c>
      <c r="F684" s="3">
        <v>94500</v>
      </c>
      <c r="G684" s="3" t="s">
        <v>16</v>
      </c>
      <c r="H684" s="3" t="s">
        <v>17</v>
      </c>
      <c r="I684" s="3">
        <f>IF(C684="India",1,IF(C684="USA",INDEX('Currency Master'!B:B,MATCH(DATE(N684,MONTH(DATEVALUE(O684&amp;" 1")),1),'Currency Master'!A:A,0)),IF(C684="Australia",INDEX('Currency Master'!T:T,MATCH(DATE(N684,MONTH(DATEVALUE(O684&amp;" 1")),1),'Currency Master'!A:A,0)),"")))</f>
        <v>1</v>
      </c>
      <c r="J684" s="3">
        <f t="shared" si="40"/>
        <v>94500</v>
      </c>
      <c r="K684" s="3" t="str">
        <f t="shared" si="41"/>
        <v>₹/Candy</v>
      </c>
      <c r="L684" s="3">
        <v>0.105263157894737</v>
      </c>
      <c r="M684" s="3">
        <v>0.29266545076907402</v>
      </c>
      <c r="N684" s="3">
        <f t="shared" si="42"/>
        <v>2024</v>
      </c>
      <c r="O684" s="3" t="str">
        <f t="shared" si="43"/>
        <v>October</v>
      </c>
      <c r="P684" s="3" t="s">
        <v>25</v>
      </c>
      <c r="Q684" s="3"/>
    </row>
    <row r="685" spans="1:17" hidden="1" x14ac:dyDescent="0.3">
      <c r="A685" s="2">
        <v>45537</v>
      </c>
      <c r="B685" s="3" t="s">
        <v>12</v>
      </c>
      <c r="C685" s="3" t="s">
        <v>13</v>
      </c>
      <c r="D685" s="3" t="s">
        <v>24</v>
      </c>
      <c r="E685" s="3" t="s">
        <v>15</v>
      </c>
      <c r="F685" s="3">
        <v>85500</v>
      </c>
      <c r="G685" s="3" t="s">
        <v>16</v>
      </c>
      <c r="H685" s="3" t="s">
        <v>17</v>
      </c>
      <c r="I685" s="3">
        <f>IF(C685="India",1,IF(C685="USA",INDEX('Currency Master'!B:B,MATCH(DATE(N685,MONTH(DATEVALUE(O685&amp;" 1")),1),'Currency Master'!A:A,0)),IF(C685="Australia",INDEX('Currency Master'!T:T,MATCH(DATE(N685,MONTH(DATEVALUE(O685&amp;" 1")),1),'Currency Master'!A:A,0)),"")))</f>
        <v>1</v>
      </c>
      <c r="J685" s="3">
        <f t="shared" si="40"/>
        <v>85500</v>
      </c>
      <c r="K685" s="3" t="str">
        <f t="shared" si="41"/>
        <v>₹/Candy</v>
      </c>
      <c r="L685" s="3">
        <v>5.8823529411764497E-3</v>
      </c>
      <c r="M685" s="3">
        <v>0.15266097451666599</v>
      </c>
      <c r="N685" s="3">
        <f t="shared" si="42"/>
        <v>2024</v>
      </c>
      <c r="O685" s="3" t="str">
        <f t="shared" si="43"/>
        <v>September</v>
      </c>
      <c r="P685" s="3" t="s">
        <v>25</v>
      </c>
      <c r="Q685" s="3"/>
    </row>
    <row r="686" spans="1:17" hidden="1" x14ac:dyDescent="0.3">
      <c r="A686" s="2">
        <v>45505</v>
      </c>
      <c r="B686" s="3" t="s">
        <v>12</v>
      </c>
      <c r="C686" s="3" t="s">
        <v>13</v>
      </c>
      <c r="D686" s="3" t="s">
        <v>24</v>
      </c>
      <c r="E686" s="3" t="s">
        <v>15</v>
      </c>
      <c r="F686" s="3">
        <v>85000</v>
      </c>
      <c r="G686" s="3" t="s">
        <v>16</v>
      </c>
      <c r="H686" s="3" t="s">
        <v>17</v>
      </c>
      <c r="I686" s="3">
        <f>IF(C686="India",1,IF(C686="USA",INDEX('Currency Master'!B:B,MATCH(DATE(N686,MONTH(DATEVALUE(O686&amp;" 1")),1),'Currency Master'!A:A,0)),IF(C686="Australia",INDEX('Currency Master'!T:T,MATCH(DATE(N686,MONTH(DATEVALUE(O686&amp;" 1")),1),'Currency Master'!A:A,0)),"")))</f>
        <v>1</v>
      </c>
      <c r="J686" s="3">
        <f t="shared" si="40"/>
        <v>85000</v>
      </c>
      <c r="K686" s="3" t="str">
        <f t="shared" si="41"/>
        <v>₹/Candy</v>
      </c>
      <c r="L686" s="3">
        <v>3.6585365853658597E-2</v>
      </c>
      <c r="M686" s="3">
        <v>0.14485123056902699</v>
      </c>
      <c r="N686" s="3">
        <f t="shared" si="42"/>
        <v>2024</v>
      </c>
      <c r="O686" s="3" t="str">
        <f t="shared" si="43"/>
        <v>August</v>
      </c>
      <c r="P686" s="3" t="s">
        <v>25</v>
      </c>
      <c r="Q686" s="3"/>
    </row>
    <row r="687" spans="1:17" hidden="1" x14ac:dyDescent="0.3">
      <c r="A687" s="2">
        <v>45474</v>
      </c>
      <c r="B687" s="3" t="s">
        <v>12</v>
      </c>
      <c r="C687" s="3" t="s">
        <v>13</v>
      </c>
      <c r="D687" s="3" t="s">
        <v>24</v>
      </c>
      <c r="E687" s="3" t="s">
        <v>15</v>
      </c>
      <c r="F687" s="3">
        <v>82000</v>
      </c>
      <c r="G687" s="3" t="s">
        <v>16</v>
      </c>
      <c r="H687" s="3" t="s">
        <v>17</v>
      </c>
      <c r="I687" s="3">
        <f>IF(C687="India",1,IF(C687="USA",INDEX('Currency Master'!B:B,MATCH(DATE(N687,MONTH(DATEVALUE(O687&amp;" 1")),1),'Currency Master'!A:A,0)),IF(C687="Australia",INDEX('Currency Master'!T:T,MATCH(DATE(N687,MONTH(DATEVALUE(O687&amp;" 1")),1),'Currency Master'!A:A,0)),"")))</f>
        <v>1</v>
      </c>
      <c r="J687" s="3">
        <f t="shared" si="40"/>
        <v>82000</v>
      </c>
      <c r="K687" s="3" t="str">
        <f t="shared" si="41"/>
        <v>₹/Candy</v>
      </c>
      <c r="L687" s="3">
        <v>0</v>
      </c>
      <c r="M687" s="3">
        <v>0.134275269255618</v>
      </c>
      <c r="N687" s="3">
        <f t="shared" si="42"/>
        <v>2024</v>
      </c>
      <c r="O687" s="3" t="str">
        <f t="shared" si="43"/>
        <v>July</v>
      </c>
      <c r="P687" s="3" t="s">
        <v>25</v>
      </c>
      <c r="Q687" s="3"/>
    </row>
    <row r="688" spans="1:17" hidden="1" x14ac:dyDescent="0.3">
      <c r="A688" s="2">
        <v>45444</v>
      </c>
      <c r="B688" s="3" t="s">
        <v>12</v>
      </c>
      <c r="C688" s="3" t="s">
        <v>13</v>
      </c>
      <c r="D688" s="3" t="s">
        <v>24</v>
      </c>
      <c r="E688" s="3" t="s">
        <v>15</v>
      </c>
      <c r="F688" s="3">
        <v>82000</v>
      </c>
      <c r="G688" s="3" t="s">
        <v>16</v>
      </c>
      <c r="H688" s="3" t="s">
        <v>17</v>
      </c>
      <c r="I688" s="3">
        <f>IF(C688="India",1,IF(C688="USA",INDEX('Currency Master'!B:B,MATCH(DATE(N688,MONTH(DATEVALUE(O688&amp;" 1")),1),'Currency Master'!A:A,0)),IF(C688="Australia",INDEX('Currency Master'!T:T,MATCH(DATE(N688,MONTH(DATEVALUE(O688&amp;" 1")),1),'Currency Master'!A:A,0)),"")))</f>
        <v>1</v>
      </c>
      <c r="J688" s="3">
        <f t="shared" si="40"/>
        <v>82000</v>
      </c>
      <c r="K688" s="3" t="str">
        <f t="shared" si="41"/>
        <v>₹/Candy</v>
      </c>
      <c r="L688" s="3">
        <v>0</v>
      </c>
      <c r="M688" s="3">
        <v>0.13238340343723201</v>
      </c>
      <c r="N688" s="3">
        <f t="shared" si="42"/>
        <v>2024</v>
      </c>
      <c r="O688" s="3" t="str">
        <f t="shared" si="43"/>
        <v>June</v>
      </c>
      <c r="P688" s="3" t="s">
        <v>25</v>
      </c>
      <c r="Q688" s="3"/>
    </row>
    <row r="689" spans="1:17" hidden="1" x14ac:dyDescent="0.3">
      <c r="A689" s="2">
        <v>45413</v>
      </c>
      <c r="B689" s="3" t="s">
        <v>12</v>
      </c>
      <c r="C689" s="3" t="s">
        <v>13</v>
      </c>
      <c r="D689" s="3" t="s">
        <v>24</v>
      </c>
      <c r="E689" s="3" t="s">
        <v>15</v>
      </c>
      <c r="F689" s="3">
        <v>82000</v>
      </c>
      <c r="G689" s="3" t="s">
        <v>16</v>
      </c>
      <c r="H689" s="3" t="s">
        <v>17</v>
      </c>
      <c r="I689" s="3">
        <f>IF(C689="India",1,IF(C689="USA",INDEX('Currency Master'!B:B,MATCH(DATE(N689,MONTH(DATEVALUE(O689&amp;" 1")),1),'Currency Master'!A:A,0)),IF(C689="Australia",INDEX('Currency Master'!T:T,MATCH(DATE(N689,MONTH(DATEVALUE(O689&amp;" 1")),1),'Currency Master'!A:A,0)),"")))</f>
        <v>1</v>
      </c>
      <c r="J689" s="3">
        <f t="shared" si="40"/>
        <v>82000</v>
      </c>
      <c r="K689" s="3" t="str">
        <f t="shared" si="41"/>
        <v>₹/Candy</v>
      </c>
      <c r="L689" s="3">
        <v>0</v>
      </c>
      <c r="M689" s="3">
        <v>9.8794006582161503E-2</v>
      </c>
      <c r="N689" s="3">
        <f t="shared" si="42"/>
        <v>2024</v>
      </c>
      <c r="O689" s="3" t="str">
        <f t="shared" si="43"/>
        <v>May</v>
      </c>
      <c r="P689" s="3" t="s">
        <v>25</v>
      </c>
      <c r="Q689" s="3"/>
    </row>
    <row r="690" spans="1:17" hidden="1" x14ac:dyDescent="0.3">
      <c r="A690" s="2">
        <v>45383</v>
      </c>
      <c r="B690" s="3" t="s">
        <v>12</v>
      </c>
      <c r="C690" s="3" t="s">
        <v>13</v>
      </c>
      <c r="D690" s="3" t="s">
        <v>24</v>
      </c>
      <c r="E690" s="3" t="s">
        <v>15</v>
      </c>
      <c r="F690" s="3">
        <v>82000</v>
      </c>
      <c r="G690" s="3" t="s">
        <v>16</v>
      </c>
      <c r="H690" s="3" t="s">
        <v>17</v>
      </c>
      <c r="I690" s="3">
        <f>IF(C690="India",1,IF(C690="USA",INDEX('Currency Master'!B:B,MATCH(DATE(N690,MONTH(DATEVALUE(O690&amp;" 1")),1),'Currency Master'!A:A,0)),IF(C690="Australia",INDEX('Currency Master'!T:T,MATCH(DATE(N690,MONTH(DATEVALUE(O690&amp;" 1")),1),'Currency Master'!A:A,0)),"")))</f>
        <v>1</v>
      </c>
      <c r="J690" s="3">
        <f t="shared" si="40"/>
        <v>82000</v>
      </c>
      <c r="K690" s="3" t="str">
        <f t="shared" si="41"/>
        <v>₹/Candy</v>
      </c>
      <c r="L690" s="3">
        <v>1.2345679012345699E-2</v>
      </c>
      <c r="M690" s="3">
        <v>8.7002023306659501E-2</v>
      </c>
      <c r="N690" s="3">
        <f t="shared" si="42"/>
        <v>2024</v>
      </c>
      <c r="O690" s="3" t="str">
        <f t="shared" si="43"/>
        <v>April</v>
      </c>
      <c r="P690" s="3" t="s">
        <v>25</v>
      </c>
      <c r="Q690" s="3"/>
    </row>
    <row r="691" spans="1:17" hidden="1" x14ac:dyDescent="0.3">
      <c r="A691" s="2">
        <v>45352</v>
      </c>
      <c r="B691" s="3" t="s">
        <v>12</v>
      </c>
      <c r="C691" s="3" t="s">
        <v>13</v>
      </c>
      <c r="D691" s="3" t="s">
        <v>24</v>
      </c>
      <c r="E691" s="3" t="s">
        <v>15</v>
      </c>
      <c r="F691" s="3">
        <v>81000</v>
      </c>
      <c r="G691" s="3" t="s">
        <v>16</v>
      </c>
      <c r="H691" s="3" t="s">
        <v>17</v>
      </c>
      <c r="I691" s="3">
        <f>IF(C691="India",1,IF(C691="USA",INDEX('Currency Master'!B:B,MATCH(DATE(N691,MONTH(DATEVALUE(O691&amp;" 1")),1),'Currency Master'!A:A,0)),IF(C691="Australia",INDEX('Currency Master'!T:T,MATCH(DATE(N691,MONTH(DATEVALUE(O691&amp;" 1")),1),'Currency Master'!A:A,0)),"")))</f>
        <v>1</v>
      </c>
      <c r="J691" s="3">
        <f t="shared" si="40"/>
        <v>81000</v>
      </c>
      <c r="K691" s="3" t="str">
        <f t="shared" si="41"/>
        <v>₹/Candy</v>
      </c>
      <c r="L691" s="3">
        <v>0</v>
      </c>
      <c r="M691" s="3">
        <v>0.118918918931687</v>
      </c>
      <c r="N691" s="3">
        <f t="shared" si="42"/>
        <v>2024</v>
      </c>
      <c r="O691" s="3" t="str">
        <f t="shared" si="43"/>
        <v>March</v>
      </c>
      <c r="P691" s="3" t="s">
        <v>25</v>
      </c>
      <c r="Q691" s="3"/>
    </row>
    <row r="692" spans="1:17" hidden="1" x14ac:dyDescent="0.3">
      <c r="A692" s="2">
        <v>45323</v>
      </c>
      <c r="B692" s="3" t="s">
        <v>12</v>
      </c>
      <c r="C692" s="3" t="s">
        <v>13</v>
      </c>
      <c r="D692" s="3" t="s">
        <v>24</v>
      </c>
      <c r="E692" s="3" t="s">
        <v>15</v>
      </c>
      <c r="F692" s="3">
        <v>81000</v>
      </c>
      <c r="G692" s="3" t="s">
        <v>16</v>
      </c>
      <c r="H692" s="3" t="s">
        <v>17</v>
      </c>
      <c r="I692" s="3">
        <f>IF(C692="India",1,IF(C692="USA",INDEX('Currency Master'!B:B,MATCH(DATE(N692,MONTH(DATEVALUE(O692&amp;" 1")),1),'Currency Master'!A:A,0)),IF(C692="Australia",INDEX('Currency Master'!T:T,MATCH(DATE(N692,MONTH(DATEVALUE(O692&amp;" 1")),1),'Currency Master'!A:A,0)),"")))</f>
        <v>1</v>
      </c>
      <c r="J692" s="3">
        <f t="shared" si="40"/>
        <v>81000</v>
      </c>
      <c r="K692" s="3" t="str">
        <f t="shared" si="41"/>
        <v>₹/Candy</v>
      </c>
      <c r="L692" s="3">
        <v>2.9917726259737699E-2</v>
      </c>
      <c r="M692" s="3">
        <v>0.149588418961113</v>
      </c>
      <c r="N692" s="3">
        <f t="shared" si="42"/>
        <v>2024</v>
      </c>
      <c r="O692" s="3" t="str">
        <f t="shared" si="43"/>
        <v>February</v>
      </c>
      <c r="P692" s="3" t="s">
        <v>25</v>
      </c>
      <c r="Q692" s="3"/>
    </row>
    <row r="693" spans="1:17" hidden="1" x14ac:dyDescent="0.3">
      <c r="A693" s="2">
        <v>45292</v>
      </c>
      <c r="B693" s="3" t="s">
        <v>12</v>
      </c>
      <c r="C693" s="3" t="s">
        <v>13</v>
      </c>
      <c r="D693" s="3" t="s">
        <v>24</v>
      </c>
      <c r="E693" s="3" t="s">
        <v>15</v>
      </c>
      <c r="F693" s="3">
        <v>78647.058822999999</v>
      </c>
      <c r="G693" s="3" t="s">
        <v>16</v>
      </c>
      <c r="H693" s="3" t="s">
        <v>17</v>
      </c>
      <c r="I693" s="3">
        <f>IF(C693="India",1,IF(C693="USA",INDEX('Currency Master'!B:B,MATCH(DATE(N693,MONTH(DATEVALUE(O693&amp;" 1")),1),'Currency Master'!A:A,0)),IF(C693="Australia",INDEX('Currency Master'!T:T,MATCH(DATE(N693,MONTH(DATEVALUE(O693&amp;" 1")),1),'Currency Master'!A:A,0)),"")))</f>
        <v>1</v>
      </c>
      <c r="J693" s="3">
        <f t="shared" si="40"/>
        <v>78647.058822999999</v>
      </c>
      <c r="K693" s="3" t="str">
        <f t="shared" si="41"/>
        <v>₹/Candy</v>
      </c>
      <c r="L693" s="3">
        <v>5.5665219100671202E-2</v>
      </c>
      <c r="M693" s="3">
        <v>0.17676397241983399</v>
      </c>
      <c r="N693" s="3">
        <f t="shared" si="42"/>
        <v>2024</v>
      </c>
      <c r="O693" s="3" t="str">
        <f t="shared" si="43"/>
        <v>January</v>
      </c>
      <c r="P693" s="3" t="s">
        <v>25</v>
      </c>
      <c r="Q693" s="3"/>
    </row>
    <row r="694" spans="1:17" hidden="1" x14ac:dyDescent="0.3">
      <c r="A694" s="2">
        <v>45261</v>
      </c>
      <c r="B694" s="3" t="s">
        <v>12</v>
      </c>
      <c r="C694" s="3" t="s">
        <v>13</v>
      </c>
      <c r="D694" s="3" t="s">
        <v>24</v>
      </c>
      <c r="E694" s="3" t="s">
        <v>15</v>
      </c>
      <c r="F694" s="3">
        <v>74500</v>
      </c>
      <c r="G694" s="3" t="s">
        <v>16</v>
      </c>
      <c r="H694" s="3" t="s">
        <v>17</v>
      </c>
      <c r="I694" s="3">
        <f>IF(C694="India",1,IF(C694="USA",INDEX('Currency Master'!B:B,MATCH(DATE(N694,MONTH(DATEVALUE(O694&amp;" 1")),1),'Currency Master'!A:A,0)),IF(C694="Australia",INDEX('Currency Master'!T:T,MATCH(DATE(N694,MONTH(DATEVALUE(O694&amp;" 1")),1),'Currency Master'!A:A,0)),"")))</f>
        <v>1</v>
      </c>
      <c r="J694" s="3">
        <f t="shared" si="40"/>
        <v>74500</v>
      </c>
      <c r="K694" s="3" t="str">
        <f t="shared" si="41"/>
        <v>₹/Candy</v>
      </c>
      <c r="L694" s="3">
        <v>-1.0999431056408099E-2</v>
      </c>
      <c r="M694" s="3">
        <v>4.4614404081694502E-2</v>
      </c>
      <c r="N694" s="3">
        <f t="shared" si="42"/>
        <v>2023</v>
      </c>
      <c r="O694" s="3" t="str">
        <f t="shared" si="43"/>
        <v>December</v>
      </c>
      <c r="P694" s="3" t="s">
        <v>25</v>
      </c>
      <c r="Q694" s="3"/>
    </row>
    <row r="695" spans="1:17" hidden="1" x14ac:dyDescent="0.3">
      <c r="A695" s="2">
        <v>45231</v>
      </c>
      <c r="B695" s="3" t="s">
        <v>12</v>
      </c>
      <c r="C695" s="3" t="s">
        <v>13</v>
      </c>
      <c r="D695" s="3" t="s">
        <v>24</v>
      </c>
      <c r="E695" s="3" t="s">
        <v>15</v>
      </c>
      <c r="F695" s="3">
        <v>75328.571427999996</v>
      </c>
      <c r="G695" s="3" t="s">
        <v>16</v>
      </c>
      <c r="H695" s="3" t="s">
        <v>17</v>
      </c>
      <c r="I695" s="3">
        <f>IF(C695="India",1,IF(C695="USA",INDEX('Currency Master'!B:B,MATCH(DATE(N695,MONTH(DATEVALUE(O695&amp;" 1")),1),'Currency Master'!A:A,0)),IF(C695="Australia",INDEX('Currency Master'!T:T,MATCH(DATE(N695,MONTH(DATEVALUE(O695&amp;" 1")),1),'Currency Master'!A:A,0)),"")))</f>
        <v>1</v>
      </c>
      <c r="J695" s="3">
        <f t="shared" si="40"/>
        <v>75328.571427999996</v>
      </c>
      <c r="K695" s="3" t="str">
        <f t="shared" si="41"/>
        <v>₹/Candy</v>
      </c>
      <c r="L695" s="3">
        <v>3.0419489320275401E-2</v>
      </c>
      <c r="M695" s="3">
        <v>-6.2123049564373901E-2</v>
      </c>
      <c r="N695" s="3">
        <f t="shared" si="42"/>
        <v>2023</v>
      </c>
      <c r="O695" s="3" t="str">
        <f t="shared" si="43"/>
        <v>November</v>
      </c>
      <c r="P695" s="3" t="s">
        <v>25</v>
      </c>
      <c r="Q695" s="3"/>
    </row>
    <row r="696" spans="1:17" hidden="1" x14ac:dyDescent="0.3">
      <c r="A696" s="2">
        <v>45200</v>
      </c>
      <c r="B696" s="3" t="s">
        <v>12</v>
      </c>
      <c r="C696" s="3" t="s">
        <v>13</v>
      </c>
      <c r="D696" s="3" t="s">
        <v>24</v>
      </c>
      <c r="E696" s="3" t="s">
        <v>15</v>
      </c>
      <c r="F696" s="3">
        <v>73104.761903999999</v>
      </c>
      <c r="G696" s="3" t="s">
        <v>16</v>
      </c>
      <c r="H696" s="3" t="s">
        <v>17</v>
      </c>
      <c r="I696" s="3">
        <f>IF(C696="India",1,IF(C696="USA",INDEX('Currency Master'!B:B,MATCH(DATE(N696,MONTH(DATEVALUE(O696&amp;" 1")),1),'Currency Master'!A:A,0)),IF(C696="Australia",INDEX('Currency Master'!T:T,MATCH(DATE(N696,MONTH(DATEVALUE(O696&amp;" 1")),1),'Currency Master'!A:A,0)),"")))</f>
        <v>1</v>
      </c>
      <c r="J696" s="3">
        <f t="shared" si="40"/>
        <v>73104.761903999999</v>
      </c>
      <c r="K696" s="3" t="str">
        <f t="shared" si="41"/>
        <v>₹/Candy</v>
      </c>
      <c r="L696" s="3">
        <v>-1.44443731219477E-2</v>
      </c>
      <c r="M696" s="3">
        <v>-0.13363431151166599</v>
      </c>
      <c r="N696" s="3">
        <f t="shared" si="42"/>
        <v>2023</v>
      </c>
      <c r="O696" s="3" t="str">
        <f t="shared" si="43"/>
        <v>October</v>
      </c>
      <c r="P696" s="3" t="s">
        <v>25</v>
      </c>
      <c r="Q696" s="3"/>
    </row>
    <row r="697" spans="1:17" hidden="1" x14ac:dyDescent="0.3">
      <c r="A697" s="2">
        <v>45170</v>
      </c>
      <c r="B697" s="3" t="s">
        <v>12</v>
      </c>
      <c r="C697" s="3" t="s">
        <v>13</v>
      </c>
      <c r="D697" s="3" t="s">
        <v>24</v>
      </c>
      <c r="E697" s="3" t="s">
        <v>15</v>
      </c>
      <c r="F697" s="3">
        <v>74176.190476000003</v>
      </c>
      <c r="G697" s="3" t="s">
        <v>16</v>
      </c>
      <c r="H697" s="3" t="s">
        <v>17</v>
      </c>
      <c r="I697" s="3">
        <f>IF(C697="India",1,IF(C697="USA",INDEX('Currency Master'!B:B,MATCH(DATE(N697,MONTH(DATEVALUE(O697&amp;" 1")),1),'Currency Master'!A:A,0)),IF(C697="Australia",INDEX('Currency Master'!T:T,MATCH(DATE(N697,MONTH(DATEVALUE(O697&amp;" 1")),1),'Currency Master'!A:A,0)),"")))</f>
        <v>1</v>
      </c>
      <c r="J697" s="3">
        <f t="shared" si="40"/>
        <v>74176.190476000003</v>
      </c>
      <c r="K697" s="3" t="str">
        <f t="shared" si="41"/>
        <v>₹/Candy</v>
      </c>
      <c r="L697" s="3">
        <v>-9.3290652504551797E-4</v>
      </c>
      <c r="M697" s="3">
        <v>-0.23475911348850001</v>
      </c>
      <c r="N697" s="3">
        <f t="shared" si="42"/>
        <v>2023</v>
      </c>
      <c r="O697" s="3" t="str">
        <f t="shared" si="43"/>
        <v>September</v>
      </c>
      <c r="P697" s="3" t="s">
        <v>25</v>
      </c>
      <c r="Q697" s="3"/>
    </row>
    <row r="698" spans="1:17" hidden="1" x14ac:dyDescent="0.3">
      <c r="A698" s="2">
        <v>45139</v>
      </c>
      <c r="B698" s="3" t="s">
        <v>12</v>
      </c>
      <c r="C698" s="3" t="s">
        <v>13</v>
      </c>
      <c r="D698" s="3" t="s">
        <v>24</v>
      </c>
      <c r="E698" s="3" t="s">
        <v>15</v>
      </c>
      <c r="F698" s="3">
        <v>74245.454545000001</v>
      </c>
      <c r="G698" s="3" t="s">
        <v>16</v>
      </c>
      <c r="H698" s="3" t="s">
        <v>17</v>
      </c>
      <c r="I698" s="3">
        <f>IF(C698="India",1,IF(C698="USA",INDEX('Currency Master'!B:B,MATCH(DATE(N698,MONTH(DATEVALUE(O698&amp;" 1")),1),'Currency Master'!A:A,0)),IF(C698="Australia",INDEX('Currency Master'!T:T,MATCH(DATE(N698,MONTH(DATEVALUE(O698&amp;" 1")),1),'Currency Master'!A:A,0)),"")))</f>
        <v>1</v>
      </c>
      <c r="J698" s="3">
        <f t="shared" si="40"/>
        <v>74245.454545000001</v>
      </c>
      <c r="K698" s="3" t="str">
        <f t="shared" si="41"/>
        <v>₹/Candy</v>
      </c>
      <c r="L698" s="3">
        <v>2.7009548110190601E-2</v>
      </c>
      <c r="M698" s="3">
        <v>-0.29306073658715998</v>
      </c>
      <c r="N698" s="3">
        <f t="shared" si="42"/>
        <v>2023</v>
      </c>
      <c r="O698" s="3" t="str">
        <f t="shared" si="43"/>
        <v>August</v>
      </c>
      <c r="P698" s="3" t="s">
        <v>25</v>
      </c>
      <c r="Q698" s="3"/>
    </row>
    <row r="699" spans="1:17" hidden="1" x14ac:dyDescent="0.3">
      <c r="A699" s="2">
        <v>45108</v>
      </c>
      <c r="B699" s="3" t="s">
        <v>12</v>
      </c>
      <c r="C699" s="3" t="s">
        <v>13</v>
      </c>
      <c r="D699" s="3" t="s">
        <v>24</v>
      </c>
      <c r="E699" s="3" t="s">
        <v>15</v>
      </c>
      <c r="F699" s="3">
        <v>72292.857141999993</v>
      </c>
      <c r="G699" s="3" t="s">
        <v>16</v>
      </c>
      <c r="H699" s="3" t="s">
        <v>17</v>
      </c>
      <c r="I699" s="3">
        <f>IF(C699="India",1,IF(C699="USA",INDEX('Currency Master'!B:B,MATCH(DATE(N699,MONTH(DATEVALUE(O699&amp;" 1")),1),'Currency Master'!A:A,0)),IF(C699="Australia",INDEX('Currency Master'!T:T,MATCH(DATE(N699,MONTH(DATEVALUE(O699&amp;" 1")),1),'Currency Master'!A:A,0)),"")))</f>
        <v>1</v>
      </c>
      <c r="J699" s="3">
        <f t="shared" si="40"/>
        <v>72292.857141999993</v>
      </c>
      <c r="K699" s="3" t="str">
        <f t="shared" si="41"/>
        <v>₹/Candy</v>
      </c>
      <c r="L699" s="3">
        <v>-1.66790713829834E-3</v>
      </c>
      <c r="M699" s="3">
        <v>-0.30693905501500901</v>
      </c>
      <c r="N699" s="3">
        <f t="shared" si="42"/>
        <v>2023</v>
      </c>
      <c r="O699" s="3" t="str">
        <f t="shared" si="43"/>
        <v>July</v>
      </c>
      <c r="P699" s="3" t="s">
        <v>25</v>
      </c>
      <c r="Q699" s="3"/>
    </row>
    <row r="700" spans="1:17" hidden="1" x14ac:dyDescent="0.3">
      <c r="A700" s="2">
        <v>45078</v>
      </c>
      <c r="B700" s="3" t="s">
        <v>12</v>
      </c>
      <c r="C700" s="3" t="s">
        <v>13</v>
      </c>
      <c r="D700" s="3" t="s">
        <v>24</v>
      </c>
      <c r="E700" s="3" t="s">
        <v>15</v>
      </c>
      <c r="F700" s="3">
        <v>72413.636362999998</v>
      </c>
      <c r="G700" s="3" t="s">
        <v>16</v>
      </c>
      <c r="H700" s="3" t="s">
        <v>17</v>
      </c>
      <c r="I700" s="3">
        <f>IF(C700="India",1,IF(C700="USA",INDEX('Currency Master'!B:B,MATCH(DATE(N700,MONTH(DATEVALUE(O700&amp;" 1")),1),'Currency Master'!A:A,0)),IF(C700="Australia",INDEX('Currency Master'!T:T,MATCH(DATE(N700,MONTH(DATEVALUE(O700&amp;" 1")),1),'Currency Master'!A:A,0)),"")))</f>
        <v>1</v>
      </c>
      <c r="J700" s="3">
        <f t="shared" si="40"/>
        <v>72413.636362999998</v>
      </c>
      <c r="K700" s="3" t="str">
        <f t="shared" si="41"/>
        <v>₹/Candy</v>
      </c>
      <c r="L700" s="3">
        <v>-2.9662565481896701E-2</v>
      </c>
      <c r="M700" s="3">
        <v>-0.36199439327753302</v>
      </c>
      <c r="N700" s="3">
        <f t="shared" si="42"/>
        <v>2023</v>
      </c>
      <c r="O700" s="3" t="str">
        <f t="shared" si="43"/>
        <v>June</v>
      </c>
      <c r="P700" s="3" t="s">
        <v>25</v>
      </c>
      <c r="Q700" s="3"/>
    </row>
    <row r="701" spans="1:17" hidden="1" x14ac:dyDescent="0.3">
      <c r="A701" s="2">
        <v>45047</v>
      </c>
      <c r="B701" s="3" t="s">
        <v>12</v>
      </c>
      <c r="C701" s="3" t="s">
        <v>13</v>
      </c>
      <c r="D701" s="3" t="s">
        <v>24</v>
      </c>
      <c r="E701" s="3" t="s">
        <v>15</v>
      </c>
      <c r="F701" s="3">
        <v>74627.272727000003</v>
      </c>
      <c r="G701" s="3" t="s">
        <v>16</v>
      </c>
      <c r="H701" s="3" t="s">
        <v>17</v>
      </c>
      <c r="I701" s="3">
        <f>IF(C701="India",1,IF(C701="USA",INDEX('Currency Master'!B:B,MATCH(DATE(N701,MONTH(DATEVALUE(O701&amp;" 1")),1),'Currency Master'!A:A,0)),IF(C701="Australia",INDEX('Currency Master'!T:T,MATCH(DATE(N701,MONTH(DATEVALUE(O701&amp;" 1")),1),'Currency Master'!A:A,0)),"")))</f>
        <v>1</v>
      </c>
      <c r="J701" s="3">
        <f t="shared" si="40"/>
        <v>74627.272727000003</v>
      </c>
      <c r="K701" s="3" t="str">
        <f t="shared" si="41"/>
        <v>₹/Candy</v>
      </c>
      <c r="L701" s="3">
        <v>-1.0731750632842801E-2</v>
      </c>
      <c r="M701" s="3">
        <v>-0.36042072457907598</v>
      </c>
      <c r="N701" s="3">
        <f t="shared" si="42"/>
        <v>2023</v>
      </c>
      <c r="O701" s="3" t="str">
        <f t="shared" si="43"/>
        <v>May</v>
      </c>
      <c r="P701" s="3" t="s">
        <v>25</v>
      </c>
      <c r="Q701" s="3"/>
    </row>
    <row r="702" spans="1:17" hidden="1" x14ac:dyDescent="0.3">
      <c r="A702" s="2">
        <v>45017</v>
      </c>
      <c r="B702" s="3" t="s">
        <v>12</v>
      </c>
      <c r="C702" s="3" t="s">
        <v>13</v>
      </c>
      <c r="D702" s="3" t="s">
        <v>24</v>
      </c>
      <c r="E702" s="3" t="s">
        <v>15</v>
      </c>
      <c r="F702" s="3">
        <v>75436.842105000003</v>
      </c>
      <c r="G702" s="3" t="s">
        <v>16</v>
      </c>
      <c r="H702" s="3" t="s">
        <v>17</v>
      </c>
      <c r="I702" s="3">
        <f>IF(C702="India",1,IF(C702="USA",INDEX('Currency Master'!B:B,MATCH(DATE(N702,MONTH(DATEVALUE(O702&amp;" 1")),1),'Currency Master'!A:A,0)),IF(C702="Australia",INDEX('Currency Master'!T:T,MATCH(DATE(N702,MONTH(DATEVALUE(O702&amp;" 1")),1),'Currency Master'!A:A,0)),"")))</f>
        <v>1</v>
      </c>
      <c r="J702" s="3">
        <f t="shared" si="40"/>
        <v>75436.842105000003</v>
      </c>
      <c r="K702" s="3" t="str">
        <f t="shared" si="41"/>
        <v>₹/Candy</v>
      </c>
      <c r="L702" s="3">
        <v>4.2070491552432102E-2</v>
      </c>
      <c r="M702" s="3">
        <v>-0.34161690399620198</v>
      </c>
      <c r="N702" s="3">
        <f t="shared" si="42"/>
        <v>2023</v>
      </c>
      <c r="O702" s="3" t="str">
        <f t="shared" si="43"/>
        <v>April</v>
      </c>
      <c r="P702" s="3" t="s">
        <v>25</v>
      </c>
      <c r="Q702" s="3"/>
    </row>
    <row r="703" spans="1:17" hidden="1" x14ac:dyDescent="0.3">
      <c r="A703" s="2">
        <v>44986</v>
      </c>
      <c r="B703" s="3" t="s">
        <v>12</v>
      </c>
      <c r="C703" s="3" t="s">
        <v>13</v>
      </c>
      <c r="D703" s="3" t="s">
        <v>24</v>
      </c>
      <c r="E703" s="3" t="s">
        <v>15</v>
      </c>
      <c r="F703" s="3">
        <v>72391.304346999998</v>
      </c>
      <c r="G703" s="3" t="s">
        <v>16</v>
      </c>
      <c r="H703" s="3" t="s">
        <v>17</v>
      </c>
      <c r="I703" s="3">
        <f>IF(C703="India",1,IF(C703="USA",INDEX('Currency Master'!B:B,MATCH(DATE(N703,MONTH(DATEVALUE(O703&amp;" 1")),1),'Currency Master'!A:A,0)),IF(C703="Australia",INDEX('Currency Master'!T:T,MATCH(DATE(N703,MONTH(DATEVALUE(O703&amp;" 1")),1),'Currency Master'!A:A,0)),"")))</f>
        <v>1</v>
      </c>
      <c r="J703" s="3">
        <f t="shared" si="40"/>
        <v>72391.304346999998</v>
      </c>
      <c r="K703" s="3" t="str">
        <f t="shared" si="41"/>
        <v>₹/Candy</v>
      </c>
      <c r="L703" s="3">
        <v>2.7409939639511799E-2</v>
      </c>
      <c r="M703" s="3">
        <v>-0.33638899960451102</v>
      </c>
      <c r="N703" s="3">
        <f t="shared" si="42"/>
        <v>2023</v>
      </c>
      <c r="O703" s="3" t="str">
        <f t="shared" si="43"/>
        <v>March</v>
      </c>
      <c r="P703" s="3" t="s">
        <v>25</v>
      </c>
      <c r="Q703" s="3"/>
    </row>
    <row r="704" spans="1:17" hidden="1" x14ac:dyDescent="0.3">
      <c r="A704" s="2">
        <v>44958</v>
      </c>
      <c r="B704" s="3" t="s">
        <v>12</v>
      </c>
      <c r="C704" s="3" t="s">
        <v>13</v>
      </c>
      <c r="D704" s="3" t="s">
        <v>24</v>
      </c>
      <c r="E704" s="3" t="s">
        <v>15</v>
      </c>
      <c r="F704" s="3">
        <v>70460</v>
      </c>
      <c r="G704" s="3" t="s">
        <v>16</v>
      </c>
      <c r="H704" s="3" t="s">
        <v>17</v>
      </c>
      <c r="I704" s="3">
        <f>IF(C704="India",1,IF(C704="USA",INDEX('Currency Master'!B:B,MATCH(DATE(N704,MONTH(DATEVALUE(O704&amp;" 1")),1),'Currency Master'!A:A,0)),IF(C704="Australia",INDEX('Currency Master'!T:T,MATCH(DATE(N704,MONTH(DATEVALUE(O704&amp;" 1")),1),'Currency Master'!A:A,0)),"")))</f>
        <v>1</v>
      </c>
      <c r="J704" s="3">
        <f t="shared" si="40"/>
        <v>70460</v>
      </c>
      <c r="K704" s="3" t="str">
        <f t="shared" si="41"/>
        <v>₹/Candy</v>
      </c>
      <c r="L704" s="3">
        <v>5.42643391573778E-2</v>
      </c>
      <c r="M704" s="3">
        <v>-0.40864456567352098</v>
      </c>
      <c r="N704" s="3">
        <f t="shared" si="42"/>
        <v>2023</v>
      </c>
      <c r="O704" s="3" t="str">
        <f t="shared" si="43"/>
        <v>February</v>
      </c>
      <c r="P704" s="3" t="s">
        <v>25</v>
      </c>
      <c r="Q704" s="3"/>
    </row>
    <row r="705" spans="1:17" hidden="1" x14ac:dyDescent="0.3">
      <c r="A705" s="2">
        <v>44927</v>
      </c>
      <c r="B705" s="3" t="s">
        <v>12</v>
      </c>
      <c r="C705" s="3" t="s">
        <v>13</v>
      </c>
      <c r="D705" s="3" t="s">
        <v>24</v>
      </c>
      <c r="E705" s="3" t="s">
        <v>15</v>
      </c>
      <c r="F705" s="3">
        <v>66833.333333000002</v>
      </c>
      <c r="G705" s="3" t="s">
        <v>16</v>
      </c>
      <c r="H705" s="3" t="s">
        <v>17</v>
      </c>
      <c r="I705" s="3">
        <f>IF(C705="India",1,IF(C705="USA",INDEX('Currency Master'!B:B,MATCH(DATE(N705,MONTH(DATEVALUE(O705&amp;" 1")),1),'Currency Master'!A:A,0)),IF(C705="Australia",INDEX('Currency Master'!T:T,MATCH(DATE(N705,MONTH(DATEVALUE(O705&amp;" 1")),1),'Currency Master'!A:A,0)),"")))</f>
        <v>1</v>
      </c>
      <c r="J705" s="3">
        <f t="shared" si="40"/>
        <v>66833.333333000002</v>
      </c>
      <c r="K705" s="3" t="str">
        <f t="shared" si="41"/>
        <v>₹/Candy</v>
      </c>
      <c r="L705" s="3">
        <v>-6.2885064799395499E-2</v>
      </c>
      <c r="M705" s="3">
        <v>-0.46533333333600002</v>
      </c>
      <c r="N705" s="3">
        <f t="shared" si="42"/>
        <v>2023</v>
      </c>
      <c r="O705" s="3" t="str">
        <f t="shared" si="43"/>
        <v>January</v>
      </c>
      <c r="P705" s="3" t="s">
        <v>25</v>
      </c>
      <c r="Q705" s="3"/>
    </row>
    <row r="706" spans="1:17" hidden="1" x14ac:dyDescent="0.3">
      <c r="A706" s="2">
        <v>44896</v>
      </c>
      <c r="B706" s="3" t="s">
        <v>12</v>
      </c>
      <c r="C706" s="3" t="s">
        <v>13</v>
      </c>
      <c r="D706" s="3" t="s">
        <v>24</v>
      </c>
      <c r="E706" s="3" t="s">
        <v>15</v>
      </c>
      <c r="F706" s="3">
        <v>71318.181817999997</v>
      </c>
      <c r="G706" s="3" t="s">
        <v>16</v>
      </c>
      <c r="H706" s="3" t="s">
        <v>17</v>
      </c>
      <c r="I706" s="3">
        <f>IF(C706="India",1,IF(C706="USA",INDEX('Currency Master'!B:B,MATCH(DATE(N706,MONTH(DATEVALUE(O706&amp;" 1")),1),'Currency Master'!A:A,0)),IF(C706="Australia",INDEX('Currency Master'!T:T,MATCH(DATE(N706,MONTH(DATEVALUE(O706&amp;" 1")),1),'Currency Master'!A:A,0)),"")))</f>
        <v>1</v>
      </c>
      <c r="J706" s="3">
        <f t="shared" si="40"/>
        <v>71318.181817999997</v>
      </c>
      <c r="K706" s="3" t="str">
        <f t="shared" si="41"/>
        <v>₹/Candy</v>
      </c>
      <c r="L706" s="3">
        <v>-0.11205432937206999</v>
      </c>
      <c r="M706" s="3">
        <v>-0.39724322330966899</v>
      </c>
      <c r="N706" s="3">
        <f t="shared" si="42"/>
        <v>2022</v>
      </c>
      <c r="O706" s="3" t="str">
        <f t="shared" si="43"/>
        <v>December</v>
      </c>
      <c r="P706" s="3" t="s">
        <v>25</v>
      </c>
      <c r="Q706" s="3"/>
    </row>
    <row r="707" spans="1:17" hidden="1" x14ac:dyDescent="0.3">
      <c r="A707" s="2">
        <v>44866</v>
      </c>
      <c r="B707" s="3" t="s">
        <v>12</v>
      </c>
      <c r="C707" s="3" t="s">
        <v>13</v>
      </c>
      <c r="D707" s="3" t="s">
        <v>24</v>
      </c>
      <c r="E707" s="3" t="s">
        <v>15</v>
      </c>
      <c r="F707" s="3">
        <v>80318.181817999997</v>
      </c>
      <c r="G707" s="3" t="s">
        <v>16</v>
      </c>
      <c r="H707" s="3" t="s">
        <v>17</v>
      </c>
      <c r="I707" s="3">
        <f>IF(C707="India",1,IF(C707="USA",INDEX('Currency Master'!B:B,MATCH(DATE(N707,MONTH(DATEVALUE(O707&amp;" 1")),1),'Currency Master'!A:A,0)),IF(C707="Australia",INDEX('Currency Master'!T:T,MATCH(DATE(N707,MONTH(DATEVALUE(O707&amp;" 1")),1),'Currency Master'!A:A,0)),"")))</f>
        <v>1</v>
      </c>
      <c r="J707" s="3">
        <f t="shared" ref="J707:J770" si="44">IF(C707="India",F707,IF(C707="USA",IF(G707="US Cents/Lb",ROUND(((F707/100)/0.453592)*I707*356,0),F707),IF(C707="Australia",IF(G707="AUc/kg",ROUND((F707/100)*I707,2),F707),"")))</f>
        <v>80318.181817999997</v>
      </c>
      <c r="K707" s="3" t="str">
        <f t="shared" ref="K707:K770" si="45">IF(C707="India",G707,IF(C707="USA","₹/Candy",IF(C707="Australia","₹/Kg","")))</f>
        <v>₹/Candy</v>
      </c>
      <c r="L707" s="3">
        <v>-4.8147958128083E-2</v>
      </c>
      <c r="M707" s="3">
        <v>-0.32211790775125798</v>
      </c>
      <c r="N707" s="3">
        <f t="shared" ref="N707:N770" si="46">YEAR(A707)</f>
        <v>2022</v>
      </c>
      <c r="O707" s="3" t="str">
        <f t="shared" ref="O707:O770" si="47">TEXT(A707,"mmmm")</f>
        <v>November</v>
      </c>
      <c r="P707" s="3" t="s">
        <v>25</v>
      </c>
      <c r="Q707" s="3"/>
    </row>
    <row r="708" spans="1:17" hidden="1" x14ac:dyDescent="0.3">
      <c r="A708" s="2">
        <v>44835</v>
      </c>
      <c r="B708" s="3" t="s">
        <v>12</v>
      </c>
      <c r="C708" s="3" t="s">
        <v>13</v>
      </c>
      <c r="D708" s="3" t="s">
        <v>24</v>
      </c>
      <c r="E708" s="3" t="s">
        <v>15</v>
      </c>
      <c r="F708" s="3">
        <v>84380.952380000002</v>
      </c>
      <c r="G708" s="3" t="s">
        <v>16</v>
      </c>
      <c r="H708" s="3" t="s">
        <v>17</v>
      </c>
      <c r="I708" s="3">
        <f>IF(C708="India",1,IF(C708="USA",INDEX('Currency Master'!B:B,MATCH(DATE(N708,MONTH(DATEVALUE(O708&amp;" 1")),1),'Currency Master'!A:A,0)),IF(C708="Australia",INDEX('Currency Master'!T:T,MATCH(DATE(N708,MONTH(DATEVALUE(O708&amp;" 1")),1),'Currency Master'!A:A,0)),"")))</f>
        <v>1</v>
      </c>
      <c r="J708" s="3">
        <f t="shared" si="44"/>
        <v>84380.952380000002</v>
      </c>
      <c r="K708" s="3" t="str">
        <f t="shared" si="45"/>
        <v>₹/Candy</v>
      </c>
      <c r="L708" s="3">
        <v>-0.12948138223884201</v>
      </c>
      <c r="M708" s="3">
        <v>-0.18772782624526699</v>
      </c>
      <c r="N708" s="3">
        <f t="shared" si="46"/>
        <v>2022</v>
      </c>
      <c r="O708" s="3" t="str">
        <f t="shared" si="47"/>
        <v>October</v>
      </c>
      <c r="P708" s="3" t="s">
        <v>25</v>
      </c>
      <c r="Q708" s="3"/>
    </row>
    <row r="709" spans="1:17" hidden="1" x14ac:dyDescent="0.3">
      <c r="A709" s="2">
        <v>44805</v>
      </c>
      <c r="B709" s="3" t="s">
        <v>12</v>
      </c>
      <c r="C709" s="3" t="s">
        <v>13</v>
      </c>
      <c r="D709" s="3" t="s">
        <v>24</v>
      </c>
      <c r="E709" s="3" t="s">
        <v>15</v>
      </c>
      <c r="F709" s="3">
        <v>96931.818180999995</v>
      </c>
      <c r="G709" s="3" t="s">
        <v>16</v>
      </c>
      <c r="H709" s="3" t="s">
        <v>17</v>
      </c>
      <c r="I709" s="3">
        <f>IF(C709="India",1,IF(C709="USA",INDEX('Currency Master'!B:B,MATCH(DATE(N709,MONTH(DATEVALUE(O709&amp;" 1")),1),'Currency Master'!A:A,0)),IF(C709="Australia",INDEX('Currency Master'!T:T,MATCH(DATE(N709,MONTH(DATEVALUE(O709&amp;" 1")),1),'Currency Master'!A:A,0)),"")))</f>
        <v>1</v>
      </c>
      <c r="J709" s="3">
        <f t="shared" si="44"/>
        <v>96931.818180999995</v>
      </c>
      <c r="K709" s="3" t="str">
        <f t="shared" si="45"/>
        <v>₹/Candy</v>
      </c>
      <c r="L709" s="3">
        <v>-7.7049112755978297E-2</v>
      </c>
      <c r="M709" s="3">
        <v>7.3253418322776201E-3</v>
      </c>
      <c r="N709" s="3">
        <f t="shared" si="46"/>
        <v>2022</v>
      </c>
      <c r="O709" s="3" t="str">
        <f t="shared" si="47"/>
        <v>September</v>
      </c>
      <c r="P709" s="3" t="s">
        <v>25</v>
      </c>
      <c r="Q709" s="3"/>
    </row>
    <row r="710" spans="1:17" hidden="1" x14ac:dyDescent="0.3">
      <c r="A710" s="2">
        <v>44774</v>
      </c>
      <c r="B710" s="3" t="s">
        <v>12</v>
      </c>
      <c r="C710" s="3" t="s">
        <v>13</v>
      </c>
      <c r="D710" s="3" t="s">
        <v>24</v>
      </c>
      <c r="E710" s="3" t="s">
        <v>15</v>
      </c>
      <c r="F710" s="3">
        <v>105023.809523</v>
      </c>
      <c r="G710" s="3" t="s">
        <v>16</v>
      </c>
      <c r="H710" s="3" t="s">
        <v>17</v>
      </c>
      <c r="I710" s="3">
        <f>IF(C710="India",1,IF(C710="USA",INDEX('Currency Master'!B:B,MATCH(DATE(N710,MONTH(DATEVALUE(O710&amp;" 1")),1),'Currency Master'!A:A,0)),IF(C710="Australia",INDEX('Currency Master'!T:T,MATCH(DATE(N710,MONTH(DATEVALUE(O710&amp;" 1")),1),'Currency Master'!A:A,0)),"")))</f>
        <v>1</v>
      </c>
      <c r="J710" s="3">
        <f t="shared" si="44"/>
        <v>105023.809523</v>
      </c>
      <c r="K710" s="3" t="str">
        <f t="shared" si="45"/>
        <v>₹/Candy</v>
      </c>
      <c r="L710" s="3">
        <v>6.8477516521685501E-3</v>
      </c>
      <c r="M710" s="3">
        <v>0.14649598752346801</v>
      </c>
      <c r="N710" s="3">
        <f t="shared" si="46"/>
        <v>2022</v>
      </c>
      <c r="O710" s="3" t="str">
        <f t="shared" si="47"/>
        <v>August</v>
      </c>
      <c r="P710" s="3" t="s">
        <v>25</v>
      </c>
      <c r="Q710" s="3"/>
    </row>
    <row r="711" spans="1:17" hidden="1" x14ac:dyDescent="0.3">
      <c r="A711" s="2">
        <v>44743</v>
      </c>
      <c r="B711" s="3" t="s">
        <v>12</v>
      </c>
      <c r="C711" s="3" t="s">
        <v>13</v>
      </c>
      <c r="D711" s="3" t="s">
        <v>24</v>
      </c>
      <c r="E711" s="3" t="s">
        <v>15</v>
      </c>
      <c r="F711" s="3">
        <v>104309.52380900001</v>
      </c>
      <c r="G711" s="3" t="s">
        <v>16</v>
      </c>
      <c r="H711" s="3" t="s">
        <v>17</v>
      </c>
      <c r="I711" s="3">
        <f>IF(C711="India",1,IF(C711="USA",INDEX('Currency Master'!B:B,MATCH(DATE(N711,MONTH(DATEVALUE(O711&amp;" 1")),1),'Currency Master'!A:A,0)),IF(C711="Australia",INDEX('Currency Master'!T:T,MATCH(DATE(N711,MONTH(DATEVALUE(O711&amp;" 1")),1),'Currency Master'!A:A,0)),"")))</f>
        <v>1</v>
      </c>
      <c r="J711" s="3">
        <f t="shared" si="44"/>
        <v>104309.52380900001</v>
      </c>
      <c r="K711" s="3" t="str">
        <f t="shared" si="45"/>
        <v>₹/Candy</v>
      </c>
      <c r="L711" s="3">
        <v>-8.0973358511013296E-2</v>
      </c>
      <c r="M711" s="3">
        <v>0.209601542773896</v>
      </c>
      <c r="N711" s="3">
        <f t="shared" si="46"/>
        <v>2022</v>
      </c>
      <c r="O711" s="3" t="str">
        <f t="shared" si="47"/>
        <v>July</v>
      </c>
      <c r="P711" s="3" t="s">
        <v>25</v>
      </c>
      <c r="Q711" s="3"/>
    </row>
    <row r="712" spans="1:17" hidden="1" x14ac:dyDescent="0.3">
      <c r="A712" s="2">
        <v>44713</v>
      </c>
      <c r="B712" s="3" t="s">
        <v>12</v>
      </c>
      <c r="C712" s="3" t="s">
        <v>13</v>
      </c>
      <c r="D712" s="3" t="s">
        <v>24</v>
      </c>
      <c r="E712" s="3" t="s">
        <v>15</v>
      </c>
      <c r="F712" s="3">
        <v>113500</v>
      </c>
      <c r="G712" s="3" t="s">
        <v>16</v>
      </c>
      <c r="H712" s="3" t="s">
        <v>17</v>
      </c>
      <c r="I712" s="3">
        <f>IF(C712="India",1,IF(C712="USA",INDEX('Currency Master'!B:B,MATCH(DATE(N712,MONTH(DATEVALUE(O712&amp;" 1")),1),'Currency Master'!A:A,0)),IF(C712="Australia",INDEX('Currency Master'!T:T,MATCH(DATE(N712,MONTH(DATEVALUE(O712&amp;" 1")),1),'Currency Master'!A:A,0)),"")))</f>
        <v>1</v>
      </c>
      <c r="J712" s="3">
        <f t="shared" si="44"/>
        <v>113500</v>
      </c>
      <c r="K712" s="3" t="str">
        <f t="shared" si="45"/>
        <v>₹/Candy</v>
      </c>
      <c r="L712" s="3">
        <v>-2.7269185813202399E-2</v>
      </c>
      <c r="M712" s="3">
        <v>0.39763357961537099</v>
      </c>
      <c r="N712" s="3">
        <f t="shared" si="46"/>
        <v>2022</v>
      </c>
      <c r="O712" s="3" t="str">
        <f t="shared" si="47"/>
        <v>June</v>
      </c>
      <c r="P712" s="3" t="s">
        <v>25</v>
      </c>
      <c r="Q712" s="3"/>
    </row>
    <row r="713" spans="1:17" hidden="1" x14ac:dyDescent="0.3">
      <c r="A713" s="2">
        <v>44682</v>
      </c>
      <c r="B713" s="3" t="s">
        <v>12</v>
      </c>
      <c r="C713" s="3" t="s">
        <v>13</v>
      </c>
      <c r="D713" s="3" t="s">
        <v>24</v>
      </c>
      <c r="E713" s="3" t="s">
        <v>15</v>
      </c>
      <c r="F713" s="3">
        <v>116681.818181</v>
      </c>
      <c r="G713" s="3" t="s">
        <v>16</v>
      </c>
      <c r="H713" s="3" t="s">
        <v>17</v>
      </c>
      <c r="I713" s="3">
        <f>IF(C713="India",1,IF(C713="USA",INDEX('Currency Master'!B:B,MATCH(DATE(N713,MONTH(DATEVALUE(O713&amp;" 1")),1),'Currency Master'!A:A,0)),IF(C713="Australia",INDEX('Currency Master'!T:T,MATCH(DATE(N713,MONTH(DATEVALUE(O713&amp;" 1")),1),'Currency Master'!A:A,0)),"")))</f>
        <v>1</v>
      </c>
      <c r="J713" s="3">
        <f t="shared" si="44"/>
        <v>116681.818181</v>
      </c>
      <c r="K713" s="3" t="str">
        <f t="shared" si="45"/>
        <v>₹/Candy</v>
      </c>
      <c r="L713" s="3">
        <v>1.83530296036503E-2</v>
      </c>
      <c r="M713" s="3">
        <v>0.500730780463022</v>
      </c>
      <c r="N713" s="3">
        <f t="shared" si="46"/>
        <v>2022</v>
      </c>
      <c r="O713" s="3" t="str">
        <f t="shared" si="47"/>
        <v>May</v>
      </c>
      <c r="P713" s="3" t="s">
        <v>25</v>
      </c>
      <c r="Q713" s="3"/>
    </row>
    <row r="714" spans="1:17" hidden="1" x14ac:dyDescent="0.3">
      <c r="A714" s="2">
        <v>44652</v>
      </c>
      <c r="B714" s="3" t="s">
        <v>12</v>
      </c>
      <c r="C714" s="3" t="s">
        <v>13</v>
      </c>
      <c r="D714" s="3" t="s">
        <v>24</v>
      </c>
      <c r="E714" s="3" t="s">
        <v>15</v>
      </c>
      <c r="F714" s="3">
        <v>114578.94736799999</v>
      </c>
      <c r="G714" s="3" t="s">
        <v>16</v>
      </c>
      <c r="H714" s="3" t="s">
        <v>17</v>
      </c>
      <c r="I714" s="3">
        <f>IF(C714="India",1,IF(C714="USA",INDEX('Currency Master'!B:B,MATCH(DATE(N714,MONTH(DATEVALUE(O714&amp;" 1")),1),'Currency Master'!A:A,0)),IF(C714="Australia",INDEX('Currency Master'!T:T,MATCH(DATE(N714,MONTH(DATEVALUE(O714&amp;" 1")),1),'Currency Master'!A:A,0)),"")))</f>
        <v>1</v>
      </c>
      <c r="J714" s="3">
        <f t="shared" si="44"/>
        <v>114578.94736799999</v>
      </c>
      <c r="K714" s="3" t="str">
        <f t="shared" si="45"/>
        <v>₹/Candy</v>
      </c>
      <c r="L714" s="3">
        <v>5.0345073528041302E-2</v>
      </c>
      <c r="M714" s="3">
        <v>0.54860562020407699</v>
      </c>
      <c r="N714" s="3">
        <f t="shared" si="46"/>
        <v>2022</v>
      </c>
      <c r="O714" s="3" t="str">
        <f t="shared" si="47"/>
        <v>April</v>
      </c>
      <c r="P714" s="3" t="s">
        <v>25</v>
      </c>
      <c r="Q714" s="3"/>
    </row>
    <row r="715" spans="1:17" hidden="1" x14ac:dyDescent="0.3">
      <c r="A715" s="2">
        <v>44621</v>
      </c>
      <c r="B715" s="3" t="s">
        <v>12</v>
      </c>
      <c r="C715" s="3" t="s">
        <v>13</v>
      </c>
      <c r="D715" s="3" t="s">
        <v>24</v>
      </c>
      <c r="E715" s="3" t="s">
        <v>15</v>
      </c>
      <c r="F715" s="3">
        <v>109086.956521</v>
      </c>
      <c r="G715" s="3" t="s">
        <v>16</v>
      </c>
      <c r="H715" s="3" t="s">
        <v>17</v>
      </c>
      <c r="I715" s="3">
        <f>IF(C715="India",1,IF(C715="USA",INDEX('Currency Master'!B:B,MATCH(DATE(N715,MONTH(DATEVALUE(O715&amp;" 1")),1),'Currency Master'!A:A,0)),IF(C715="Australia",INDEX('Currency Master'!T:T,MATCH(DATE(N715,MONTH(DATEVALUE(O715&amp;" 1")),1),'Currency Master'!A:A,0)),"")))</f>
        <v>1</v>
      </c>
      <c r="J715" s="3">
        <f t="shared" si="44"/>
        <v>109086.956521</v>
      </c>
      <c r="K715" s="3" t="str">
        <f t="shared" si="45"/>
        <v>₹/Candy</v>
      </c>
      <c r="L715" s="3">
        <v>-8.44569322618548E-2</v>
      </c>
      <c r="M715" s="3">
        <v>0.53820128790919897</v>
      </c>
      <c r="N715" s="3">
        <f t="shared" si="46"/>
        <v>2022</v>
      </c>
      <c r="O715" s="3" t="str">
        <f t="shared" si="47"/>
        <v>March</v>
      </c>
      <c r="P715" s="3" t="s">
        <v>25</v>
      </c>
      <c r="Q715" s="3"/>
    </row>
    <row r="716" spans="1:17" hidden="1" x14ac:dyDescent="0.3">
      <c r="A716" s="2">
        <v>44593</v>
      </c>
      <c r="B716" s="3" t="s">
        <v>12</v>
      </c>
      <c r="C716" s="3" t="s">
        <v>13</v>
      </c>
      <c r="D716" s="3" t="s">
        <v>24</v>
      </c>
      <c r="E716" s="3" t="s">
        <v>15</v>
      </c>
      <c r="F716" s="3">
        <v>119150</v>
      </c>
      <c r="G716" s="3" t="s">
        <v>16</v>
      </c>
      <c r="H716" s="3" t="s">
        <v>17</v>
      </c>
      <c r="I716" s="3">
        <f>IF(C716="India",1,IF(C716="USA",INDEX('Currency Master'!B:B,MATCH(DATE(N716,MONTH(DATEVALUE(O716&amp;" 1")),1),'Currency Master'!A:A,0)),IF(C716="Australia",INDEX('Currency Master'!T:T,MATCH(DATE(N716,MONTH(DATEVALUE(O716&amp;" 1")),1),'Currency Master'!A:A,0)),"")))</f>
        <v>1</v>
      </c>
      <c r="J716" s="3">
        <f t="shared" si="44"/>
        <v>119150</v>
      </c>
      <c r="K716" s="3" t="str">
        <f t="shared" si="45"/>
        <v>₹/Candy</v>
      </c>
      <c r="L716" s="3">
        <v>-4.6800000000000001E-2</v>
      </c>
      <c r="M716" s="3">
        <v>0.79894313035631104</v>
      </c>
      <c r="N716" s="3">
        <f t="shared" si="46"/>
        <v>2022</v>
      </c>
      <c r="O716" s="3" t="str">
        <f t="shared" si="47"/>
        <v>February</v>
      </c>
      <c r="P716" s="3" t="s">
        <v>25</v>
      </c>
      <c r="Q716" s="3"/>
    </row>
    <row r="717" spans="1:17" hidden="1" x14ac:dyDescent="0.3">
      <c r="A717" s="2">
        <v>44562</v>
      </c>
      <c r="B717" s="3" t="s">
        <v>12</v>
      </c>
      <c r="C717" s="3" t="s">
        <v>13</v>
      </c>
      <c r="D717" s="3" t="s">
        <v>24</v>
      </c>
      <c r="E717" s="3" t="s">
        <v>15</v>
      </c>
      <c r="F717" s="3">
        <v>125000</v>
      </c>
      <c r="G717" s="3" t="s">
        <v>16</v>
      </c>
      <c r="H717" s="3" t="s">
        <v>17</v>
      </c>
      <c r="I717" s="3">
        <f>IF(C717="India",1,IF(C717="USA",INDEX('Currency Master'!B:B,MATCH(DATE(N717,MONTH(DATEVALUE(O717&amp;" 1")),1),'Currency Master'!A:A,0)),IF(C717="Australia",INDEX('Currency Master'!T:T,MATCH(DATE(N717,MONTH(DATEVALUE(O717&amp;" 1")),1),'Currency Master'!A:A,0)),"")))</f>
        <v>1</v>
      </c>
      <c r="J717" s="3">
        <f t="shared" si="44"/>
        <v>125000</v>
      </c>
      <c r="K717" s="3" t="str">
        <f t="shared" si="45"/>
        <v>₹/Candy</v>
      </c>
      <c r="L717" s="3">
        <v>5.6457065584854603E-2</v>
      </c>
      <c r="M717" s="3">
        <v>1.05673292088983</v>
      </c>
      <c r="N717" s="3">
        <f t="shared" si="46"/>
        <v>2022</v>
      </c>
      <c r="O717" s="3" t="str">
        <f t="shared" si="47"/>
        <v>January</v>
      </c>
      <c r="P717" s="3" t="s">
        <v>25</v>
      </c>
      <c r="Q717" s="3"/>
    </row>
    <row r="718" spans="1:17" hidden="1" x14ac:dyDescent="0.3">
      <c r="A718" s="2">
        <v>44531</v>
      </c>
      <c r="B718" s="3" t="s">
        <v>12</v>
      </c>
      <c r="C718" s="3" t="s">
        <v>13</v>
      </c>
      <c r="D718" s="3" t="s">
        <v>24</v>
      </c>
      <c r="E718" s="3" t="s">
        <v>15</v>
      </c>
      <c r="F718" s="3">
        <v>118320</v>
      </c>
      <c r="G718" s="3" t="s">
        <v>16</v>
      </c>
      <c r="H718" s="3" t="s">
        <v>17</v>
      </c>
      <c r="I718" s="3">
        <f>IF(C718="India",1,IF(C718="USA",INDEX('Currency Master'!B:B,MATCH(DATE(N718,MONTH(DATEVALUE(O718&amp;" 1")),1),'Currency Master'!A:A,0)),IF(C718="Australia",INDEX('Currency Master'!T:T,MATCH(DATE(N718,MONTH(DATEVALUE(O718&amp;" 1")),1),'Currency Master'!A:A,0)),"")))</f>
        <v>1</v>
      </c>
      <c r="J718" s="3">
        <f t="shared" si="44"/>
        <v>118320</v>
      </c>
      <c r="K718" s="3" t="str">
        <f t="shared" si="45"/>
        <v>₹/Candy</v>
      </c>
      <c r="L718" s="3">
        <v>-1.3841531346005E-3</v>
      </c>
      <c r="M718" s="3">
        <v>1.0596017267790001</v>
      </c>
      <c r="N718" s="3">
        <f t="shared" si="46"/>
        <v>2021</v>
      </c>
      <c r="O718" s="3" t="str">
        <f t="shared" si="47"/>
        <v>December</v>
      </c>
      <c r="P718" s="3" t="s">
        <v>25</v>
      </c>
      <c r="Q718" s="3"/>
    </row>
    <row r="719" spans="1:17" hidden="1" x14ac:dyDescent="0.3">
      <c r="A719" s="2">
        <v>44501</v>
      </c>
      <c r="B719" s="3" t="s">
        <v>12</v>
      </c>
      <c r="C719" s="3" t="s">
        <v>13</v>
      </c>
      <c r="D719" s="3" t="s">
        <v>24</v>
      </c>
      <c r="E719" s="3" t="s">
        <v>15</v>
      </c>
      <c r="F719" s="3">
        <v>118484</v>
      </c>
      <c r="G719" s="3" t="s">
        <v>16</v>
      </c>
      <c r="H719" s="3" t="s">
        <v>17</v>
      </c>
      <c r="I719" s="3">
        <f>IF(C719="India",1,IF(C719="USA",INDEX('Currency Master'!B:B,MATCH(DATE(N719,MONTH(DATEVALUE(O719&amp;" 1")),1),'Currency Master'!A:A,0)),IF(C719="Australia",INDEX('Currency Master'!T:T,MATCH(DATE(N719,MONTH(DATEVALUE(O719&amp;" 1")),1),'Currency Master'!A:A,0)),"")))</f>
        <v>1</v>
      </c>
      <c r="J719" s="3">
        <f t="shared" si="44"/>
        <v>118484</v>
      </c>
      <c r="K719" s="3" t="str">
        <f t="shared" si="45"/>
        <v>₹/Candy</v>
      </c>
      <c r="L719" s="3">
        <v>0.140556648397902</v>
      </c>
      <c r="M719" s="3">
        <v>1.0596568664686801</v>
      </c>
      <c r="N719" s="3">
        <f t="shared" si="46"/>
        <v>2021</v>
      </c>
      <c r="O719" s="3" t="str">
        <f t="shared" si="47"/>
        <v>November</v>
      </c>
      <c r="P719" s="3" t="s">
        <v>25</v>
      </c>
      <c r="Q719" s="3"/>
    </row>
    <row r="720" spans="1:17" hidden="1" x14ac:dyDescent="0.3">
      <c r="A720" s="2">
        <v>44470</v>
      </c>
      <c r="B720" s="3" t="s">
        <v>12</v>
      </c>
      <c r="C720" s="3" t="s">
        <v>13</v>
      </c>
      <c r="D720" s="3" t="s">
        <v>24</v>
      </c>
      <c r="E720" s="3" t="s">
        <v>15</v>
      </c>
      <c r="F720" s="3">
        <v>103882.608695</v>
      </c>
      <c r="G720" s="3" t="s">
        <v>16</v>
      </c>
      <c r="H720" s="3" t="s">
        <v>17</v>
      </c>
      <c r="I720" s="3">
        <f>IF(C720="India",1,IF(C720="USA",INDEX('Currency Master'!B:B,MATCH(DATE(N720,MONTH(DATEVALUE(O720&amp;" 1")),1),'Currency Master'!A:A,0)),IF(C720="Australia",INDEX('Currency Master'!T:T,MATCH(DATE(N720,MONTH(DATEVALUE(O720&amp;" 1")),1),'Currency Master'!A:A,0)),"")))</f>
        <v>1</v>
      </c>
      <c r="J720" s="3">
        <f t="shared" si="44"/>
        <v>103882.608695</v>
      </c>
      <c r="K720" s="3" t="str">
        <f t="shared" si="45"/>
        <v>₹/Candy</v>
      </c>
      <c r="L720" s="3">
        <v>7.9558665852316204E-2</v>
      </c>
      <c r="M720" s="3">
        <v>0.84453173945302695</v>
      </c>
      <c r="N720" s="3">
        <f t="shared" si="46"/>
        <v>2021</v>
      </c>
      <c r="O720" s="3" t="str">
        <f t="shared" si="47"/>
        <v>October</v>
      </c>
      <c r="P720" s="3" t="s">
        <v>25</v>
      </c>
      <c r="Q720" s="3"/>
    </row>
    <row r="721" spans="1:17" hidden="1" x14ac:dyDescent="0.3">
      <c r="A721" s="2">
        <v>44440</v>
      </c>
      <c r="B721" s="3" t="s">
        <v>12</v>
      </c>
      <c r="C721" s="3" t="s">
        <v>13</v>
      </c>
      <c r="D721" s="3" t="s">
        <v>24</v>
      </c>
      <c r="E721" s="3" t="s">
        <v>15</v>
      </c>
      <c r="F721" s="3">
        <v>96226.923076000006</v>
      </c>
      <c r="G721" s="3" t="s">
        <v>16</v>
      </c>
      <c r="H721" s="3" t="s">
        <v>17</v>
      </c>
      <c r="I721" s="3">
        <f>IF(C721="India",1,IF(C721="USA",INDEX('Currency Master'!B:B,MATCH(DATE(N721,MONTH(DATEVALUE(O721&amp;" 1")),1),'Currency Master'!A:A,0)),IF(C721="Australia",INDEX('Currency Master'!T:T,MATCH(DATE(N721,MONTH(DATEVALUE(O721&amp;" 1")),1),'Currency Master'!A:A,0)),"")))</f>
        <v>1</v>
      </c>
      <c r="J721" s="3">
        <f t="shared" si="44"/>
        <v>96226.923076000006</v>
      </c>
      <c r="K721" s="3" t="str">
        <f t="shared" si="45"/>
        <v>₹/Candy</v>
      </c>
      <c r="L721" s="3">
        <v>5.0464477525952803E-2</v>
      </c>
      <c r="M721" s="3">
        <v>0.71058389170903402</v>
      </c>
      <c r="N721" s="3">
        <f t="shared" si="46"/>
        <v>2021</v>
      </c>
      <c r="O721" s="3" t="str">
        <f t="shared" si="47"/>
        <v>September</v>
      </c>
      <c r="P721" s="3" t="s">
        <v>25</v>
      </c>
      <c r="Q721" s="3"/>
    </row>
    <row r="722" spans="1:17" hidden="1" x14ac:dyDescent="0.3">
      <c r="A722" s="2">
        <v>44409</v>
      </c>
      <c r="B722" s="3" t="s">
        <v>12</v>
      </c>
      <c r="C722" s="3" t="s">
        <v>13</v>
      </c>
      <c r="D722" s="3" t="s">
        <v>24</v>
      </c>
      <c r="E722" s="3" t="s">
        <v>15</v>
      </c>
      <c r="F722" s="3">
        <v>91604.166666000005</v>
      </c>
      <c r="G722" s="3" t="s">
        <v>16</v>
      </c>
      <c r="H722" s="3" t="s">
        <v>17</v>
      </c>
      <c r="I722" s="3">
        <f>IF(C722="India",1,IF(C722="USA",INDEX('Currency Master'!B:B,MATCH(DATE(N722,MONTH(DATEVALUE(O722&amp;" 1")),1),'Currency Master'!A:A,0)),IF(C722="Australia",INDEX('Currency Master'!T:T,MATCH(DATE(N722,MONTH(DATEVALUE(O722&amp;" 1")),1),'Currency Master'!A:A,0)),"")))</f>
        <v>1</v>
      </c>
      <c r="J722" s="3">
        <f t="shared" si="44"/>
        <v>91604.166666000005</v>
      </c>
      <c r="K722" s="3" t="str">
        <f t="shared" si="45"/>
        <v>₹/Candy</v>
      </c>
      <c r="L722" s="3">
        <v>6.2266773709020999E-2</v>
      </c>
      <c r="M722" s="3">
        <v>0.64011819501762401</v>
      </c>
      <c r="N722" s="3">
        <f t="shared" si="46"/>
        <v>2021</v>
      </c>
      <c r="O722" s="3" t="str">
        <f t="shared" si="47"/>
        <v>August</v>
      </c>
      <c r="P722" s="3" t="s">
        <v>25</v>
      </c>
      <c r="Q722" s="3"/>
    </row>
    <row r="723" spans="1:17" hidden="1" x14ac:dyDescent="0.3">
      <c r="A723" s="2">
        <v>44378</v>
      </c>
      <c r="B723" s="3" t="s">
        <v>12</v>
      </c>
      <c r="C723" s="3" t="s">
        <v>13</v>
      </c>
      <c r="D723" s="3" t="s">
        <v>24</v>
      </c>
      <c r="E723" s="3" t="s">
        <v>15</v>
      </c>
      <c r="F723" s="3">
        <v>86234.615384000004</v>
      </c>
      <c r="G723" s="3" t="s">
        <v>16</v>
      </c>
      <c r="H723" s="3" t="s">
        <v>17</v>
      </c>
      <c r="I723" s="3">
        <f>IF(C723="India",1,IF(C723="USA",INDEX('Currency Master'!B:B,MATCH(DATE(N723,MONTH(DATEVALUE(O723&amp;" 1")),1),'Currency Master'!A:A,0)),IF(C723="Australia",INDEX('Currency Master'!T:T,MATCH(DATE(N723,MONTH(DATEVALUE(O723&amp;" 1")),1),'Currency Master'!A:A,0)),"")))</f>
        <v>1</v>
      </c>
      <c r="J723" s="3">
        <f t="shared" si="44"/>
        <v>86234.615384000004</v>
      </c>
      <c r="K723" s="3" t="str">
        <f t="shared" si="45"/>
        <v>₹/Candy</v>
      </c>
      <c r="L723" s="3">
        <v>6.1888935558543703E-2</v>
      </c>
      <c r="M723" s="3">
        <v>0.57016217982593198</v>
      </c>
      <c r="N723" s="3">
        <f t="shared" si="46"/>
        <v>2021</v>
      </c>
      <c r="O723" s="3" t="str">
        <f t="shared" si="47"/>
        <v>July</v>
      </c>
      <c r="P723" s="3" t="s">
        <v>25</v>
      </c>
      <c r="Q723" s="3"/>
    </row>
    <row r="724" spans="1:17" hidden="1" x14ac:dyDescent="0.3">
      <c r="A724" s="2">
        <v>44348</v>
      </c>
      <c r="B724" s="3" t="s">
        <v>12</v>
      </c>
      <c r="C724" s="3" t="s">
        <v>13</v>
      </c>
      <c r="D724" s="3" t="s">
        <v>24</v>
      </c>
      <c r="E724" s="3" t="s">
        <v>15</v>
      </c>
      <c r="F724" s="3">
        <v>81208.695651999995</v>
      </c>
      <c r="G724" s="3" t="s">
        <v>16</v>
      </c>
      <c r="H724" s="3" t="s">
        <v>17</v>
      </c>
      <c r="I724" s="3">
        <f>IF(C724="India",1,IF(C724="USA",INDEX('Currency Master'!B:B,MATCH(DATE(N724,MONTH(DATEVALUE(O724&amp;" 1")),1),'Currency Master'!A:A,0)),IF(C724="Australia",INDEX('Currency Master'!T:T,MATCH(DATE(N724,MONTH(DATEVALUE(O724&amp;" 1")),1),'Currency Master'!A:A,0)),"")))</f>
        <v>1</v>
      </c>
      <c r="J724" s="3">
        <f t="shared" si="44"/>
        <v>81208.695651999995</v>
      </c>
      <c r="K724" s="3" t="str">
        <f t="shared" si="45"/>
        <v>₹/Candy</v>
      </c>
      <c r="L724" s="3">
        <v>4.44848315369775E-2</v>
      </c>
      <c r="M724" s="3">
        <v>0.48548868903197501</v>
      </c>
      <c r="N724" s="3">
        <f t="shared" si="46"/>
        <v>2021</v>
      </c>
      <c r="O724" s="3" t="str">
        <f t="shared" si="47"/>
        <v>June</v>
      </c>
      <c r="P724" s="3" t="s">
        <v>25</v>
      </c>
      <c r="Q724" s="3"/>
    </row>
    <row r="725" spans="1:17" hidden="1" x14ac:dyDescent="0.3">
      <c r="A725" s="2">
        <v>44317</v>
      </c>
      <c r="B725" s="3" t="s">
        <v>12</v>
      </c>
      <c r="C725" s="3" t="s">
        <v>13</v>
      </c>
      <c r="D725" s="3" t="s">
        <v>24</v>
      </c>
      <c r="E725" s="3" t="s">
        <v>15</v>
      </c>
      <c r="F725" s="3">
        <v>77750</v>
      </c>
      <c r="G725" s="3" t="s">
        <v>16</v>
      </c>
      <c r="H725" s="3" t="s">
        <v>17</v>
      </c>
      <c r="I725" s="3">
        <f>IF(C725="India",1,IF(C725="USA",INDEX('Currency Master'!B:B,MATCH(DATE(N725,MONTH(DATEVALUE(O725&amp;" 1")),1),'Currency Master'!A:A,0)),IF(C725="Australia",INDEX('Currency Master'!T:T,MATCH(DATE(N725,MONTH(DATEVALUE(O725&amp;" 1")),1),'Currency Master'!A:A,0)),"")))</f>
        <v>1</v>
      </c>
      <c r="J725" s="3">
        <f t="shared" si="44"/>
        <v>77750</v>
      </c>
      <c r="K725" s="3" t="str">
        <f t="shared" si="45"/>
        <v>₹/Candy</v>
      </c>
      <c r="L725" s="3">
        <v>5.0839527999485497E-2</v>
      </c>
      <c r="M725" s="3">
        <v>0.48014685886842701</v>
      </c>
      <c r="N725" s="3">
        <f t="shared" si="46"/>
        <v>2021</v>
      </c>
      <c r="O725" s="3" t="str">
        <f t="shared" si="47"/>
        <v>May</v>
      </c>
      <c r="P725" s="3" t="s">
        <v>25</v>
      </c>
      <c r="Q725" s="3"/>
    </row>
    <row r="726" spans="1:17" hidden="1" x14ac:dyDescent="0.3">
      <c r="A726" s="2">
        <v>44287</v>
      </c>
      <c r="B726" s="3" t="s">
        <v>12</v>
      </c>
      <c r="C726" s="3" t="s">
        <v>13</v>
      </c>
      <c r="D726" s="3" t="s">
        <v>24</v>
      </c>
      <c r="E726" s="3" t="s">
        <v>15</v>
      </c>
      <c r="F726" s="3">
        <v>73988.461538000003</v>
      </c>
      <c r="G726" s="3" t="s">
        <v>16</v>
      </c>
      <c r="H726" s="3" t="s">
        <v>17</v>
      </c>
      <c r="I726" s="3">
        <f>IF(C726="India",1,IF(C726="USA",INDEX('Currency Master'!B:B,MATCH(DATE(N726,MONTH(DATEVALUE(O726&amp;" 1")),1),'Currency Master'!A:A,0)),IF(C726="Australia",INDEX('Currency Master'!T:T,MATCH(DATE(N726,MONTH(DATEVALUE(O726&amp;" 1")),1),'Currency Master'!A:A,0)),"")))</f>
        <v>1</v>
      </c>
      <c r="J726" s="3">
        <f t="shared" si="44"/>
        <v>73988.461538000003</v>
      </c>
      <c r="K726" s="3" t="str">
        <f t="shared" si="45"/>
        <v>₹/Candy</v>
      </c>
      <c r="L726" s="3">
        <v>4.3288312899835597E-2</v>
      </c>
      <c r="M726" s="3">
        <v>0.30687029123023901</v>
      </c>
      <c r="N726" s="3">
        <f t="shared" si="46"/>
        <v>2021</v>
      </c>
      <c r="O726" s="3" t="str">
        <f t="shared" si="47"/>
        <v>April</v>
      </c>
      <c r="P726" s="3" t="s">
        <v>25</v>
      </c>
      <c r="Q726" s="3"/>
    </row>
    <row r="727" spans="1:17" hidden="1" x14ac:dyDescent="0.3">
      <c r="A727" s="2">
        <v>44256</v>
      </c>
      <c r="B727" s="3" t="s">
        <v>12</v>
      </c>
      <c r="C727" s="3" t="s">
        <v>13</v>
      </c>
      <c r="D727" s="3" t="s">
        <v>24</v>
      </c>
      <c r="E727" s="3" t="s">
        <v>15</v>
      </c>
      <c r="F727" s="3">
        <v>70918.518517999997</v>
      </c>
      <c r="G727" s="3" t="s">
        <v>16</v>
      </c>
      <c r="H727" s="3" t="s">
        <v>17</v>
      </c>
      <c r="I727" s="3">
        <f>IF(C727="India",1,IF(C727="USA",INDEX('Currency Master'!B:B,MATCH(DATE(N727,MONTH(DATEVALUE(O727&amp;" 1")),1),'Currency Master'!A:A,0)),IF(C727="Australia",INDEX('Currency Master'!T:T,MATCH(DATE(N727,MONTH(DATEVALUE(O727&amp;" 1")),1),'Currency Master'!A:A,0)),"")))</f>
        <v>1</v>
      </c>
      <c r="J727" s="3">
        <f t="shared" si="44"/>
        <v>70918.518517999997</v>
      </c>
      <c r="K727" s="3" t="str">
        <f t="shared" si="45"/>
        <v>₹/Candy</v>
      </c>
      <c r="L727" s="3">
        <v>7.0737571993310294E-2</v>
      </c>
      <c r="M727" s="3">
        <v>0.25280028473007399</v>
      </c>
      <c r="N727" s="3">
        <f t="shared" si="46"/>
        <v>2021</v>
      </c>
      <c r="O727" s="3" t="str">
        <f t="shared" si="47"/>
        <v>March</v>
      </c>
      <c r="P727" s="3" t="s">
        <v>25</v>
      </c>
      <c r="Q727" s="3"/>
    </row>
    <row r="728" spans="1:17" hidden="1" x14ac:dyDescent="0.3">
      <c r="A728" s="2">
        <v>44228</v>
      </c>
      <c r="B728" s="3" t="s">
        <v>12</v>
      </c>
      <c r="C728" s="3" t="s">
        <v>13</v>
      </c>
      <c r="D728" s="3" t="s">
        <v>24</v>
      </c>
      <c r="E728" s="3" t="s">
        <v>15</v>
      </c>
      <c r="F728" s="3">
        <v>66233.333333000002</v>
      </c>
      <c r="G728" s="3" t="s">
        <v>16</v>
      </c>
      <c r="H728" s="3" t="s">
        <v>17</v>
      </c>
      <c r="I728" s="3">
        <f>IF(C728="India",1,IF(C728="USA",INDEX('Currency Master'!B:B,MATCH(DATE(N728,MONTH(DATEVALUE(O728&amp;" 1")),1),'Currency Master'!A:A,0)),IF(C728="Australia",INDEX('Currency Master'!T:T,MATCH(DATE(N728,MONTH(DATEVALUE(O728&amp;" 1")),1),'Currency Master'!A:A,0)),"")))</f>
        <v>1</v>
      </c>
      <c r="J728" s="3">
        <f t="shared" si="44"/>
        <v>66233.333333000002</v>
      </c>
      <c r="K728" s="3" t="str">
        <f t="shared" si="45"/>
        <v>₹/Candy</v>
      </c>
      <c r="L728" s="3">
        <v>8.9794217010003896E-2</v>
      </c>
      <c r="M728" s="3">
        <v>0.17442997112643899</v>
      </c>
      <c r="N728" s="3">
        <f t="shared" si="46"/>
        <v>2021</v>
      </c>
      <c r="O728" s="3" t="str">
        <f t="shared" si="47"/>
        <v>February</v>
      </c>
      <c r="P728" s="3" t="s">
        <v>25</v>
      </c>
      <c r="Q728" s="3"/>
    </row>
    <row r="729" spans="1:17" hidden="1" x14ac:dyDescent="0.3">
      <c r="A729" s="2">
        <v>44197</v>
      </c>
      <c r="B729" s="3" t="s">
        <v>12</v>
      </c>
      <c r="C729" s="3" t="s">
        <v>13</v>
      </c>
      <c r="D729" s="3" t="s">
        <v>24</v>
      </c>
      <c r="E729" s="3" t="s">
        <v>15</v>
      </c>
      <c r="F729" s="3">
        <v>60776</v>
      </c>
      <c r="G729" s="3" t="s">
        <v>16</v>
      </c>
      <c r="H729" s="3" t="s">
        <v>17</v>
      </c>
      <c r="I729" s="3">
        <f>IF(C729="India",1,IF(C729="USA",INDEX('Currency Master'!B:B,MATCH(DATE(N729,MONTH(DATEVALUE(O729&amp;" 1")),1),'Currency Master'!A:A,0)),IF(C729="Australia",INDEX('Currency Master'!T:T,MATCH(DATE(N729,MONTH(DATEVALUE(O729&amp;" 1")),1),'Currency Master'!A:A,0)),"")))</f>
        <v>1</v>
      </c>
      <c r="J729" s="3">
        <f t="shared" si="44"/>
        <v>60776</v>
      </c>
      <c r="K729" s="3" t="str">
        <f t="shared" si="45"/>
        <v>₹/Candy</v>
      </c>
      <c r="L729" s="3">
        <v>5.7930650327252503E-2</v>
      </c>
      <c r="M729" s="3">
        <v>9.3320417915394804E-2</v>
      </c>
      <c r="N729" s="3">
        <f t="shared" si="46"/>
        <v>2021</v>
      </c>
      <c r="O729" s="3" t="str">
        <f t="shared" si="47"/>
        <v>January</v>
      </c>
      <c r="P729" s="3" t="s">
        <v>25</v>
      </c>
      <c r="Q729" s="3"/>
    </row>
    <row r="730" spans="1:17" hidden="1" x14ac:dyDescent="0.3">
      <c r="A730" s="2">
        <v>44166</v>
      </c>
      <c r="B730" s="3" t="s">
        <v>12</v>
      </c>
      <c r="C730" s="3" t="s">
        <v>13</v>
      </c>
      <c r="D730" s="3" t="s">
        <v>24</v>
      </c>
      <c r="E730" s="3" t="s">
        <v>15</v>
      </c>
      <c r="F730" s="3">
        <v>57448</v>
      </c>
      <c r="G730" s="3" t="s">
        <v>16</v>
      </c>
      <c r="H730" s="3" t="s">
        <v>17</v>
      </c>
      <c r="I730" s="3">
        <f>IF(C730="India",1,IF(C730="USA",INDEX('Currency Master'!B:B,MATCH(DATE(N730,MONTH(DATEVALUE(O730&amp;" 1")),1),'Currency Master'!A:A,0)),IF(C730="Australia",INDEX('Currency Master'!T:T,MATCH(DATE(N730,MONTH(DATEVALUE(O730&amp;" 1")),1),'Currency Master'!A:A,0)),"")))</f>
        <v>1</v>
      </c>
      <c r="J730" s="3">
        <f t="shared" si="44"/>
        <v>57448</v>
      </c>
      <c r="K730" s="3" t="str">
        <f t="shared" si="45"/>
        <v>₹/Candy</v>
      </c>
      <c r="L730" s="3">
        <v>-1.3574181755092701E-3</v>
      </c>
      <c r="M730" s="3">
        <v>3.8264979855946901E-2</v>
      </c>
      <c r="N730" s="3">
        <f t="shared" si="46"/>
        <v>2020</v>
      </c>
      <c r="O730" s="3" t="str">
        <f t="shared" si="47"/>
        <v>December</v>
      </c>
      <c r="P730" s="3" t="s">
        <v>25</v>
      </c>
      <c r="Q730" s="3"/>
    </row>
    <row r="731" spans="1:17" hidden="1" x14ac:dyDescent="0.3">
      <c r="A731" s="2">
        <v>44136</v>
      </c>
      <c r="B731" s="3" t="s">
        <v>12</v>
      </c>
      <c r="C731" s="3" t="s">
        <v>13</v>
      </c>
      <c r="D731" s="3" t="s">
        <v>24</v>
      </c>
      <c r="E731" s="3" t="s">
        <v>15</v>
      </c>
      <c r="F731" s="3">
        <v>57526.086955999999</v>
      </c>
      <c r="G731" s="3" t="s">
        <v>16</v>
      </c>
      <c r="H731" s="3" t="s">
        <v>17</v>
      </c>
      <c r="I731" s="3">
        <f>IF(C731="India",1,IF(C731="USA",INDEX('Currency Master'!B:B,MATCH(DATE(N731,MONTH(DATEVALUE(O731&amp;" 1")),1),'Currency Master'!A:A,0)),IF(C731="Australia",INDEX('Currency Master'!T:T,MATCH(DATE(N731,MONTH(DATEVALUE(O731&amp;" 1")),1),'Currency Master'!A:A,0)),"")))</f>
        <v>1</v>
      </c>
      <c r="J731" s="3">
        <f t="shared" si="44"/>
        <v>57526.086955999999</v>
      </c>
      <c r="K731" s="3" t="str">
        <f t="shared" si="45"/>
        <v>₹/Candy</v>
      </c>
      <c r="L731" s="3">
        <v>2.14288471366035E-2</v>
      </c>
      <c r="M731" s="3">
        <v>4.6613910122989703E-2</v>
      </c>
      <c r="N731" s="3">
        <f t="shared" si="46"/>
        <v>2020</v>
      </c>
      <c r="O731" s="3" t="str">
        <f t="shared" si="47"/>
        <v>November</v>
      </c>
      <c r="P731" s="3" t="s">
        <v>25</v>
      </c>
      <c r="Q731" s="3"/>
    </row>
    <row r="732" spans="1:17" hidden="1" x14ac:dyDescent="0.3">
      <c r="A732" s="2">
        <v>44105</v>
      </c>
      <c r="B732" s="3" t="s">
        <v>12</v>
      </c>
      <c r="C732" s="3" t="s">
        <v>13</v>
      </c>
      <c r="D732" s="3" t="s">
        <v>24</v>
      </c>
      <c r="E732" s="3" t="s">
        <v>15</v>
      </c>
      <c r="F732" s="3">
        <v>56319.230769000002</v>
      </c>
      <c r="G732" s="3" t="s">
        <v>16</v>
      </c>
      <c r="H732" s="3" t="s">
        <v>17</v>
      </c>
      <c r="I732" s="3">
        <f>IF(C732="India",1,IF(C732="USA",INDEX('Currency Master'!B:B,MATCH(DATE(N732,MONTH(DATEVALUE(O732&amp;" 1")),1),'Currency Master'!A:A,0)),IF(C732="Australia",INDEX('Currency Master'!T:T,MATCH(DATE(N732,MONTH(DATEVALUE(O732&amp;" 1")),1),'Currency Master'!A:A,0)),"")))</f>
        <v>1</v>
      </c>
      <c r="J732" s="3">
        <f t="shared" si="44"/>
        <v>56319.230769000002</v>
      </c>
      <c r="K732" s="3" t="str">
        <f t="shared" si="45"/>
        <v>₹/Candy</v>
      </c>
      <c r="L732" s="3">
        <v>1.16231369890984E-3</v>
      </c>
      <c r="M732" s="3">
        <v>2.3015564435336502E-2</v>
      </c>
      <c r="N732" s="3">
        <f t="shared" si="46"/>
        <v>2020</v>
      </c>
      <c r="O732" s="3" t="str">
        <f t="shared" si="47"/>
        <v>October</v>
      </c>
      <c r="P732" s="3" t="s">
        <v>25</v>
      </c>
      <c r="Q732" s="3"/>
    </row>
    <row r="733" spans="1:17" hidden="1" x14ac:dyDescent="0.3">
      <c r="A733" s="2">
        <v>44075</v>
      </c>
      <c r="B733" s="3" t="s">
        <v>12</v>
      </c>
      <c r="C733" s="3" t="s">
        <v>13</v>
      </c>
      <c r="D733" s="3" t="s">
        <v>24</v>
      </c>
      <c r="E733" s="3" t="s">
        <v>15</v>
      </c>
      <c r="F733" s="3">
        <v>56253.846152999999</v>
      </c>
      <c r="G733" s="3" t="s">
        <v>16</v>
      </c>
      <c r="H733" s="3" t="s">
        <v>17</v>
      </c>
      <c r="I733" s="3">
        <f>IF(C733="India",1,IF(C733="USA",INDEX('Currency Master'!B:B,MATCH(DATE(N733,MONTH(DATEVALUE(O733&amp;" 1")),1),'Currency Master'!A:A,0)),IF(C733="Australia",INDEX('Currency Master'!T:T,MATCH(DATE(N733,MONTH(DATEVALUE(O733&amp;" 1")),1),'Currency Master'!A:A,0)),"")))</f>
        <v>1</v>
      </c>
      <c r="J733" s="3">
        <f t="shared" si="44"/>
        <v>56253.846152999999</v>
      </c>
      <c r="K733" s="3" t="str">
        <f t="shared" si="45"/>
        <v>₹/Candy</v>
      </c>
      <c r="L733" s="3">
        <v>7.1917028802797002E-3</v>
      </c>
      <c r="M733" s="3">
        <v>1.7460869558406599E-2</v>
      </c>
      <c r="N733" s="3">
        <f t="shared" si="46"/>
        <v>2020</v>
      </c>
      <c r="O733" s="3" t="str">
        <f t="shared" si="47"/>
        <v>September</v>
      </c>
      <c r="P733" s="3" t="s">
        <v>25</v>
      </c>
      <c r="Q733" s="3"/>
    </row>
    <row r="734" spans="1:17" hidden="1" x14ac:dyDescent="0.3">
      <c r="A734" s="2">
        <v>44044</v>
      </c>
      <c r="B734" s="3" t="s">
        <v>12</v>
      </c>
      <c r="C734" s="3" t="s">
        <v>13</v>
      </c>
      <c r="D734" s="3" t="s">
        <v>24</v>
      </c>
      <c r="E734" s="3" t="s">
        <v>15</v>
      </c>
      <c r="F734" s="3">
        <v>55852.173912999999</v>
      </c>
      <c r="G734" s="3" t="s">
        <v>16</v>
      </c>
      <c r="H734" s="3" t="s">
        <v>17</v>
      </c>
      <c r="I734" s="3">
        <f>IF(C734="India",1,IF(C734="USA",INDEX('Currency Master'!B:B,MATCH(DATE(N734,MONTH(DATEVALUE(O734&amp;" 1")),1),'Currency Master'!A:A,0)),IF(C734="Australia",INDEX('Currency Master'!T:T,MATCH(DATE(N734,MONTH(DATEVALUE(O734&amp;" 1")),1),'Currency Master'!A:A,0)),"")))</f>
        <v>1</v>
      </c>
      <c r="J734" s="3">
        <f t="shared" si="44"/>
        <v>55852.173912999999</v>
      </c>
      <c r="K734" s="3" t="str">
        <f t="shared" si="45"/>
        <v>₹/Candy</v>
      </c>
      <c r="L734" s="3">
        <v>1.6957874152291798E-2</v>
      </c>
      <c r="M734" s="3">
        <v>3.8667924723765298E-3</v>
      </c>
      <c r="N734" s="3">
        <f t="shared" si="46"/>
        <v>2020</v>
      </c>
      <c r="O734" s="3" t="str">
        <f t="shared" si="47"/>
        <v>August</v>
      </c>
      <c r="P734" s="3" t="s">
        <v>25</v>
      </c>
      <c r="Q734" s="3"/>
    </row>
    <row r="735" spans="1:17" hidden="1" x14ac:dyDescent="0.3">
      <c r="A735" s="2">
        <v>44013</v>
      </c>
      <c r="B735" s="3" t="s">
        <v>12</v>
      </c>
      <c r="C735" s="3" t="s">
        <v>13</v>
      </c>
      <c r="D735" s="3" t="s">
        <v>24</v>
      </c>
      <c r="E735" s="3" t="s">
        <v>15</v>
      </c>
      <c r="F735" s="3">
        <v>54920.833333000002</v>
      </c>
      <c r="G735" s="3" t="s">
        <v>16</v>
      </c>
      <c r="H735" s="3" t="s">
        <v>17</v>
      </c>
      <c r="I735" s="3">
        <f>IF(C735="India",1,IF(C735="USA",INDEX('Currency Master'!B:B,MATCH(DATE(N735,MONTH(DATEVALUE(O735&amp;" 1")),1),'Currency Master'!A:A,0)),IF(C735="Australia",INDEX('Currency Master'!T:T,MATCH(DATE(N735,MONTH(DATEVALUE(O735&amp;" 1")),1),'Currency Master'!A:A,0)),"")))</f>
        <v>1</v>
      </c>
      <c r="J735" s="3">
        <f t="shared" si="44"/>
        <v>54920.833333000002</v>
      </c>
      <c r="K735" s="3" t="str">
        <f t="shared" si="45"/>
        <v>₹/Candy</v>
      </c>
      <c r="L735" s="3">
        <v>4.6248871917757804E-3</v>
      </c>
      <c r="M735" s="3">
        <v>-1.42098571595244E-2</v>
      </c>
      <c r="N735" s="3">
        <f t="shared" si="46"/>
        <v>2020</v>
      </c>
      <c r="O735" s="3" t="str">
        <f t="shared" si="47"/>
        <v>July</v>
      </c>
      <c r="P735" s="3" t="s">
        <v>25</v>
      </c>
      <c r="Q735" s="3"/>
    </row>
    <row r="736" spans="1:17" hidden="1" x14ac:dyDescent="0.3">
      <c r="A736" s="2">
        <v>43983</v>
      </c>
      <c r="B736" s="3" t="s">
        <v>12</v>
      </c>
      <c r="C736" s="3" t="s">
        <v>13</v>
      </c>
      <c r="D736" s="3" t="s">
        <v>24</v>
      </c>
      <c r="E736" s="3" t="s">
        <v>15</v>
      </c>
      <c r="F736" s="3">
        <v>54668</v>
      </c>
      <c r="G736" s="3" t="s">
        <v>16</v>
      </c>
      <c r="H736" s="3" t="s">
        <v>17</v>
      </c>
      <c r="I736" s="3">
        <f>IF(C736="India",1,IF(C736="USA",INDEX('Currency Master'!B:B,MATCH(DATE(N736,MONTH(DATEVALUE(O736&amp;" 1")),1),'Currency Master'!A:A,0)),IF(C736="Australia",INDEX('Currency Master'!T:T,MATCH(DATE(N736,MONTH(DATEVALUE(O736&amp;" 1")),1),'Currency Master'!A:A,0)),"")))</f>
        <v>1</v>
      </c>
      <c r="J736" s="3">
        <f t="shared" si="44"/>
        <v>54668</v>
      </c>
      <c r="K736" s="3" t="str">
        <f t="shared" si="45"/>
        <v>₹/Candy</v>
      </c>
      <c r="L736" s="3">
        <v>4.0728855056195098E-2</v>
      </c>
      <c r="M736" s="3">
        <v>-1.90913658221489E-2</v>
      </c>
      <c r="N736" s="3">
        <f t="shared" si="46"/>
        <v>2020</v>
      </c>
      <c r="O736" s="3" t="str">
        <f t="shared" si="47"/>
        <v>June</v>
      </c>
      <c r="P736" s="3" t="s">
        <v>25</v>
      </c>
      <c r="Q736" s="3"/>
    </row>
    <row r="737" spans="1:17" hidden="1" x14ac:dyDescent="0.3">
      <c r="A737" s="2">
        <v>43952</v>
      </c>
      <c r="B737" s="3" t="s">
        <v>12</v>
      </c>
      <c r="C737" s="3" t="s">
        <v>13</v>
      </c>
      <c r="D737" s="3" t="s">
        <v>24</v>
      </c>
      <c r="E737" s="3" t="s">
        <v>15</v>
      </c>
      <c r="F737" s="3">
        <v>52528.571428000003</v>
      </c>
      <c r="G737" s="3" t="s">
        <v>16</v>
      </c>
      <c r="H737" s="3" t="s">
        <v>17</v>
      </c>
      <c r="I737" s="3">
        <f>IF(C737="India",1,IF(C737="USA",INDEX('Currency Master'!B:B,MATCH(DATE(N737,MONTH(DATEVALUE(O737&amp;" 1")),1),'Currency Master'!A:A,0)),IF(C737="Australia",INDEX('Currency Master'!T:T,MATCH(DATE(N737,MONTH(DATEVALUE(O737&amp;" 1")),1),'Currency Master'!A:A,0)),"")))</f>
        <v>1</v>
      </c>
      <c r="J737" s="3">
        <f t="shared" si="44"/>
        <v>52528.571428000003</v>
      </c>
      <c r="K737" s="3" t="str">
        <f t="shared" si="45"/>
        <v>₹/Candy</v>
      </c>
      <c r="L737" s="3">
        <v>-7.2179255886249197E-2</v>
      </c>
      <c r="M737" s="3">
        <v>-7.1670941821009401E-2</v>
      </c>
      <c r="N737" s="3">
        <f t="shared" si="46"/>
        <v>2020</v>
      </c>
      <c r="O737" s="3" t="str">
        <f t="shared" si="47"/>
        <v>May</v>
      </c>
      <c r="P737" s="3" t="s">
        <v>25</v>
      </c>
      <c r="Q737" s="3"/>
    </row>
    <row r="738" spans="1:17" hidden="1" x14ac:dyDescent="0.3">
      <c r="A738" s="2">
        <v>43891</v>
      </c>
      <c r="B738" s="3" t="s">
        <v>12</v>
      </c>
      <c r="C738" s="3" t="s">
        <v>13</v>
      </c>
      <c r="D738" s="3" t="s">
        <v>24</v>
      </c>
      <c r="E738" s="3" t="s">
        <v>15</v>
      </c>
      <c r="F738" s="3">
        <v>56615</v>
      </c>
      <c r="G738" s="3" t="s">
        <v>16</v>
      </c>
      <c r="H738" s="3" t="s">
        <v>17</v>
      </c>
      <c r="I738" s="3">
        <f>IF(C738="India",1,IF(C738="USA",INDEX('Currency Master'!B:B,MATCH(DATE(N738,MONTH(DATEVALUE(O738&amp;" 1")),1),'Currency Master'!A:A,0)),IF(C738="Australia",INDEX('Currency Master'!T:T,MATCH(DATE(N738,MONTH(DATEVALUE(O738&amp;" 1")),1),'Currency Master'!A:A,0)),"")))</f>
        <v>1</v>
      </c>
      <c r="J738" s="3">
        <f t="shared" si="44"/>
        <v>56615</v>
      </c>
      <c r="K738" s="3" t="str">
        <f t="shared" si="45"/>
        <v>₹/Candy</v>
      </c>
      <c r="L738" s="3">
        <v>1.23657433578339E-4</v>
      </c>
      <c r="M738" s="3">
        <v>2.64522445427515E-2</v>
      </c>
      <c r="N738" s="3">
        <f t="shared" si="46"/>
        <v>2020</v>
      </c>
      <c r="O738" s="3" t="str">
        <f t="shared" si="47"/>
        <v>March</v>
      </c>
      <c r="P738" s="3" t="s">
        <v>25</v>
      </c>
      <c r="Q738" s="3"/>
    </row>
    <row r="739" spans="1:17" hidden="1" x14ac:dyDescent="0.3">
      <c r="A739" s="2">
        <v>43862</v>
      </c>
      <c r="B739" s="3" t="s">
        <v>12</v>
      </c>
      <c r="C739" s="3" t="s">
        <v>13</v>
      </c>
      <c r="D739" s="3" t="s">
        <v>24</v>
      </c>
      <c r="E739" s="3" t="s">
        <v>15</v>
      </c>
      <c r="F739" s="3">
        <v>56608</v>
      </c>
      <c r="G739" s="3" t="s">
        <v>16</v>
      </c>
      <c r="H739" s="3" t="s">
        <v>17</v>
      </c>
      <c r="I739" s="3">
        <f>IF(C739="India",1,IF(C739="USA",INDEX('Currency Master'!B:B,MATCH(DATE(N739,MONTH(DATEVALUE(O739&amp;" 1")),1),'Currency Master'!A:A,0)),IF(C739="Australia",INDEX('Currency Master'!T:T,MATCH(DATE(N739,MONTH(DATEVALUE(O739&amp;" 1")),1),'Currency Master'!A:A,0)),"")))</f>
        <v>1</v>
      </c>
      <c r="J739" s="3">
        <f t="shared" si="44"/>
        <v>56608</v>
      </c>
      <c r="K739" s="3" t="str">
        <f t="shared" si="45"/>
        <v>₹/Candy</v>
      </c>
      <c r="L739" s="3">
        <v>3.7563936466036298E-3</v>
      </c>
      <c r="M739" s="3">
        <v>-1.0800790144453501E-2</v>
      </c>
      <c r="N739" s="3">
        <f t="shared" si="46"/>
        <v>2020</v>
      </c>
      <c r="O739" s="3" t="str">
        <f t="shared" si="47"/>
        <v>February</v>
      </c>
      <c r="P739" s="3" t="s">
        <v>25</v>
      </c>
      <c r="Q739" s="3"/>
    </row>
    <row r="740" spans="1:17" hidden="1" x14ac:dyDescent="0.3">
      <c r="A740" s="2">
        <v>43831</v>
      </c>
      <c r="B740" s="3" t="s">
        <v>12</v>
      </c>
      <c r="C740" s="3" t="s">
        <v>13</v>
      </c>
      <c r="D740" s="3" t="s">
        <v>24</v>
      </c>
      <c r="E740" s="3" t="s">
        <v>15</v>
      </c>
      <c r="F740" s="3">
        <v>56396.153846000001</v>
      </c>
      <c r="G740" s="3" t="s">
        <v>16</v>
      </c>
      <c r="H740" s="3" t="s">
        <v>17</v>
      </c>
      <c r="I740" s="3">
        <f>IF(C740="India",1,IF(C740="USA",INDEX('Currency Master'!B:B,MATCH(DATE(N740,MONTH(DATEVALUE(O740&amp;" 1")),1),'Currency Master'!A:A,0)),IF(C740="Australia",INDEX('Currency Master'!T:T,MATCH(DATE(N740,MONTH(DATEVALUE(O740&amp;" 1")),1),'Currency Master'!A:A,0)),"")))</f>
        <v>1</v>
      </c>
      <c r="J740" s="3">
        <f t="shared" si="44"/>
        <v>56396.153846000001</v>
      </c>
      <c r="K740" s="3" t="str">
        <f t="shared" si="45"/>
        <v>₹/Candy</v>
      </c>
      <c r="L740" s="3">
        <v>1.45298553990001E-2</v>
      </c>
      <c r="M740" s="3">
        <v>-3.8497057384823202E-2</v>
      </c>
      <c r="N740" s="3">
        <f t="shared" si="46"/>
        <v>2020</v>
      </c>
      <c r="O740" s="3" t="str">
        <f t="shared" si="47"/>
        <v>January</v>
      </c>
      <c r="P740" s="3" t="s">
        <v>25</v>
      </c>
      <c r="Q740" s="3"/>
    </row>
    <row r="741" spans="1:17" hidden="1" x14ac:dyDescent="0.3">
      <c r="A741" s="2">
        <v>43800</v>
      </c>
      <c r="B741" s="3" t="s">
        <v>12</v>
      </c>
      <c r="C741" s="3" t="s">
        <v>13</v>
      </c>
      <c r="D741" s="3" t="s">
        <v>24</v>
      </c>
      <c r="E741" s="3" t="s">
        <v>15</v>
      </c>
      <c r="F741" s="3">
        <v>55588.461538000003</v>
      </c>
      <c r="G741" s="3" t="s">
        <v>16</v>
      </c>
      <c r="H741" s="3" t="s">
        <v>17</v>
      </c>
      <c r="I741" s="3">
        <f>IF(C741="India",1,IF(C741="USA",INDEX('Currency Master'!B:B,MATCH(DATE(N741,MONTH(DATEVALUE(O741&amp;" 1")),1),'Currency Master'!A:A,0)),IF(C741="Australia",INDEX('Currency Master'!T:T,MATCH(DATE(N741,MONTH(DATEVALUE(O741&amp;" 1")),1),'Currency Master'!A:A,0)),"")))</f>
        <v>1</v>
      </c>
      <c r="J741" s="3">
        <f t="shared" si="44"/>
        <v>55588.461538000003</v>
      </c>
      <c r="K741" s="3" t="str">
        <f t="shared" si="45"/>
        <v>₹/Candy</v>
      </c>
      <c r="L741" s="3">
        <v>4.6573057195140599E-3</v>
      </c>
      <c r="M741" s="3">
        <v>-6.6490496937400098E-2</v>
      </c>
      <c r="N741" s="3">
        <f t="shared" si="46"/>
        <v>2019</v>
      </c>
      <c r="O741" s="3" t="str">
        <f t="shared" si="47"/>
        <v>December</v>
      </c>
      <c r="P741" s="3" t="s">
        <v>25</v>
      </c>
      <c r="Q741" s="3"/>
    </row>
    <row r="742" spans="1:17" hidden="1" x14ac:dyDescent="0.3">
      <c r="A742" s="2">
        <v>43770</v>
      </c>
      <c r="B742" s="3" t="s">
        <v>12</v>
      </c>
      <c r="C742" s="3" t="s">
        <v>13</v>
      </c>
      <c r="D742" s="3" t="s">
        <v>24</v>
      </c>
      <c r="E742" s="3" t="s">
        <v>15</v>
      </c>
      <c r="F742" s="3">
        <v>55330.769229999998</v>
      </c>
      <c r="G742" s="3" t="s">
        <v>16</v>
      </c>
      <c r="H742" s="3" t="s">
        <v>17</v>
      </c>
      <c r="I742" s="3">
        <f>IF(C742="India",1,IF(C742="USA",INDEX('Currency Master'!B:B,MATCH(DATE(N742,MONTH(DATEVALUE(O742&amp;" 1")),1),'Currency Master'!A:A,0)),IF(C742="Australia",INDEX('Currency Master'!T:T,MATCH(DATE(N742,MONTH(DATEVALUE(O742&amp;" 1")),1),'Currency Master'!A:A,0)),"")))</f>
        <v>1</v>
      </c>
      <c r="J742" s="3">
        <f t="shared" si="44"/>
        <v>55330.769229999998</v>
      </c>
      <c r="K742" s="3" t="str">
        <f t="shared" si="45"/>
        <v>₹/Candy</v>
      </c>
      <c r="L742" s="3">
        <v>6.6728991703661799E-3</v>
      </c>
      <c r="M742" s="3">
        <v>-9.1578490760487005E-2</v>
      </c>
      <c r="N742" s="3">
        <f t="shared" si="46"/>
        <v>2019</v>
      </c>
      <c r="O742" s="3" t="str">
        <f t="shared" si="47"/>
        <v>November</v>
      </c>
      <c r="P742" s="3" t="s">
        <v>25</v>
      </c>
      <c r="Q742" s="3"/>
    </row>
    <row r="743" spans="1:17" hidden="1" x14ac:dyDescent="0.3">
      <c r="A743" s="2">
        <v>43739</v>
      </c>
      <c r="B743" s="3" t="s">
        <v>12</v>
      </c>
      <c r="C743" s="3" t="s">
        <v>13</v>
      </c>
      <c r="D743" s="3" t="s">
        <v>24</v>
      </c>
      <c r="E743" s="3" t="s">
        <v>15</v>
      </c>
      <c r="F743" s="3">
        <v>54964</v>
      </c>
      <c r="G743" s="3" t="s">
        <v>16</v>
      </c>
      <c r="H743" s="3" t="s">
        <v>17</v>
      </c>
      <c r="I743" s="3">
        <f>IF(C743="India",1,IF(C743="USA",INDEX('Currency Master'!B:B,MATCH(DATE(N743,MONTH(DATEVALUE(O743&amp;" 1")),1),'Currency Master'!A:A,0)),IF(C743="Australia",INDEX('Currency Master'!T:T,MATCH(DATE(N743,MONTH(DATEVALUE(O743&amp;" 1")),1),'Currency Master'!A:A,0)),"")))</f>
        <v>1</v>
      </c>
      <c r="J743" s="3">
        <f t="shared" si="44"/>
        <v>54964</v>
      </c>
      <c r="K743" s="3" t="str">
        <f t="shared" si="45"/>
        <v>₹/Candy</v>
      </c>
      <c r="L743" s="3">
        <v>-1.60164270968377E-3</v>
      </c>
      <c r="M743" s="3">
        <v>-9.6343548599237105E-2</v>
      </c>
      <c r="N743" s="3">
        <f t="shared" si="46"/>
        <v>2019</v>
      </c>
      <c r="O743" s="3" t="str">
        <f t="shared" si="47"/>
        <v>October</v>
      </c>
      <c r="P743" s="3" t="s">
        <v>25</v>
      </c>
      <c r="Q743" s="3"/>
    </row>
    <row r="744" spans="1:17" hidden="1" x14ac:dyDescent="0.3">
      <c r="A744" s="2">
        <v>43709</v>
      </c>
      <c r="B744" s="3" t="s">
        <v>12</v>
      </c>
      <c r="C744" s="3" t="s">
        <v>13</v>
      </c>
      <c r="D744" s="3" t="s">
        <v>24</v>
      </c>
      <c r="E744" s="3" t="s">
        <v>15</v>
      </c>
      <c r="F744" s="3">
        <v>55052.173912999999</v>
      </c>
      <c r="G744" s="3" t="s">
        <v>16</v>
      </c>
      <c r="H744" s="3" t="s">
        <v>17</v>
      </c>
      <c r="I744" s="3">
        <f>IF(C744="India",1,IF(C744="USA",INDEX('Currency Master'!B:B,MATCH(DATE(N744,MONTH(DATEVALUE(O744&amp;" 1")),1),'Currency Master'!A:A,0)),IF(C744="Australia",INDEX('Currency Master'!T:T,MATCH(DATE(N744,MONTH(DATEVALUE(O744&amp;" 1")),1),'Currency Master'!A:A,0)),"")))</f>
        <v>1</v>
      </c>
      <c r="J744" s="3">
        <f t="shared" si="44"/>
        <v>55052.173912999999</v>
      </c>
      <c r="K744" s="3" t="str">
        <f t="shared" si="45"/>
        <v>₹/Candy</v>
      </c>
      <c r="L744" s="3">
        <v>-4.2737240000356698E-3</v>
      </c>
      <c r="M744" s="3">
        <v>-0.10320952119306701</v>
      </c>
      <c r="N744" s="3">
        <f t="shared" si="46"/>
        <v>2019</v>
      </c>
      <c r="O744" s="3" t="str">
        <f t="shared" si="47"/>
        <v>September</v>
      </c>
      <c r="P744" s="3" t="s">
        <v>25</v>
      </c>
      <c r="Q744" s="3"/>
    </row>
    <row r="745" spans="1:17" hidden="1" x14ac:dyDescent="0.3">
      <c r="A745" s="2">
        <v>43678</v>
      </c>
      <c r="B745" s="3" t="s">
        <v>12</v>
      </c>
      <c r="C745" s="3" t="s">
        <v>13</v>
      </c>
      <c r="D745" s="3" t="s">
        <v>24</v>
      </c>
      <c r="E745" s="3" t="s">
        <v>15</v>
      </c>
      <c r="F745" s="3">
        <v>55288.461538000003</v>
      </c>
      <c r="G745" s="3" t="s">
        <v>16</v>
      </c>
      <c r="H745" s="3" t="s">
        <v>17</v>
      </c>
      <c r="I745" s="3">
        <f>IF(C745="India",1,IF(C745="USA",INDEX('Currency Master'!B:B,MATCH(DATE(N745,MONTH(DATEVALUE(O745&amp;" 1")),1),'Currency Master'!A:A,0)),IF(C745="Australia",INDEX('Currency Master'!T:T,MATCH(DATE(N745,MONTH(DATEVALUE(O745&amp;" 1")),1),'Currency Master'!A:A,0)),"")))</f>
        <v>1</v>
      </c>
      <c r="J745" s="3">
        <f t="shared" si="44"/>
        <v>55288.461538000003</v>
      </c>
      <c r="K745" s="3" t="str">
        <f t="shared" si="45"/>
        <v>₹/Candy</v>
      </c>
      <c r="L745" s="3">
        <v>-6.2651700659075403E-3</v>
      </c>
      <c r="M745" s="3">
        <v>-0.10362416442931301</v>
      </c>
      <c r="N745" s="3">
        <f t="shared" si="46"/>
        <v>2019</v>
      </c>
      <c r="O745" s="3" t="str">
        <f t="shared" si="47"/>
        <v>August</v>
      </c>
      <c r="P745" s="3" t="s">
        <v>25</v>
      </c>
      <c r="Q745" s="3"/>
    </row>
    <row r="746" spans="1:17" hidden="1" x14ac:dyDescent="0.3">
      <c r="A746" s="2">
        <v>43647</v>
      </c>
      <c r="B746" s="3" t="s">
        <v>12</v>
      </c>
      <c r="C746" s="3" t="s">
        <v>13</v>
      </c>
      <c r="D746" s="3" t="s">
        <v>24</v>
      </c>
      <c r="E746" s="3" t="s">
        <v>15</v>
      </c>
      <c r="F746" s="3">
        <v>55637.037037000002</v>
      </c>
      <c r="G746" s="3" t="s">
        <v>16</v>
      </c>
      <c r="H746" s="3" t="s">
        <v>17</v>
      </c>
      <c r="I746" s="3">
        <f>IF(C746="India",1,IF(C746="USA",INDEX('Currency Master'!B:B,MATCH(DATE(N746,MONTH(DATEVALUE(O746&amp;" 1")),1),'Currency Master'!A:A,0)),IF(C746="Australia",INDEX('Currency Master'!T:T,MATCH(DATE(N746,MONTH(DATEVALUE(O746&amp;" 1")),1),'Currency Master'!A:A,0)),"")))</f>
        <v>1</v>
      </c>
      <c r="J746" s="3">
        <f t="shared" si="44"/>
        <v>55637.037037000002</v>
      </c>
      <c r="K746" s="3" t="str">
        <f t="shared" si="45"/>
        <v>₹/Candy</v>
      </c>
      <c r="L746" s="3">
        <v>-1.3545068521427801E-3</v>
      </c>
      <c r="M746" s="3">
        <v>-7.65637006307055E-2</v>
      </c>
      <c r="N746" s="3">
        <f t="shared" si="46"/>
        <v>2019</v>
      </c>
      <c r="O746" s="3" t="str">
        <f t="shared" si="47"/>
        <v>July</v>
      </c>
      <c r="P746" s="3" t="s">
        <v>25</v>
      </c>
      <c r="Q746" s="3"/>
    </row>
    <row r="747" spans="1:17" hidden="1" x14ac:dyDescent="0.3">
      <c r="A747" s="2">
        <v>43617</v>
      </c>
      <c r="B747" s="3" t="s">
        <v>12</v>
      </c>
      <c r="C747" s="3" t="s">
        <v>13</v>
      </c>
      <c r="D747" s="3" t="s">
        <v>24</v>
      </c>
      <c r="E747" s="3" t="s">
        <v>15</v>
      </c>
      <c r="F747" s="3">
        <v>55712.5</v>
      </c>
      <c r="G747" s="3" t="s">
        <v>16</v>
      </c>
      <c r="H747" s="3" t="s">
        <v>17</v>
      </c>
      <c r="I747" s="3">
        <f>IF(C747="India",1,IF(C747="USA",INDEX('Currency Master'!B:B,MATCH(DATE(N747,MONTH(DATEVALUE(O747&amp;" 1")),1),'Currency Master'!A:A,0)),IF(C747="Australia",INDEX('Currency Master'!T:T,MATCH(DATE(N747,MONTH(DATEVALUE(O747&amp;" 1")),1),'Currency Master'!A:A,0)),"")))</f>
        <v>1</v>
      </c>
      <c r="J747" s="3">
        <f t="shared" si="44"/>
        <v>55712.5</v>
      </c>
      <c r="K747" s="3" t="str">
        <f t="shared" si="45"/>
        <v>₹/Candy</v>
      </c>
      <c r="L747" s="3">
        <v>-3.4988875331942699E-4</v>
      </c>
      <c r="M747" s="3">
        <v>-4.9461906940542297E-2</v>
      </c>
      <c r="N747" s="3">
        <f t="shared" si="46"/>
        <v>2019</v>
      </c>
      <c r="O747" s="3" t="str">
        <f t="shared" si="47"/>
        <v>June</v>
      </c>
      <c r="P747" s="3" t="s">
        <v>25</v>
      </c>
      <c r="Q747" s="3"/>
    </row>
    <row r="748" spans="1:17" hidden="1" x14ac:dyDescent="0.3">
      <c r="A748" s="2">
        <v>43586</v>
      </c>
      <c r="B748" s="3" t="s">
        <v>12</v>
      </c>
      <c r="C748" s="3" t="s">
        <v>13</v>
      </c>
      <c r="D748" s="3" t="s">
        <v>24</v>
      </c>
      <c r="E748" s="3" t="s">
        <v>15</v>
      </c>
      <c r="F748" s="3">
        <v>55732</v>
      </c>
      <c r="G748" s="3" t="s">
        <v>16</v>
      </c>
      <c r="H748" s="3" t="s">
        <v>17</v>
      </c>
      <c r="I748" s="3">
        <f>IF(C748="India",1,IF(C748="USA",INDEX('Currency Master'!B:B,MATCH(DATE(N748,MONTH(DATEVALUE(O748&amp;" 1")),1),'Currency Master'!A:A,0)),IF(C748="Australia",INDEX('Currency Master'!T:T,MATCH(DATE(N748,MONTH(DATEVALUE(O748&amp;" 1")),1),'Currency Master'!A:A,0)),"")))</f>
        <v>1</v>
      </c>
      <c r="J748" s="3">
        <f t="shared" si="44"/>
        <v>55732</v>
      </c>
      <c r="K748" s="3" t="str">
        <f t="shared" si="45"/>
        <v>₹/Candy</v>
      </c>
      <c r="L748" s="3">
        <v>-1.5057260002827699E-2</v>
      </c>
      <c r="M748" s="3">
        <v>-9.4371667265126195E-3</v>
      </c>
      <c r="N748" s="3">
        <f t="shared" si="46"/>
        <v>2019</v>
      </c>
      <c r="O748" s="3" t="str">
        <f t="shared" si="47"/>
        <v>May</v>
      </c>
      <c r="P748" s="3" t="s">
        <v>25</v>
      </c>
      <c r="Q748" s="3"/>
    </row>
    <row r="749" spans="1:17" hidden="1" x14ac:dyDescent="0.3">
      <c r="A749" s="2">
        <v>43556</v>
      </c>
      <c r="B749" s="3" t="s">
        <v>12</v>
      </c>
      <c r="C749" s="3" t="s">
        <v>13</v>
      </c>
      <c r="D749" s="3" t="s">
        <v>24</v>
      </c>
      <c r="E749" s="3" t="s">
        <v>15</v>
      </c>
      <c r="F749" s="3">
        <v>56584</v>
      </c>
      <c r="G749" s="3" t="s">
        <v>16</v>
      </c>
      <c r="H749" s="3" t="s">
        <v>17</v>
      </c>
      <c r="I749" s="3">
        <f>IF(C749="India",1,IF(C749="USA",INDEX('Currency Master'!B:B,MATCH(DATE(N749,MONTH(DATEVALUE(O749&amp;" 1")),1),'Currency Master'!A:A,0)),IF(C749="Australia",INDEX('Currency Master'!T:T,MATCH(DATE(N749,MONTH(DATEVALUE(O749&amp;" 1")),1),'Currency Master'!A:A,0)),"")))</f>
        <v>1</v>
      </c>
      <c r="J749" s="3">
        <f t="shared" si="44"/>
        <v>56584</v>
      </c>
      <c r="K749" s="3" t="str">
        <f t="shared" si="45"/>
        <v>₹/Candy</v>
      </c>
      <c r="L749" s="3">
        <v>2.58902023351948E-2</v>
      </c>
      <c r="M749" s="3">
        <v>4.9700288729961403E-3</v>
      </c>
      <c r="N749" s="3">
        <f t="shared" si="46"/>
        <v>2019</v>
      </c>
      <c r="O749" s="3" t="str">
        <f t="shared" si="47"/>
        <v>April</v>
      </c>
      <c r="P749" s="3" t="s">
        <v>25</v>
      </c>
      <c r="Q749" s="3"/>
    </row>
    <row r="750" spans="1:17" hidden="1" x14ac:dyDescent="0.3">
      <c r="A750" s="2">
        <v>43525</v>
      </c>
      <c r="B750" s="3" t="s">
        <v>12</v>
      </c>
      <c r="C750" s="3" t="s">
        <v>13</v>
      </c>
      <c r="D750" s="3" t="s">
        <v>24</v>
      </c>
      <c r="E750" s="3" t="s">
        <v>15</v>
      </c>
      <c r="F750" s="3">
        <v>55156</v>
      </c>
      <c r="G750" s="3" t="s">
        <v>16</v>
      </c>
      <c r="H750" s="3" t="s">
        <v>17</v>
      </c>
      <c r="I750" s="3">
        <f>IF(C750="India",1,IF(C750="USA",INDEX('Currency Master'!B:B,MATCH(DATE(N750,MONTH(DATEVALUE(O750&amp;" 1")),1),'Currency Master'!A:A,0)),IF(C750="Australia",INDEX('Currency Master'!T:T,MATCH(DATE(N750,MONTH(DATEVALUE(O750&amp;" 1")),1),'Currency Master'!A:A,0)),"")))</f>
        <v>1</v>
      </c>
      <c r="J750" s="3">
        <f t="shared" si="44"/>
        <v>55156</v>
      </c>
      <c r="K750" s="3" t="str">
        <f t="shared" si="45"/>
        <v>₹/Candy</v>
      </c>
      <c r="L750" s="3">
        <v>-3.6173833755078301E-2</v>
      </c>
      <c r="M750" s="3">
        <v>-5.8833103615734197E-2</v>
      </c>
      <c r="N750" s="3">
        <f t="shared" si="46"/>
        <v>2019</v>
      </c>
      <c r="O750" s="3" t="str">
        <f t="shared" si="47"/>
        <v>March</v>
      </c>
      <c r="P750" s="3" t="s">
        <v>25</v>
      </c>
      <c r="Q750" s="3"/>
    </row>
    <row r="751" spans="1:17" hidden="1" x14ac:dyDescent="0.3">
      <c r="A751" s="2">
        <v>43497</v>
      </c>
      <c r="B751" s="3" t="s">
        <v>12</v>
      </c>
      <c r="C751" s="3" t="s">
        <v>13</v>
      </c>
      <c r="D751" s="3" t="s">
        <v>24</v>
      </c>
      <c r="E751" s="3" t="s">
        <v>15</v>
      </c>
      <c r="F751" s="3">
        <v>57226.086955999999</v>
      </c>
      <c r="G751" s="3" t="s">
        <v>16</v>
      </c>
      <c r="H751" s="3" t="s">
        <v>17</v>
      </c>
      <c r="I751" s="3">
        <f>IF(C751="India",1,IF(C751="USA",INDEX('Currency Master'!B:B,MATCH(DATE(N751,MONTH(DATEVALUE(O751&amp;" 1")),1),'Currency Master'!A:A,0)),IF(C751="Australia",INDEX('Currency Master'!T:T,MATCH(DATE(N751,MONTH(DATEVALUE(O751&amp;" 1")),1),'Currency Master'!A:A,0)),"")))</f>
        <v>1</v>
      </c>
      <c r="J751" s="3">
        <f t="shared" si="44"/>
        <v>57226.086955999999</v>
      </c>
      <c r="K751" s="3" t="str">
        <f t="shared" si="45"/>
        <v>₹/Candy</v>
      </c>
      <c r="L751" s="3">
        <v>-2.4347455452432699E-2</v>
      </c>
      <c r="M751" s="3">
        <v>-2.8763109432310301E-2</v>
      </c>
      <c r="N751" s="3">
        <f t="shared" si="46"/>
        <v>2019</v>
      </c>
      <c r="O751" s="3" t="str">
        <f t="shared" si="47"/>
        <v>February</v>
      </c>
      <c r="P751" s="3" t="s">
        <v>25</v>
      </c>
      <c r="Q751" s="3"/>
    </row>
    <row r="752" spans="1:17" hidden="1" x14ac:dyDescent="0.3">
      <c r="A752" s="2">
        <v>43466</v>
      </c>
      <c r="B752" s="3" t="s">
        <v>12</v>
      </c>
      <c r="C752" s="3" t="s">
        <v>13</v>
      </c>
      <c r="D752" s="3" t="s">
        <v>24</v>
      </c>
      <c r="E752" s="3" t="s">
        <v>15</v>
      </c>
      <c r="F752" s="3">
        <v>58654.166665999997</v>
      </c>
      <c r="G752" s="3" t="s">
        <v>16</v>
      </c>
      <c r="H752" s="3" t="s">
        <v>17</v>
      </c>
      <c r="I752" s="3">
        <f>IF(C752="India",1,IF(C752="USA",INDEX('Currency Master'!B:B,MATCH(DATE(N752,MONTH(DATEVALUE(O752&amp;" 1")),1),'Currency Master'!A:A,0)),IF(C752="Australia",INDEX('Currency Master'!T:T,MATCH(DATE(N752,MONTH(DATEVALUE(O752&amp;" 1")),1),'Currency Master'!A:A,0)),"")))</f>
        <v>1</v>
      </c>
      <c r="J752" s="3">
        <f t="shared" si="44"/>
        <v>58654.166665999997</v>
      </c>
      <c r="K752" s="3" t="str">
        <f t="shared" si="45"/>
        <v>₹/Candy</v>
      </c>
      <c r="L752" s="3">
        <v>-1.5007423087273999E-2</v>
      </c>
      <c r="M752" s="3">
        <v>-8.4889162578360999E-4</v>
      </c>
      <c r="N752" s="3">
        <f t="shared" si="46"/>
        <v>2019</v>
      </c>
      <c r="O752" s="3" t="str">
        <f t="shared" si="47"/>
        <v>January</v>
      </c>
      <c r="P752" s="3" t="s">
        <v>25</v>
      </c>
      <c r="Q752" s="3"/>
    </row>
    <row r="753" spans="1:17" hidden="1" x14ac:dyDescent="0.3">
      <c r="A753" s="2">
        <v>43435</v>
      </c>
      <c r="B753" s="3" t="s">
        <v>12</v>
      </c>
      <c r="C753" s="3" t="s">
        <v>13</v>
      </c>
      <c r="D753" s="3" t="s">
        <v>24</v>
      </c>
      <c r="E753" s="3" t="s">
        <v>15</v>
      </c>
      <c r="F753" s="3">
        <v>59547.826086000001</v>
      </c>
      <c r="G753" s="3" t="s">
        <v>16</v>
      </c>
      <c r="H753" s="3" t="s">
        <v>17</v>
      </c>
      <c r="I753" s="3">
        <f>IF(C753="India",1,IF(C753="USA",INDEX('Currency Master'!B:B,MATCH(DATE(N753,MONTH(DATEVALUE(O753&amp;" 1")),1),'Currency Master'!A:A,0)),IF(C753="Australia",INDEX('Currency Master'!T:T,MATCH(DATE(N753,MONTH(DATEVALUE(O753&amp;" 1")),1),'Currency Master'!A:A,0)),"")))</f>
        <v>1</v>
      </c>
      <c r="J753" s="3">
        <f t="shared" si="44"/>
        <v>59547.826086000001</v>
      </c>
      <c r="K753" s="3" t="str">
        <f t="shared" si="45"/>
        <v>₹/Candy</v>
      </c>
      <c r="L753" s="3">
        <v>-2.2342779654571501E-2</v>
      </c>
      <c r="M753" s="3">
        <v>7.3552788743059094E-2</v>
      </c>
      <c r="N753" s="3">
        <f t="shared" si="46"/>
        <v>2018</v>
      </c>
      <c r="O753" s="3" t="str">
        <f t="shared" si="47"/>
        <v>December</v>
      </c>
      <c r="P753" s="3" t="s">
        <v>25</v>
      </c>
      <c r="Q753" s="3"/>
    </row>
    <row r="754" spans="1:17" hidden="1" x14ac:dyDescent="0.3">
      <c r="A754" s="2">
        <v>43405</v>
      </c>
      <c r="B754" s="3" t="s">
        <v>12</v>
      </c>
      <c r="C754" s="3" t="s">
        <v>13</v>
      </c>
      <c r="D754" s="3" t="s">
        <v>24</v>
      </c>
      <c r="E754" s="3" t="s">
        <v>15</v>
      </c>
      <c r="F754" s="3">
        <v>60908.695652000002</v>
      </c>
      <c r="G754" s="3" t="s">
        <v>16</v>
      </c>
      <c r="H754" s="3" t="s">
        <v>17</v>
      </c>
      <c r="I754" s="3">
        <f>IF(C754="India",1,IF(C754="USA",INDEX('Currency Master'!B:B,MATCH(DATE(N754,MONTH(DATEVALUE(O754&amp;" 1")),1),'Currency Master'!A:A,0)),IF(C754="Australia",INDEX('Currency Master'!T:T,MATCH(DATE(N754,MONTH(DATEVALUE(O754&amp;" 1")),1),'Currency Master'!A:A,0)),"")))</f>
        <v>1</v>
      </c>
      <c r="J754" s="3">
        <f t="shared" si="44"/>
        <v>60908.695652000002</v>
      </c>
      <c r="K754" s="3" t="str">
        <f t="shared" si="45"/>
        <v>₹/Candy</v>
      </c>
      <c r="L754" s="3">
        <v>1.3924709325265901E-3</v>
      </c>
      <c r="M754" s="3">
        <v>0.112901659757001</v>
      </c>
      <c r="N754" s="3">
        <f t="shared" si="46"/>
        <v>2018</v>
      </c>
      <c r="O754" s="3" t="str">
        <f t="shared" si="47"/>
        <v>November</v>
      </c>
      <c r="P754" s="3" t="s">
        <v>25</v>
      </c>
      <c r="Q754" s="3"/>
    </row>
    <row r="755" spans="1:17" hidden="1" x14ac:dyDescent="0.3">
      <c r="A755" s="2">
        <v>43374</v>
      </c>
      <c r="B755" s="3" t="s">
        <v>12</v>
      </c>
      <c r="C755" s="3" t="s">
        <v>13</v>
      </c>
      <c r="D755" s="3" t="s">
        <v>24</v>
      </c>
      <c r="E755" s="3" t="s">
        <v>15</v>
      </c>
      <c r="F755" s="3">
        <v>60824</v>
      </c>
      <c r="G755" s="3" t="s">
        <v>16</v>
      </c>
      <c r="H755" s="3" t="s">
        <v>17</v>
      </c>
      <c r="I755" s="3">
        <f>IF(C755="India",1,IF(C755="USA",INDEX('Currency Master'!B:B,MATCH(DATE(N755,MONTH(DATEVALUE(O755&amp;" 1")),1),'Currency Master'!A:A,0)),IF(C755="Australia",INDEX('Currency Master'!T:T,MATCH(DATE(N755,MONTH(DATEVALUE(O755&amp;" 1")),1),'Currency Master'!A:A,0)),"")))</f>
        <v>1</v>
      </c>
      <c r="J755" s="3">
        <f t="shared" si="44"/>
        <v>60824</v>
      </c>
      <c r="K755" s="3" t="str">
        <f t="shared" si="45"/>
        <v>₹/Candy</v>
      </c>
      <c r="L755" s="3">
        <v>-9.1874633478855605E-3</v>
      </c>
      <c r="M755" s="3">
        <v>7.8024196663928805E-2</v>
      </c>
      <c r="N755" s="3">
        <f t="shared" si="46"/>
        <v>2018</v>
      </c>
      <c r="O755" s="3" t="str">
        <f t="shared" si="47"/>
        <v>October</v>
      </c>
      <c r="P755" s="3" t="s">
        <v>25</v>
      </c>
      <c r="Q755" s="3"/>
    </row>
    <row r="756" spans="1:17" hidden="1" x14ac:dyDescent="0.3">
      <c r="A756" s="2">
        <v>43344</v>
      </c>
      <c r="B756" s="3" t="s">
        <v>12</v>
      </c>
      <c r="C756" s="3" t="s">
        <v>13</v>
      </c>
      <c r="D756" s="3" t="s">
        <v>24</v>
      </c>
      <c r="E756" s="3" t="s">
        <v>15</v>
      </c>
      <c r="F756" s="3">
        <v>61388</v>
      </c>
      <c r="G756" s="3" t="s">
        <v>16</v>
      </c>
      <c r="H756" s="3" t="s">
        <v>17</v>
      </c>
      <c r="I756" s="3">
        <f>IF(C756="India",1,IF(C756="USA",INDEX('Currency Master'!B:B,MATCH(DATE(N756,MONTH(DATEVALUE(O756&amp;" 1")),1),'Currency Master'!A:A,0)),IF(C756="Australia",INDEX('Currency Master'!T:T,MATCH(DATE(N756,MONTH(DATEVALUE(O756&amp;" 1")),1),'Currency Master'!A:A,0)),"")))</f>
        <v>1</v>
      </c>
      <c r="J756" s="3">
        <f t="shared" si="44"/>
        <v>61388</v>
      </c>
      <c r="K756" s="3" t="str">
        <f t="shared" si="45"/>
        <v>₹/Candy</v>
      </c>
      <c r="L756" s="3">
        <v>-4.7341115434500498E-3</v>
      </c>
      <c r="M756" s="3">
        <v>5.7131194598234201E-2</v>
      </c>
      <c r="N756" s="3">
        <f t="shared" si="46"/>
        <v>2018</v>
      </c>
      <c r="O756" s="3" t="str">
        <f t="shared" si="47"/>
        <v>September</v>
      </c>
      <c r="P756" s="3" t="s">
        <v>25</v>
      </c>
      <c r="Q756" s="3"/>
    </row>
    <row r="757" spans="1:17" hidden="1" x14ac:dyDescent="0.3">
      <c r="A757" s="2">
        <v>43313</v>
      </c>
      <c r="B757" s="3" t="s">
        <v>12</v>
      </c>
      <c r="C757" s="3" t="s">
        <v>13</v>
      </c>
      <c r="D757" s="3" t="s">
        <v>24</v>
      </c>
      <c r="E757" s="3" t="s">
        <v>15</v>
      </c>
      <c r="F757" s="3">
        <v>61680</v>
      </c>
      <c r="G757" s="3" t="s">
        <v>16</v>
      </c>
      <c r="H757" s="3" t="s">
        <v>17</v>
      </c>
      <c r="I757" s="3">
        <f>IF(C757="India",1,IF(C757="USA",INDEX('Currency Master'!B:B,MATCH(DATE(N757,MONTH(DATEVALUE(O757&amp;" 1")),1),'Currency Master'!A:A,0)),IF(C757="Australia",INDEX('Currency Master'!T:T,MATCH(DATE(N757,MONTH(DATEVALUE(O757&amp;" 1")),1),'Currency Master'!A:A,0)),"")))</f>
        <v>1</v>
      </c>
      <c r="J757" s="3">
        <f t="shared" si="44"/>
        <v>61680</v>
      </c>
      <c r="K757" s="3" t="str">
        <f t="shared" si="45"/>
        <v>₹/Candy</v>
      </c>
      <c r="L757" s="3">
        <v>2.3734439834024901E-2</v>
      </c>
      <c r="M757" s="3">
        <v>3.6847767616998497E-2</v>
      </c>
      <c r="N757" s="3">
        <f t="shared" si="46"/>
        <v>2018</v>
      </c>
      <c r="O757" s="3" t="str">
        <f t="shared" si="47"/>
        <v>August</v>
      </c>
      <c r="P757" s="3" t="s">
        <v>25</v>
      </c>
      <c r="Q757" s="3"/>
    </row>
    <row r="758" spans="1:17" hidden="1" x14ac:dyDescent="0.3">
      <c r="A758" s="2">
        <v>43282</v>
      </c>
      <c r="B758" s="3" t="s">
        <v>12</v>
      </c>
      <c r="C758" s="3" t="s">
        <v>13</v>
      </c>
      <c r="D758" s="3" t="s">
        <v>24</v>
      </c>
      <c r="E758" s="3" t="s">
        <v>15</v>
      </c>
      <c r="F758" s="3">
        <v>60250</v>
      </c>
      <c r="G758" s="3" t="s">
        <v>16</v>
      </c>
      <c r="H758" s="3" t="s">
        <v>17</v>
      </c>
      <c r="I758" s="3">
        <f>IF(C758="India",1,IF(C758="USA",INDEX('Currency Master'!B:B,MATCH(DATE(N758,MONTH(DATEVALUE(O758&amp;" 1")),1),'Currency Master'!A:A,0)),IF(C758="Australia",INDEX('Currency Master'!T:T,MATCH(DATE(N758,MONTH(DATEVALUE(O758&amp;" 1")),1),'Currency Master'!A:A,0)),"")))</f>
        <v>1</v>
      </c>
      <c r="J758" s="3">
        <f t="shared" si="44"/>
        <v>60250</v>
      </c>
      <c r="K758" s="3" t="str">
        <f t="shared" si="45"/>
        <v>₹/Candy</v>
      </c>
      <c r="L758" s="3">
        <v>2.79545902056508E-2</v>
      </c>
      <c r="M758" s="3">
        <v>7.5250836120401799E-3</v>
      </c>
      <c r="N758" s="3">
        <f t="shared" si="46"/>
        <v>2018</v>
      </c>
      <c r="O758" s="3" t="str">
        <f t="shared" si="47"/>
        <v>July</v>
      </c>
      <c r="P758" s="3" t="s">
        <v>25</v>
      </c>
      <c r="Q758" s="3"/>
    </row>
    <row r="759" spans="1:17" hidden="1" x14ac:dyDescent="0.3">
      <c r="A759" s="2">
        <v>43252</v>
      </c>
      <c r="B759" s="3" t="s">
        <v>12</v>
      </c>
      <c r="C759" s="3" t="s">
        <v>13</v>
      </c>
      <c r="D759" s="3" t="s">
        <v>24</v>
      </c>
      <c r="E759" s="3" t="s">
        <v>15</v>
      </c>
      <c r="F759" s="3">
        <v>58611.538460999996</v>
      </c>
      <c r="G759" s="3" t="s">
        <v>16</v>
      </c>
      <c r="H759" s="3" t="s">
        <v>17</v>
      </c>
      <c r="I759" s="3">
        <f>IF(C759="India",1,IF(C759="USA",INDEX('Currency Master'!B:B,MATCH(DATE(N759,MONTH(DATEVALUE(O759&amp;" 1")),1),'Currency Master'!A:A,0)),IF(C759="Australia",INDEX('Currency Master'!T:T,MATCH(DATE(N759,MONTH(DATEVALUE(O759&amp;" 1")),1),'Currency Master'!A:A,0)),"")))</f>
        <v>1</v>
      </c>
      <c r="J759" s="3">
        <f t="shared" si="44"/>
        <v>58611.538460999996</v>
      </c>
      <c r="K759" s="3" t="str">
        <f t="shared" si="45"/>
        <v>₹/Candy</v>
      </c>
      <c r="L759" s="3">
        <v>4.1742833568616501E-2</v>
      </c>
      <c r="M759" s="3">
        <v>-2.23262975646372E-2</v>
      </c>
      <c r="N759" s="3">
        <f t="shared" si="46"/>
        <v>2018</v>
      </c>
      <c r="O759" s="3" t="str">
        <f t="shared" si="47"/>
        <v>June</v>
      </c>
      <c r="P759" s="3" t="s">
        <v>25</v>
      </c>
      <c r="Q759" s="3"/>
    </row>
    <row r="760" spans="1:17" hidden="1" x14ac:dyDescent="0.3">
      <c r="A760" s="2">
        <v>43221</v>
      </c>
      <c r="B760" s="3" t="s">
        <v>12</v>
      </c>
      <c r="C760" s="3" t="s">
        <v>13</v>
      </c>
      <c r="D760" s="3" t="s">
        <v>24</v>
      </c>
      <c r="E760" s="3" t="s">
        <v>15</v>
      </c>
      <c r="F760" s="3">
        <v>56262.962961999998</v>
      </c>
      <c r="G760" s="3" t="s">
        <v>16</v>
      </c>
      <c r="H760" s="3" t="s">
        <v>17</v>
      </c>
      <c r="I760" s="3">
        <f>IF(C760="India",1,IF(C760="USA",INDEX('Currency Master'!B:B,MATCH(DATE(N760,MONTH(DATEVALUE(O760&amp;" 1")),1),'Currency Master'!A:A,0)),IF(C760="Australia",INDEX('Currency Master'!T:T,MATCH(DATE(N760,MONTH(DATEVALUE(O760&amp;" 1")),1),'Currency Master'!A:A,0)),"")))</f>
        <v>1</v>
      </c>
      <c r="J760" s="3">
        <f t="shared" si="44"/>
        <v>56262.962961999998</v>
      </c>
      <c r="K760" s="3" t="str">
        <f t="shared" si="45"/>
        <v>₹/Candy</v>
      </c>
      <c r="L760" s="3">
        <v>-7.3180559166119397E-4</v>
      </c>
      <c r="M760" s="3">
        <v>-6.8434670435123204E-2</v>
      </c>
      <c r="N760" s="3">
        <f t="shared" si="46"/>
        <v>2018</v>
      </c>
      <c r="O760" s="3" t="str">
        <f t="shared" si="47"/>
        <v>May</v>
      </c>
      <c r="P760" s="3" t="s">
        <v>25</v>
      </c>
      <c r="Q760" s="3"/>
    </row>
    <row r="761" spans="1:17" hidden="1" x14ac:dyDescent="0.3">
      <c r="A761" s="2">
        <v>43191</v>
      </c>
      <c r="B761" s="3" t="s">
        <v>12</v>
      </c>
      <c r="C761" s="3" t="s">
        <v>13</v>
      </c>
      <c r="D761" s="3" t="s">
        <v>24</v>
      </c>
      <c r="E761" s="3" t="s">
        <v>15</v>
      </c>
      <c r="F761" s="3">
        <v>56304.166665999997</v>
      </c>
      <c r="G761" s="3" t="s">
        <v>16</v>
      </c>
      <c r="H761" s="3" t="s">
        <v>17</v>
      </c>
      <c r="I761" s="3">
        <f>IF(C761="India",1,IF(C761="USA",INDEX('Currency Master'!B:B,MATCH(DATE(N761,MONTH(DATEVALUE(O761&amp;" 1")),1),'Currency Master'!A:A,0)),IF(C761="Australia",INDEX('Currency Master'!T:T,MATCH(DATE(N761,MONTH(DATEVALUE(O761&amp;" 1")),1),'Currency Master'!A:A,0)),"")))</f>
        <v>1</v>
      </c>
      <c r="J761" s="3">
        <f t="shared" si="44"/>
        <v>56304.166665999997</v>
      </c>
      <c r="K761" s="3" t="str">
        <f t="shared" si="45"/>
        <v>₹/Candy</v>
      </c>
      <c r="L761" s="3">
        <v>-3.9241101701688902E-2</v>
      </c>
      <c r="M761" s="3">
        <v>-5.16324911559609E-2</v>
      </c>
      <c r="N761" s="3">
        <f t="shared" si="46"/>
        <v>2018</v>
      </c>
      <c r="O761" s="3" t="str">
        <f t="shared" si="47"/>
        <v>April</v>
      </c>
      <c r="P761" s="3" t="s">
        <v>25</v>
      </c>
      <c r="Q761" s="3"/>
    </row>
    <row r="762" spans="1:17" hidden="1" x14ac:dyDescent="0.3">
      <c r="A762" s="2">
        <v>43160</v>
      </c>
      <c r="B762" s="3" t="s">
        <v>12</v>
      </c>
      <c r="C762" s="3" t="s">
        <v>13</v>
      </c>
      <c r="D762" s="3" t="s">
        <v>24</v>
      </c>
      <c r="E762" s="3" t="s">
        <v>15</v>
      </c>
      <c r="F762" s="3">
        <v>58603.846152999999</v>
      </c>
      <c r="G762" s="3" t="s">
        <v>16</v>
      </c>
      <c r="H762" s="3" t="s">
        <v>17</v>
      </c>
      <c r="I762" s="3">
        <f>IF(C762="India",1,IF(C762="USA",INDEX('Currency Master'!B:B,MATCH(DATE(N762,MONTH(DATEVALUE(O762&amp;" 1")),1),'Currency Master'!A:A,0)),IF(C762="Australia",INDEX('Currency Master'!T:T,MATCH(DATE(N762,MONTH(DATEVALUE(O762&amp;" 1")),1),'Currency Master'!A:A,0)),"")))</f>
        <v>1</v>
      </c>
      <c r="J762" s="3">
        <f t="shared" si="44"/>
        <v>58603.846152999999</v>
      </c>
      <c r="K762" s="3" t="str">
        <f t="shared" si="45"/>
        <v>₹/Candy</v>
      </c>
      <c r="L762" s="3">
        <v>-5.3798828371706096E-3</v>
      </c>
      <c r="M762" s="3">
        <v>1.7631737120291001E-2</v>
      </c>
      <c r="N762" s="3">
        <f t="shared" si="46"/>
        <v>2018</v>
      </c>
      <c r="O762" s="3" t="str">
        <f t="shared" si="47"/>
        <v>March</v>
      </c>
      <c r="P762" s="3" t="s">
        <v>25</v>
      </c>
      <c r="Q762" s="3"/>
    </row>
    <row r="763" spans="1:17" hidden="1" x14ac:dyDescent="0.3">
      <c r="A763" s="2">
        <v>43132</v>
      </c>
      <c r="B763" s="3" t="s">
        <v>12</v>
      </c>
      <c r="C763" s="3" t="s">
        <v>13</v>
      </c>
      <c r="D763" s="3" t="s">
        <v>24</v>
      </c>
      <c r="E763" s="3" t="s">
        <v>15</v>
      </c>
      <c r="F763" s="3">
        <v>58920.833333000002</v>
      </c>
      <c r="G763" s="3" t="s">
        <v>16</v>
      </c>
      <c r="H763" s="3" t="s">
        <v>17</v>
      </c>
      <c r="I763" s="3">
        <f>IF(C763="India",1,IF(C763="USA",INDEX('Currency Master'!B:B,MATCH(DATE(N763,MONTH(DATEVALUE(O763&amp;" 1")),1),'Currency Master'!A:A,0)),IF(C763="Australia",INDEX('Currency Master'!T:T,MATCH(DATE(N763,MONTH(DATEVALUE(O763&amp;" 1")),1),'Currency Master'!A:A,0)),"")))</f>
        <v>1</v>
      </c>
      <c r="J763" s="3">
        <f t="shared" si="44"/>
        <v>58920.833333000002</v>
      </c>
      <c r="K763" s="3" t="str">
        <f t="shared" si="45"/>
        <v>₹/Candy</v>
      </c>
      <c r="L763" s="3">
        <v>3.6936722029161698E-3</v>
      </c>
      <c r="M763" s="3">
        <v>5.77455307120383E-2</v>
      </c>
      <c r="N763" s="3">
        <f t="shared" si="46"/>
        <v>2018</v>
      </c>
      <c r="O763" s="3" t="str">
        <f t="shared" si="47"/>
        <v>February</v>
      </c>
      <c r="P763" s="3" t="s">
        <v>25</v>
      </c>
      <c r="Q763" s="3"/>
    </row>
    <row r="764" spans="1:17" hidden="1" x14ac:dyDescent="0.3">
      <c r="A764" s="2">
        <v>43101</v>
      </c>
      <c r="B764" s="3" t="s">
        <v>12</v>
      </c>
      <c r="C764" s="3" t="s">
        <v>13</v>
      </c>
      <c r="D764" s="3" t="s">
        <v>24</v>
      </c>
      <c r="E764" s="3" t="s">
        <v>15</v>
      </c>
      <c r="F764" s="3">
        <v>58704</v>
      </c>
      <c r="G764" s="3" t="s">
        <v>16</v>
      </c>
      <c r="H764" s="3" t="s">
        <v>17</v>
      </c>
      <c r="I764" s="3">
        <f>IF(C764="India",1,IF(C764="USA",INDEX('Currency Master'!B:B,MATCH(DATE(N764,MONTH(DATEVALUE(O764&amp;" 1")),1),'Currency Master'!A:A,0)),IF(C764="Australia",INDEX('Currency Master'!T:T,MATCH(DATE(N764,MONTH(DATEVALUE(O764&amp;" 1")),1),'Currency Master'!A:A,0)),"")))</f>
        <v>1</v>
      </c>
      <c r="J764" s="3">
        <f t="shared" si="44"/>
        <v>58704</v>
      </c>
      <c r="K764" s="3" t="str">
        <f t="shared" si="45"/>
        <v>₹/Candy</v>
      </c>
      <c r="L764" s="3">
        <v>5.8339943751352097E-2</v>
      </c>
      <c r="M764" s="3">
        <v>6.3390695770078706E-2</v>
      </c>
      <c r="N764" s="3">
        <f t="shared" si="46"/>
        <v>2018</v>
      </c>
      <c r="O764" s="3" t="str">
        <f t="shared" si="47"/>
        <v>January</v>
      </c>
      <c r="P764" s="3" t="s">
        <v>25</v>
      </c>
      <c r="Q764" s="3"/>
    </row>
    <row r="765" spans="1:17" hidden="1" x14ac:dyDescent="0.3">
      <c r="A765" s="2">
        <v>43070</v>
      </c>
      <c r="B765" s="3" t="s">
        <v>12</v>
      </c>
      <c r="C765" s="3" t="s">
        <v>13</v>
      </c>
      <c r="D765" s="3" t="s">
        <v>24</v>
      </c>
      <c r="E765" s="3" t="s">
        <v>15</v>
      </c>
      <c r="F765" s="3">
        <v>55468</v>
      </c>
      <c r="G765" s="3" t="s">
        <v>16</v>
      </c>
      <c r="H765" s="3" t="s">
        <v>17</v>
      </c>
      <c r="I765" s="3">
        <f>IF(C765="India",1,IF(C765="USA",INDEX('Currency Master'!B:B,MATCH(DATE(N765,MONTH(DATEVALUE(O765&amp;" 1")),1),'Currency Master'!A:A,0)),IF(C765="Australia",INDEX('Currency Master'!T:T,MATCH(DATE(N765,MONTH(DATEVALUE(O765&amp;" 1")),1),'Currency Master'!A:A,0)),"")))</f>
        <v>1</v>
      </c>
      <c r="J765" s="3">
        <f t="shared" si="44"/>
        <v>55468</v>
      </c>
      <c r="K765" s="3" t="str">
        <f t="shared" si="45"/>
        <v>₹/Candy</v>
      </c>
      <c r="L765" s="3">
        <v>1.3491236392521699E-2</v>
      </c>
      <c r="M765" s="3">
        <v>1.9632352941176399E-2</v>
      </c>
      <c r="N765" s="3">
        <f t="shared" si="46"/>
        <v>2017</v>
      </c>
      <c r="O765" s="3" t="str">
        <f t="shared" si="47"/>
        <v>December</v>
      </c>
      <c r="P765" s="3" t="s">
        <v>25</v>
      </c>
      <c r="Q765" s="3"/>
    </row>
    <row r="766" spans="1:17" hidden="1" x14ac:dyDescent="0.3">
      <c r="A766" s="2">
        <v>43040</v>
      </c>
      <c r="B766" s="3" t="s">
        <v>12</v>
      </c>
      <c r="C766" s="3" t="s">
        <v>13</v>
      </c>
      <c r="D766" s="3" t="s">
        <v>24</v>
      </c>
      <c r="E766" s="3" t="s">
        <v>15</v>
      </c>
      <c r="F766" s="3">
        <v>54729.629629000003</v>
      </c>
      <c r="G766" s="3" t="s">
        <v>16</v>
      </c>
      <c r="H766" s="3" t="s">
        <v>17</v>
      </c>
      <c r="I766" s="3">
        <f>IF(C766="India",1,IF(C766="USA",INDEX('Currency Master'!B:B,MATCH(DATE(N766,MONTH(DATEVALUE(O766&amp;" 1")),1),'Currency Master'!A:A,0)),IF(C766="Australia",INDEX('Currency Master'!T:T,MATCH(DATE(N766,MONTH(DATEVALUE(O766&amp;" 1")),1),'Currency Master'!A:A,0)),"")))</f>
        <v>1</v>
      </c>
      <c r="J766" s="3">
        <f t="shared" si="44"/>
        <v>54729.629629000003</v>
      </c>
      <c r="K766" s="3" t="str">
        <f t="shared" si="45"/>
        <v>₹/Candy</v>
      </c>
      <c r="L766" s="3">
        <v>-2.9990381847345302E-2</v>
      </c>
      <c r="M766" s="3">
        <v>3.1872679306151203E-2</v>
      </c>
      <c r="N766" s="3">
        <f t="shared" si="46"/>
        <v>2017</v>
      </c>
      <c r="O766" s="3" t="str">
        <f t="shared" si="47"/>
        <v>November</v>
      </c>
      <c r="P766" s="3" t="s">
        <v>25</v>
      </c>
      <c r="Q766" s="3"/>
    </row>
    <row r="767" spans="1:17" hidden="1" x14ac:dyDescent="0.3">
      <c r="A767" s="2">
        <v>43009</v>
      </c>
      <c r="B767" s="3" t="s">
        <v>12</v>
      </c>
      <c r="C767" s="3" t="s">
        <v>13</v>
      </c>
      <c r="D767" s="3" t="s">
        <v>24</v>
      </c>
      <c r="E767" s="3" t="s">
        <v>15</v>
      </c>
      <c r="F767" s="3">
        <v>56421.739130000002</v>
      </c>
      <c r="G767" s="3" t="s">
        <v>16</v>
      </c>
      <c r="H767" s="3" t="s">
        <v>17</v>
      </c>
      <c r="I767" s="3">
        <f>IF(C767="India",1,IF(C767="USA",INDEX('Currency Master'!B:B,MATCH(DATE(N767,MONTH(DATEVALUE(O767&amp;" 1")),1),'Currency Master'!A:A,0)),IF(C767="Australia",INDEX('Currency Master'!T:T,MATCH(DATE(N767,MONTH(DATEVALUE(O767&amp;" 1")),1),'Currency Master'!A:A,0)),"")))</f>
        <v>1</v>
      </c>
      <c r="J767" s="3">
        <f t="shared" si="44"/>
        <v>56421.739130000002</v>
      </c>
      <c r="K767" s="3" t="str">
        <f t="shared" si="45"/>
        <v>₹/Candy</v>
      </c>
      <c r="L767" s="3">
        <v>-2.8390231188394701E-2</v>
      </c>
      <c r="M767" s="3">
        <v>-1.2550992361887199E-2</v>
      </c>
      <c r="N767" s="3">
        <f t="shared" si="46"/>
        <v>2017</v>
      </c>
      <c r="O767" s="3" t="str">
        <f t="shared" si="47"/>
        <v>October</v>
      </c>
      <c r="P767" s="3" t="s">
        <v>25</v>
      </c>
      <c r="Q767" s="3"/>
    </row>
    <row r="768" spans="1:17" hidden="1" x14ac:dyDescent="0.3">
      <c r="A768" s="2">
        <v>42979</v>
      </c>
      <c r="B768" s="3" t="s">
        <v>12</v>
      </c>
      <c r="C768" s="3" t="s">
        <v>13</v>
      </c>
      <c r="D768" s="3" t="s">
        <v>24</v>
      </c>
      <c r="E768" s="3" t="s">
        <v>15</v>
      </c>
      <c r="F768" s="3">
        <v>58070.370369999997</v>
      </c>
      <c r="G768" s="3" t="s">
        <v>16</v>
      </c>
      <c r="H768" s="3" t="s">
        <v>17</v>
      </c>
      <c r="I768" s="3">
        <f>IF(C768="India",1,IF(C768="USA",INDEX('Currency Master'!B:B,MATCH(DATE(N768,MONTH(DATEVALUE(O768&amp;" 1")),1),'Currency Master'!A:A,0)),IF(C768="Australia",INDEX('Currency Master'!T:T,MATCH(DATE(N768,MONTH(DATEVALUE(O768&amp;" 1")),1),'Currency Master'!A:A,0)),"")))</f>
        <v>1</v>
      </c>
      <c r="J768" s="3">
        <f t="shared" si="44"/>
        <v>58070.370369999997</v>
      </c>
      <c r="K768" s="3" t="str">
        <f t="shared" si="45"/>
        <v>₹/Candy</v>
      </c>
      <c r="L768" s="3">
        <v>-2.3830514221355601E-2</v>
      </c>
      <c r="M768" s="3">
        <v>-1.6633656820231098E-2</v>
      </c>
      <c r="N768" s="3">
        <f t="shared" si="46"/>
        <v>2017</v>
      </c>
      <c r="O768" s="3" t="str">
        <f t="shared" si="47"/>
        <v>September</v>
      </c>
      <c r="P768" s="3" t="s">
        <v>25</v>
      </c>
      <c r="Q768" s="3"/>
    </row>
    <row r="769" spans="1:17" hidden="1" x14ac:dyDescent="0.3">
      <c r="A769" s="2">
        <v>42948</v>
      </c>
      <c r="B769" s="3" t="s">
        <v>12</v>
      </c>
      <c r="C769" s="3" t="s">
        <v>13</v>
      </c>
      <c r="D769" s="3" t="s">
        <v>24</v>
      </c>
      <c r="E769" s="3" t="s">
        <v>15</v>
      </c>
      <c r="F769" s="3">
        <v>59488</v>
      </c>
      <c r="G769" s="3" t="s">
        <v>16</v>
      </c>
      <c r="H769" s="3" t="s">
        <v>17</v>
      </c>
      <c r="I769" s="3">
        <f>IF(C769="India",1,IF(C769="USA",INDEX('Currency Master'!B:B,MATCH(DATE(N769,MONTH(DATEVALUE(O769&amp;" 1")),1),'Currency Master'!A:A,0)),IF(C769="Australia",INDEX('Currency Master'!T:T,MATCH(DATE(N769,MONTH(DATEVALUE(O769&amp;" 1")),1),'Currency Master'!A:A,0)),"")))</f>
        <v>1</v>
      </c>
      <c r="J769" s="3">
        <f t="shared" si="44"/>
        <v>59488</v>
      </c>
      <c r="K769" s="3" t="str">
        <f t="shared" si="45"/>
        <v>₹/Candy</v>
      </c>
      <c r="L769" s="3">
        <v>-5.2173913043478404E-3</v>
      </c>
      <c r="M769" s="3">
        <v>1.08820197549291E-2</v>
      </c>
      <c r="N769" s="3">
        <f t="shared" si="46"/>
        <v>2017</v>
      </c>
      <c r="O769" s="3" t="str">
        <f t="shared" si="47"/>
        <v>August</v>
      </c>
      <c r="P769" s="3" t="s">
        <v>25</v>
      </c>
      <c r="Q769" s="3"/>
    </row>
    <row r="770" spans="1:17" hidden="1" x14ac:dyDescent="0.3">
      <c r="A770" s="2">
        <v>42917</v>
      </c>
      <c r="B770" s="3" t="s">
        <v>12</v>
      </c>
      <c r="C770" s="3" t="s">
        <v>13</v>
      </c>
      <c r="D770" s="3" t="s">
        <v>24</v>
      </c>
      <c r="E770" s="3" t="s">
        <v>15</v>
      </c>
      <c r="F770" s="3">
        <v>59800</v>
      </c>
      <c r="G770" s="3" t="s">
        <v>16</v>
      </c>
      <c r="H770" s="3" t="s">
        <v>17</v>
      </c>
      <c r="I770" s="3">
        <f>IF(C770="India",1,IF(C770="USA",INDEX('Currency Master'!B:B,MATCH(DATE(N770,MONTH(DATEVALUE(O770&amp;" 1")),1),'Currency Master'!A:A,0)),IF(C770="Australia",INDEX('Currency Master'!T:T,MATCH(DATE(N770,MONTH(DATEVALUE(O770&amp;" 1")),1),'Currency Master'!A:A,0)),"")))</f>
        <v>1</v>
      </c>
      <c r="J770" s="3">
        <f t="shared" si="44"/>
        <v>59800</v>
      </c>
      <c r="K770" s="3" t="str">
        <f t="shared" si="45"/>
        <v>₹/Candy</v>
      </c>
      <c r="L770" s="3">
        <v>-2.5020850708924501E-3</v>
      </c>
      <c r="M770" s="3">
        <v>3.1959687996134398E-2</v>
      </c>
      <c r="N770" s="3">
        <f t="shared" si="46"/>
        <v>2017</v>
      </c>
      <c r="O770" s="3" t="str">
        <f t="shared" si="47"/>
        <v>July</v>
      </c>
      <c r="P770" s="3" t="s">
        <v>25</v>
      </c>
      <c r="Q770" s="3"/>
    </row>
    <row r="771" spans="1:17" hidden="1" x14ac:dyDescent="0.3">
      <c r="A771" s="2">
        <v>42887</v>
      </c>
      <c r="B771" s="3" t="s">
        <v>12</v>
      </c>
      <c r="C771" s="3" t="s">
        <v>13</v>
      </c>
      <c r="D771" s="3" t="s">
        <v>24</v>
      </c>
      <c r="E771" s="3" t="s">
        <v>15</v>
      </c>
      <c r="F771" s="3">
        <v>59950</v>
      </c>
      <c r="G771" s="3" t="s">
        <v>16</v>
      </c>
      <c r="H771" s="3" t="s">
        <v>17</v>
      </c>
      <c r="I771" s="3">
        <f>IF(C771="India",1,IF(C771="USA",INDEX('Currency Master'!B:B,MATCH(DATE(N771,MONTH(DATEVALUE(O771&amp;" 1")),1),'Currency Master'!A:A,0)),IF(C771="Australia",INDEX('Currency Master'!T:T,MATCH(DATE(N771,MONTH(DATEVALUE(O771&amp;" 1")),1),'Currency Master'!A:A,0)),"")))</f>
        <v>1</v>
      </c>
      <c r="J771" s="3">
        <f t="shared" ref="J771:J834" si="48">IF(C771="India",F771,IF(C771="USA",IF(G771="US Cents/Lb",ROUND(((F771/100)/0.453592)*I771*356,0),F771),IF(C771="Australia",IF(G771="AUc/kg",ROUND((F771/100)*I771,2),F771),"")))</f>
        <v>59950</v>
      </c>
      <c r="K771" s="3" t="str">
        <f t="shared" ref="K771:K834" si="49">IF(C771="India",G771,IF(C771="USA","₹/Candy",IF(C771="Australia","₹/Kg","")))</f>
        <v>₹/Candy</v>
      </c>
      <c r="L771" s="3">
        <v>-7.3871234770616096E-3</v>
      </c>
      <c r="M771" s="3">
        <v>9.8404458369016498E-2</v>
      </c>
      <c r="N771" s="3">
        <f t="shared" ref="N771:N834" si="50">YEAR(A771)</f>
        <v>2017</v>
      </c>
      <c r="O771" s="3" t="str">
        <f t="shared" ref="O771:O834" si="51">TEXT(A771,"mmmm")</f>
        <v>June</v>
      </c>
      <c r="P771" s="3" t="s">
        <v>25</v>
      </c>
      <c r="Q771" s="3"/>
    </row>
    <row r="772" spans="1:17" hidden="1" x14ac:dyDescent="0.3">
      <c r="A772" s="2">
        <v>42856</v>
      </c>
      <c r="B772" s="3" t="s">
        <v>12</v>
      </c>
      <c r="C772" s="3" t="s">
        <v>13</v>
      </c>
      <c r="D772" s="3" t="s">
        <v>24</v>
      </c>
      <c r="E772" s="3" t="s">
        <v>15</v>
      </c>
      <c r="F772" s="3">
        <v>60396.153846000001</v>
      </c>
      <c r="G772" s="3" t="s">
        <v>16</v>
      </c>
      <c r="H772" s="3" t="s">
        <v>17</v>
      </c>
      <c r="I772" s="3">
        <f>IF(C772="India",1,IF(C772="USA",INDEX('Currency Master'!B:B,MATCH(DATE(N772,MONTH(DATEVALUE(O772&amp;" 1")),1),'Currency Master'!A:A,0)),IF(C772="Australia",INDEX('Currency Master'!T:T,MATCH(DATE(N772,MONTH(DATEVALUE(O772&amp;" 1")),1),'Currency Master'!A:A,0)),"")))</f>
        <v>1</v>
      </c>
      <c r="J772" s="3">
        <f t="shared" si="48"/>
        <v>60396.153846000001</v>
      </c>
      <c r="K772" s="3" t="str">
        <f t="shared" si="49"/>
        <v>₹/Candy</v>
      </c>
      <c r="L772" s="3">
        <v>1.72914964973678E-2</v>
      </c>
      <c r="M772" s="3">
        <v>0.167391252628731</v>
      </c>
      <c r="N772" s="3">
        <f t="shared" si="50"/>
        <v>2017</v>
      </c>
      <c r="O772" s="3" t="str">
        <f t="shared" si="51"/>
        <v>May</v>
      </c>
      <c r="P772" s="3" t="s">
        <v>25</v>
      </c>
      <c r="Q772" s="3"/>
    </row>
    <row r="773" spans="1:17" hidden="1" x14ac:dyDescent="0.3">
      <c r="A773" s="2">
        <v>42826</v>
      </c>
      <c r="B773" s="3" t="s">
        <v>12</v>
      </c>
      <c r="C773" s="3" t="s">
        <v>13</v>
      </c>
      <c r="D773" s="3" t="s">
        <v>24</v>
      </c>
      <c r="E773" s="3" t="s">
        <v>15</v>
      </c>
      <c r="F773" s="3">
        <v>59369.565217000003</v>
      </c>
      <c r="G773" s="3" t="s">
        <v>16</v>
      </c>
      <c r="H773" s="3" t="s">
        <v>17</v>
      </c>
      <c r="I773" s="3">
        <f>IF(C773="India",1,IF(C773="USA",INDEX('Currency Master'!B:B,MATCH(DATE(N773,MONTH(DATEVALUE(O773&amp;" 1")),1),'Currency Master'!A:A,0)),IF(C773="Australia",INDEX('Currency Master'!T:T,MATCH(DATE(N773,MONTH(DATEVALUE(O773&amp;" 1")),1),'Currency Master'!A:A,0)),"")))</f>
        <v>1</v>
      </c>
      <c r="J773" s="3">
        <f t="shared" si="48"/>
        <v>59369.565217000003</v>
      </c>
      <c r="K773" s="3" t="str">
        <f t="shared" si="49"/>
        <v>₹/Candy</v>
      </c>
      <c r="L773" s="3">
        <v>3.09281344115215E-2</v>
      </c>
      <c r="M773" s="3">
        <v>0.16515623945264701</v>
      </c>
      <c r="N773" s="3">
        <f t="shared" si="50"/>
        <v>2017</v>
      </c>
      <c r="O773" s="3" t="str">
        <f t="shared" si="51"/>
        <v>April</v>
      </c>
      <c r="P773" s="3" t="s">
        <v>25</v>
      </c>
      <c r="Q773" s="3"/>
    </row>
    <row r="774" spans="1:17" hidden="1" x14ac:dyDescent="0.3">
      <c r="A774" s="2">
        <v>42795</v>
      </c>
      <c r="B774" s="3" t="s">
        <v>12</v>
      </c>
      <c r="C774" s="3" t="s">
        <v>13</v>
      </c>
      <c r="D774" s="3" t="s">
        <v>24</v>
      </c>
      <c r="E774" s="3" t="s">
        <v>15</v>
      </c>
      <c r="F774" s="3">
        <v>57588.461538000003</v>
      </c>
      <c r="G774" s="3" t="s">
        <v>16</v>
      </c>
      <c r="H774" s="3" t="s">
        <v>17</v>
      </c>
      <c r="I774" s="3">
        <f>IF(C774="India",1,IF(C774="USA",INDEX('Currency Master'!B:B,MATCH(DATE(N774,MONTH(DATEVALUE(O774&amp;" 1")),1),'Currency Master'!A:A,0)),IF(C774="Australia",INDEX('Currency Master'!T:T,MATCH(DATE(N774,MONTH(DATEVALUE(O774&amp;" 1")),1),'Currency Master'!A:A,0)),"")))</f>
        <v>1</v>
      </c>
      <c r="J774" s="3">
        <f t="shared" si="48"/>
        <v>57588.461538000003</v>
      </c>
      <c r="K774" s="3" t="str">
        <f t="shared" si="49"/>
        <v>₹/Candy</v>
      </c>
      <c r="L774" s="3">
        <v>3.3826820950363601E-2</v>
      </c>
      <c r="M774" s="3">
        <v>0.12989447374823401</v>
      </c>
      <c r="N774" s="3">
        <f t="shared" si="50"/>
        <v>2017</v>
      </c>
      <c r="O774" s="3" t="str">
        <f t="shared" si="51"/>
        <v>March</v>
      </c>
      <c r="P774" s="3" t="s">
        <v>25</v>
      </c>
      <c r="Q774" s="3"/>
    </row>
    <row r="775" spans="1:17" hidden="1" x14ac:dyDescent="0.3">
      <c r="A775" s="2">
        <v>42767</v>
      </c>
      <c r="B775" s="3" t="s">
        <v>12</v>
      </c>
      <c r="C775" s="3" t="s">
        <v>13</v>
      </c>
      <c r="D775" s="3" t="s">
        <v>24</v>
      </c>
      <c r="E775" s="3" t="s">
        <v>15</v>
      </c>
      <c r="F775" s="3">
        <v>55704.166665999997</v>
      </c>
      <c r="G775" s="3" t="s">
        <v>16</v>
      </c>
      <c r="H775" s="3" t="s">
        <v>17</v>
      </c>
      <c r="I775" s="3">
        <f>IF(C775="India",1,IF(C775="USA",INDEX('Currency Master'!B:B,MATCH(DATE(N775,MONTH(DATEVALUE(O775&amp;" 1")),1),'Currency Master'!A:A,0)),IF(C775="Australia",INDEX('Currency Master'!T:T,MATCH(DATE(N775,MONTH(DATEVALUE(O775&amp;" 1")),1),'Currency Master'!A:A,0)),"")))</f>
        <v>1</v>
      </c>
      <c r="J775" s="3">
        <f t="shared" si="48"/>
        <v>55704.166665999997</v>
      </c>
      <c r="K775" s="3" t="str">
        <f t="shared" si="49"/>
        <v>₹/Candy</v>
      </c>
      <c r="L775" s="3">
        <v>9.0503636592082996E-3</v>
      </c>
      <c r="M775" s="3">
        <v>8.4353962196994897E-2</v>
      </c>
      <c r="N775" s="3">
        <f t="shared" si="50"/>
        <v>2017</v>
      </c>
      <c r="O775" s="3" t="str">
        <f t="shared" si="51"/>
        <v>February</v>
      </c>
      <c r="P775" s="3" t="s">
        <v>25</v>
      </c>
      <c r="Q775" s="3"/>
    </row>
    <row r="776" spans="1:17" hidden="1" x14ac:dyDescent="0.3">
      <c r="A776" s="2">
        <v>42736</v>
      </c>
      <c r="B776" s="3" t="s">
        <v>12</v>
      </c>
      <c r="C776" s="3" t="s">
        <v>13</v>
      </c>
      <c r="D776" s="3" t="s">
        <v>24</v>
      </c>
      <c r="E776" s="3" t="s">
        <v>15</v>
      </c>
      <c r="F776" s="3">
        <v>55204.545453999999</v>
      </c>
      <c r="G776" s="3" t="s">
        <v>16</v>
      </c>
      <c r="H776" s="3" t="s">
        <v>17</v>
      </c>
      <c r="I776" s="3">
        <f>IF(C776="India",1,IF(C776="USA",INDEX('Currency Master'!B:B,MATCH(DATE(N776,MONTH(DATEVALUE(O776&amp;" 1")),1),'Currency Master'!A:A,0)),IF(C776="Australia",INDEX('Currency Master'!T:T,MATCH(DATE(N776,MONTH(DATEVALUE(O776&amp;" 1")),1),'Currency Master'!A:A,0)),"")))</f>
        <v>1</v>
      </c>
      <c r="J776" s="3">
        <f t="shared" si="48"/>
        <v>55204.545453999999</v>
      </c>
      <c r="K776" s="3" t="str">
        <f t="shared" si="49"/>
        <v>₹/Candy</v>
      </c>
      <c r="L776" s="3">
        <v>1.4789438492647199E-2</v>
      </c>
      <c r="M776" s="3">
        <v>9.1561679379304803E-2</v>
      </c>
      <c r="N776" s="3">
        <f t="shared" si="50"/>
        <v>2017</v>
      </c>
      <c r="O776" s="3" t="str">
        <f t="shared" si="51"/>
        <v>January</v>
      </c>
      <c r="P776" s="3" t="s">
        <v>25</v>
      </c>
      <c r="Q776" s="3"/>
    </row>
    <row r="777" spans="1:17" hidden="1" x14ac:dyDescent="0.3">
      <c r="A777" s="2">
        <v>42705</v>
      </c>
      <c r="B777" s="3" t="s">
        <v>12</v>
      </c>
      <c r="C777" s="3" t="s">
        <v>13</v>
      </c>
      <c r="D777" s="3" t="s">
        <v>24</v>
      </c>
      <c r="E777" s="3" t="s">
        <v>15</v>
      </c>
      <c r="F777" s="3">
        <v>54400</v>
      </c>
      <c r="G777" s="3" t="s">
        <v>16</v>
      </c>
      <c r="H777" s="3" t="s">
        <v>17</v>
      </c>
      <c r="I777" s="3">
        <f>IF(C777="India",1,IF(C777="USA",INDEX('Currency Master'!B:B,MATCH(DATE(N777,MONTH(DATEVALUE(O777&amp;" 1")),1),'Currency Master'!A:A,0)),IF(C777="Australia",INDEX('Currency Master'!T:T,MATCH(DATE(N777,MONTH(DATEVALUE(O777&amp;" 1")),1),'Currency Master'!A:A,0)),"")))</f>
        <v>1</v>
      </c>
      <c r="J777" s="3">
        <f t="shared" si="48"/>
        <v>54400</v>
      </c>
      <c r="K777" s="3" t="str">
        <f t="shared" si="49"/>
        <v>₹/Candy</v>
      </c>
      <c r="L777" s="3">
        <v>2.5657840821757601E-2</v>
      </c>
      <c r="M777" s="3">
        <v>0.14036558779138</v>
      </c>
      <c r="N777" s="3">
        <f t="shared" si="50"/>
        <v>2016</v>
      </c>
      <c r="O777" s="3" t="str">
        <f t="shared" si="51"/>
        <v>December</v>
      </c>
      <c r="P777" s="3" t="s">
        <v>25</v>
      </c>
      <c r="Q777" s="3"/>
    </row>
    <row r="778" spans="1:17" hidden="1" x14ac:dyDescent="0.3">
      <c r="A778" s="2">
        <v>42675</v>
      </c>
      <c r="B778" s="3" t="s">
        <v>12</v>
      </c>
      <c r="C778" s="3" t="s">
        <v>13</v>
      </c>
      <c r="D778" s="3" t="s">
        <v>24</v>
      </c>
      <c r="E778" s="3" t="s">
        <v>15</v>
      </c>
      <c r="F778" s="3">
        <v>53039.130433999999</v>
      </c>
      <c r="G778" s="3" t="s">
        <v>16</v>
      </c>
      <c r="H778" s="3" t="s">
        <v>17</v>
      </c>
      <c r="I778" s="3">
        <f>IF(C778="India",1,IF(C778="USA",INDEX('Currency Master'!B:B,MATCH(DATE(N778,MONTH(DATEVALUE(O778&amp;" 1")),1),'Currency Master'!A:A,0)),IF(C778="Australia",INDEX('Currency Master'!T:T,MATCH(DATE(N778,MONTH(DATEVALUE(O778&amp;" 1")),1),'Currency Master'!A:A,0)),"")))</f>
        <v>1</v>
      </c>
      <c r="J778" s="3">
        <f t="shared" si="48"/>
        <v>53039.130433999999</v>
      </c>
      <c r="K778" s="3" t="str">
        <f t="shared" si="49"/>
        <v>₹/Candy</v>
      </c>
      <c r="L778" s="3">
        <v>-7.1750755637479999E-2</v>
      </c>
      <c r="M778" s="3">
        <v>0.12689370612077699</v>
      </c>
      <c r="N778" s="3">
        <f t="shared" si="50"/>
        <v>2016</v>
      </c>
      <c r="O778" s="3" t="str">
        <f t="shared" si="51"/>
        <v>November</v>
      </c>
      <c r="P778" s="3" t="s">
        <v>25</v>
      </c>
      <c r="Q778" s="3"/>
    </row>
    <row r="779" spans="1:17" hidden="1" x14ac:dyDescent="0.3">
      <c r="A779" s="2">
        <v>42644</v>
      </c>
      <c r="B779" s="3" t="s">
        <v>12</v>
      </c>
      <c r="C779" s="3" t="s">
        <v>13</v>
      </c>
      <c r="D779" s="3" t="s">
        <v>24</v>
      </c>
      <c r="E779" s="3" t="s">
        <v>15</v>
      </c>
      <c r="F779" s="3">
        <v>57138.888888000001</v>
      </c>
      <c r="G779" s="3" t="s">
        <v>16</v>
      </c>
      <c r="H779" s="3" t="s">
        <v>17</v>
      </c>
      <c r="I779" s="3">
        <f>IF(C779="India",1,IF(C779="USA",INDEX('Currency Master'!B:B,MATCH(DATE(N779,MONTH(DATEVALUE(O779&amp;" 1")),1),'Currency Master'!A:A,0)),IF(C779="Australia",INDEX('Currency Master'!T:T,MATCH(DATE(N779,MONTH(DATEVALUE(O779&amp;" 1")),1),'Currency Master'!A:A,0)),"")))</f>
        <v>1</v>
      </c>
      <c r="J779" s="3">
        <f t="shared" si="48"/>
        <v>57138.888888000001</v>
      </c>
      <c r="K779" s="3" t="str">
        <f t="shared" si="49"/>
        <v>₹/Candy</v>
      </c>
      <c r="L779" s="3">
        <v>-3.24074074069369E-2</v>
      </c>
      <c r="M779" s="3">
        <v>0.201507462528388</v>
      </c>
      <c r="N779" s="3">
        <f t="shared" si="50"/>
        <v>2016</v>
      </c>
      <c r="O779" s="3" t="str">
        <f t="shared" si="51"/>
        <v>October</v>
      </c>
      <c r="P779" s="3" t="s">
        <v>25</v>
      </c>
      <c r="Q779" s="3"/>
    </row>
    <row r="780" spans="1:17" hidden="1" x14ac:dyDescent="0.3">
      <c r="A780" s="2">
        <v>42614</v>
      </c>
      <c r="B780" s="3" t="s">
        <v>12</v>
      </c>
      <c r="C780" s="3" t="s">
        <v>13</v>
      </c>
      <c r="D780" s="3" t="s">
        <v>24</v>
      </c>
      <c r="E780" s="3" t="s">
        <v>15</v>
      </c>
      <c r="F780" s="3">
        <v>59052.631578</v>
      </c>
      <c r="G780" s="3" t="s">
        <v>16</v>
      </c>
      <c r="H780" s="3" t="s">
        <v>17</v>
      </c>
      <c r="I780" s="3">
        <f>IF(C780="India",1,IF(C780="USA",INDEX('Currency Master'!B:B,MATCH(DATE(N780,MONTH(DATEVALUE(O780&amp;" 1")),1),'Currency Master'!A:A,0)),IF(C780="Australia",INDEX('Currency Master'!T:T,MATCH(DATE(N780,MONTH(DATEVALUE(O780&amp;" 1")),1),'Currency Master'!A:A,0)),"")))</f>
        <v>1</v>
      </c>
      <c r="J780" s="3">
        <f t="shared" si="48"/>
        <v>59052.631578</v>
      </c>
      <c r="K780" s="3" t="str">
        <f t="shared" si="49"/>
        <v>₹/Candy</v>
      </c>
      <c r="L780" s="3">
        <v>3.4837863335856999E-3</v>
      </c>
      <c r="M780" s="3">
        <v>0.279192261892383</v>
      </c>
      <c r="N780" s="3">
        <f t="shared" si="50"/>
        <v>2016</v>
      </c>
      <c r="O780" s="3" t="str">
        <f t="shared" si="51"/>
        <v>September</v>
      </c>
      <c r="P780" s="3" t="s">
        <v>25</v>
      </c>
      <c r="Q780" s="3"/>
    </row>
    <row r="781" spans="1:17" hidden="1" x14ac:dyDescent="0.3">
      <c r="A781" s="2">
        <v>42583</v>
      </c>
      <c r="B781" s="3" t="s">
        <v>12</v>
      </c>
      <c r="C781" s="3" t="s">
        <v>13</v>
      </c>
      <c r="D781" s="3" t="s">
        <v>24</v>
      </c>
      <c r="E781" s="3" t="s">
        <v>15</v>
      </c>
      <c r="F781" s="3">
        <v>58847.619047</v>
      </c>
      <c r="G781" s="3" t="s">
        <v>16</v>
      </c>
      <c r="H781" s="3" t="s">
        <v>17</v>
      </c>
      <c r="I781" s="3">
        <f>IF(C781="India",1,IF(C781="USA",INDEX('Currency Master'!B:B,MATCH(DATE(N781,MONTH(DATEVALUE(O781&amp;" 1")),1),'Currency Master'!A:A,0)),IF(C781="Australia",INDEX('Currency Master'!T:T,MATCH(DATE(N781,MONTH(DATEVALUE(O781&amp;" 1")),1),'Currency Master'!A:A,0)),"")))</f>
        <v>1</v>
      </c>
      <c r="J781" s="3">
        <f t="shared" si="48"/>
        <v>58847.619047</v>
      </c>
      <c r="K781" s="3" t="str">
        <f t="shared" si="49"/>
        <v>₹/Candy</v>
      </c>
      <c r="L781" s="3">
        <v>1.5524591823703899E-2</v>
      </c>
      <c r="M781" s="3">
        <v>0.30021252865664999</v>
      </c>
      <c r="N781" s="3">
        <f t="shared" si="50"/>
        <v>2016</v>
      </c>
      <c r="O781" s="3" t="str">
        <f t="shared" si="51"/>
        <v>August</v>
      </c>
      <c r="P781" s="3" t="s">
        <v>25</v>
      </c>
      <c r="Q781" s="3"/>
    </row>
    <row r="782" spans="1:17" hidden="1" x14ac:dyDescent="0.3">
      <c r="A782" s="2">
        <v>42552</v>
      </c>
      <c r="B782" s="3" t="s">
        <v>12</v>
      </c>
      <c r="C782" s="3" t="s">
        <v>13</v>
      </c>
      <c r="D782" s="3" t="s">
        <v>24</v>
      </c>
      <c r="E782" s="3" t="s">
        <v>15</v>
      </c>
      <c r="F782" s="3">
        <v>57948</v>
      </c>
      <c r="G782" s="3" t="s">
        <v>16</v>
      </c>
      <c r="H782" s="3" t="s">
        <v>17</v>
      </c>
      <c r="I782" s="3">
        <f>IF(C782="India",1,IF(C782="USA",INDEX('Currency Master'!B:B,MATCH(DATE(N782,MONTH(DATEVALUE(O782&amp;" 1")),1),'Currency Master'!A:A,0)),IF(C782="Australia",INDEX('Currency Master'!T:T,MATCH(DATE(N782,MONTH(DATEVALUE(O782&amp;" 1")),1),'Currency Master'!A:A,0)),"")))</f>
        <v>1</v>
      </c>
      <c r="J782" s="3">
        <f t="shared" si="48"/>
        <v>57948</v>
      </c>
      <c r="K782" s="3" t="str">
        <f t="shared" si="49"/>
        <v>₹/Candy</v>
      </c>
      <c r="L782" s="3">
        <v>6.1723795722564902E-2</v>
      </c>
      <c r="M782" s="3">
        <v>0.25609826590502999</v>
      </c>
      <c r="N782" s="3">
        <f t="shared" si="50"/>
        <v>2016</v>
      </c>
      <c r="O782" s="3" t="str">
        <f t="shared" si="51"/>
        <v>July</v>
      </c>
      <c r="P782" s="3" t="s">
        <v>25</v>
      </c>
      <c r="Q782" s="3"/>
    </row>
    <row r="783" spans="1:17" hidden="1" x14ac:dyDescent="0.3">
      <c r="A783" s="2">
        <v>42522</v>
      </c>
      <c r="B783" s="3" t="s">
        <v>12</v>
      </c>
      <c r="C783" s="3" t="s">
        <v>13</v>
      </c>
      <c r="D783" s="3" t="s">
        <v>24</v>
      </c>
      <c r="E783" s="3" t="s">
        <v>15</v>
      </c>
      <c r="F783" s="3">
        <v>54579.166665999997</v>
      </c>
      <c r="G783" s="3" t="s">
        <v>16</v>
      </c>
      <c r="H783" s="3" t="s">
        <v>17</v>
      </c>
      <c r="I783" s="3">
        <f>IF(C783="India",1,IF(C783="USA",INDEX('Currency Master'!B:B,MATCH(DATE(N783,MONTH(DATEVALUE(O783&amp;" 1")),1),'Currency Master'!A:A,0)),IF(C783="Australia",INDEX('Currency Master'!T:T,MATCH(DATE(N783,MONTH(DATEVALUE(O783&amp;" 1")),1),'Currency Master'!A:A,0)),"")))</f>
        <v>1</v>
      </c>
      <c r="J783" s="3">
        <f t="shared" si="48"/>
        <v>54579.166665999997</v>
      </c>
      <c r="K783" s="3" t="str">
        <f t="shared" si="49"/>
        <v>₹/Candy</v>
      </c>
      <c r="L783" s="3">
        <v>5.4955285797123797E-2</v>
      </c>
      <c r="M783" s="3">
        <v>0.180973979134329</v>
      </c>
      <c r="N783" s="3">
        <f t="shared" si="50"/>
        <v>2016</v>
      </c>
      <c r="O783" s="3" t="str">
        <f t="shared" si="51"/>
        <v>June</v>
      </c>
      <c r="P783" s="3" t="s">
        <v>25</v>
      </c>
      <c r="Q783" s="3"/>
    </row>
    <row r="784" spans="1:17" hidden="1" x14ac:dyDescent="0.3">
      <c r="A784" s="2">
        <v>42491</v>
      </c>
      <c r="B784" s="3" t="s">
        <v>12</v>
      </c>
      <c r="C784" s="3" t="s">
        <v>13</v>
      </c>
      <c r="D784" s="3" t="s">
        <v>24</v>
      </c>
      <c r="E784" s="3" t="s">
        <v>15</v>
      </c>
      <c r="F784" s="3">
        <v>51736</v>
      </c>
      <c r="G784" s="3" t="s">
        <v>16</v>
      </c>
      <c r="H784" s="3" t="s">
        <v>17</v>
      </c>
      <c r="I784" s="3">
        <f>IF(C784="India",1,IF(C784="USA",INDEX('Currency Master'!B:B,MATCH(DATE(N784,MONTH(DATEVALUE(O784&amp;" 1")),1),'Currency Master'!A:A,0)),IF(C784="Australia",INDEX('Currency Master'!T:T,MATCH(DATE(N784,MONTH(DATEVALUE(O784&amp;" 1")),1),'Currency Master'!A:A,0)),"")))</f>
        <v>1</v>
      </c>
      <c r="J784" s="3">
        <f t="shared" si="48"/>
        <v>51736</v>
      </c>
      <c r="K784" s="3" t="str">
        <f t="shared" si="49"/>
        <v>₹/Candy</v>
      </c>
      <c r="L784" s="3">
        <v>1.5343854784729299E-2</v>
      </c>
      <c r="M784" s="3">
        <v>0.109167309836206</v>
      </c>
      <c r="N784" s="3">
        <f t="shared" si="50"/>
        <v>2016</v>
      </c>
      <c r="O784" s="3" t="str">
        <f t="shared" si="51"/>
        <v>May</v>
      </c>
      <c r="P784" s="3" t="s">
        <v>25</v>
      </c>
      <c r="Q784" s="3"/>
    </row>
    <row r="785" spans="1:17" hidden="1" x14ac:dyDescent="0.3">
      <c r="A785" s="2">
        <v>42461</v>
      </c>
      <c r="B785" s="3" t="s">
        <v>12</v>
      </c>
      <c r="C785" s="3" t="s">
        <v>13</v>
      </c>
      <c r="D785" s="3" t="s">
        <v>24</v>
      </c>
      <c r="E785" s="3" t="s">
        <v>15</v>
      </c>
      <c r="F785" s="3">
        <v>50954.166665999997</v>
      </c>
      <c r="G785" s="3" t="s">
        <v>16</v>
      </c>
      <c r="H785" s="3" t="s">
        <v>17</v>
      </c>
      <c r="I785" s="3">
        <f>IF(C785="India",1,IF(C785="USA",INDEX('Currency Master'!B:B,MATCH(DATE(N785,MONTH(DATEVALUE(O785&amp;" 1")),1),'Currency Master'!A:A,0)),IF(C785="Australia",INDEX('Currency Master'!T:T,MATCH(DATE(N785,MONTH(DATEVALUE(O785&amp;" 1")),1),'Currency Master'!A:A,0)),"")))</f>
        <v>1</v>
      </c>
      <c r="J785" s="3">
        <f t="shared" si="48"/>
        <v>50954.166665999997</v>
      </c>
      <c r="K785" s="3" t="str">
        <f t="shared" si="49"/>
        <v>₹/Candy</v>
      </c>
      <c r="L785" s="3">
        <v>-2.7141214095127703E-4</v>
      </c>
      <c r="M785" s="3">
        <v>9.9856818036608397E-2</v>
      </c>
      <c r="N785" s="3">
        <f t="shared" si="50"/>
        <v>2016</v>
      </c>
      <c r="O785" s="3" t="str">
        <f t="shared" si="51"/>
        <v>April</v>
      </c>
      <c r="P785" s="3" t="s">
        <v>25</v>
      </c>
      <c r="Q785" s="3"/>
    </row>
    <row r="786" spans="1:17" hidden="1" x14ac:dyDescent="0.3">
      <c r="A786" s="2">
        <v>42430</v>
      </c>
      <c r="B786" s="3" t="s">
        <v>12</v>
      </c>
      <c r="C786" s="3" t="s">
        <v>13</v>
      </c>
      <c r="D786" s="3" t="s">
        <v>24</v>
      </c>
      <c r="E786" s="3" t="s">
        <v>15</v>
      </c>
      <c r="F786" s="3">
        <v>50968</v>
      </c>
      <c r="G786" s="3" t="s">
        <v>16</v>
      </c>
      <c r="H786" s="3" t="s">
        <v>17</v>
      </c>
      <c r="I786" s="3">
        <f>IF(C786="India",1,IF(C786="USA",INDEX('Currency Master'!B:B,MATCH(DATE(N786,MONTH(DATEVALUE(O786&amp;" 1")),1),'Currency Master'!A:A,0)),IF(C786="Australia",INDEX('Currency Master'!T:T,MATCH(DATE(N786,MONTH(DATEVALUE(O786&amp;" 1")),1),'Currency Master'!A:A,0)),"")))</f>
        <v>1</v>
      </c>
      <c r="J786" s="3">
        <f t="shared" si="48"/>
        <v>50968</v>
      </c>
      <c r="K786" s="3" t="str">
        <f t="shared" si="49"/>
        <v>₹/Candy</v>
      </c>
      <c r="L786" s="3">
        <v>-7.8416740952734799E-3</v>
      </c>
      <c r="M786" s="3">
        <v>0.136020574377505</v>
      </c>
      <c r="N786" s="3">
        <f t="shared" si="50"/>
        <v>2016</v>
      </c>
      <c r="O786" s="3" t="str">
        <f t="shared" si="51"/>
        <v>March</v>
      </c>
      <c r="P786" s="3" t="s">
        <v>25</v>
      </c>
      <c r="Q786" s="3"/>
    </row>
    <row r="787" spans="1:17" hidden="1" x14ac:dyDescent="0.3">
      <c r="A787" s="2">
        <v>42401</v>
      </c>
      <c r="B787" s="3" t="s">
        <v>12</v>
      </c>
      <c r="C787" s="3" t="s">
        <v>13</v>
      </c>
      <c r="D787" s="3" t="s">
        <v>24</v>
      </c>
      <c r="E787" s="3" t="s">
        <v>15</v>
      </c>
      <c r="F787" s="3">
        <v>51370.833333000002</v>
      </c>
      <c r="G787" s="3" t="s">
        <v>16</v>
      </c>
      <c r="H787" s="3" t="s">
        <v>17</v>
      </c>
      <c r="I787" s="3">
        <f>IF(C787="India",1,IF(C787="USA",INDEX('Currency Master'!B:B,MATCH(DATE(N787,MONTH(DATEVALUE(O787&amp;" 1")),1),'Currency Master'!A:A,0)),IF(C787="Australia",INDEX('Currency Master'!T:T,MATCH(DATE(N787,MONTH(DATEVALUE(O787&amp;" 1")),1),'Currency Master'!A:A,0)),"")))</f>
        <v>1</v>
      </c>
      <c r="J787" s="3">
        <f t="shared" si="48"/>
        <v>51370.833333000002</v>
      </c>
      <c r="K787" s="3" t="str">
        <f t="shared" si="49"/>
        <v>₹/Candy</v>
      </c>
      <c r="L787" s="3">
        <v>1.57575366834364E-2</v>
      </c>
      <c r="M787" s="3">
        <v>0.15972156899753401</v>
      </c>
      <c r="N787" s="3">
        <f t="shared" si="50"/>
        <v>2016</v>
      </c>
      <c r="O787" s="3" t="str">
        <f t="shared" si="51"/>
        <v>February</v>
      </c>
      <c r="P787" s="3" t="s">
        <v>25</v>
      </c>
      <c r="Q787" s="3"/>
    </row>
    <row r="788" spans="1:17" hidden="1" x14ac:dyDescent="0.3">
      <c r="A788" s="2">
        <v>42370</v>
      </c>
      <c r="B788" s="3" t="s">
        <v>12</v>
      </c>
      <c r="C788" s="3" t="s">
        <v>13</v>
      </c>
      <c r="D788" s="3" t="s">
        <v>24</v>
      </c>
      <c r="E788" s="3" t="s">
        <v>15</v>
      </c>
      <c r="F788" s="3">
        <v>50573.913043</v>
      </c>
      <c r="G788" s="3" t="s">
        <v>16</v>
      </c>
      <c r="H788" s="3" t="s">
        <v>17</v>
      </c>
      <c r="I788" s="3">
        <f>IF(C788="India",1,IF(C788="USA",INDEX('Currency Master'!B:B,MATCH(DATE(N788,MONTH(DATEVALUE(O788&amp;" 1")),1),'Currency Master'!A:A,0)),IF(C788="Australia",INDEX('Currency Master'!T:T,MATCH(DATE(N788,MONTH(DATEVALUE(O788&amp;" 1")),1),'Currency Master'!A:A,0)),"")))</f>
        <v>1</v>
      </c>
      <c r="J788" s="3">
        <f t="shared" si="48"/>
        <v>50573.913043</v>
      </c>
      <c r="K788" s="3" t="str">
        <f t="shared" si="49"/>
        <v>₹/Candy</v>
      </c>
      <c r="L788" s="3">
        <v>6.0160846952037599E-2</v>
      </c>
      <c r="M788" s="3">
        <v>9.6001929676664294E-2</v>
      </c>
      <c r="N788" s="3">
        <f t="shared" si="50"/>
        <v>2016</v>
      </c>
      <c r="O788" s="3" t="str">
        <f t="shared" si="51"/>
        <v>January</v>
      </c>
      <c r="P788" s="3" t="s">
        <v>25</v>
      </c>
      <c r="Q788" s="3"/>
    </row>
    <row r="789" spans="1:17" hidden="1" x14ac:dyDescent="0.3">
      <c r="A789" s="2">
        <v>42339</v>
      </c>
      <c r="B789" s="3" t="s">
        <v>12</v>
      </c>
      <c r="C789" s="3" t="s">
        <v>13</v>
      </c>
      <c r="D789" s="3" t="s">
        <v>24</v>
      </c>
      <c r="E789" s="3" t="s">
        <v>15</v>
      </c>
      <c r="F789" s="3">
        <v>47704</v>
      </c>
      <c r="G789" s="3" t="s">
        <v>16</v>
      </c>
      <c r="H789" s="3" t="s">
        <v>17</v>
      </c>
      <c r="I789" s="3">
        <f>IF(C789="India",1,IF(C789="USA",INDEX('Currency Master'!B:B,MATCH(DATE(N789,MONTH(DATEVALUE(O789&amp;" 1")),1),'Currency Master'!A:A,0)),IF(C789="Australia",INDEX('Currency Master'!T:T,MATCH(DATE(N789,MONTH(DATEVALUE(O789&amp;" 1")),1),'Currency Master'!A:A,0)),"")))</f>
        <v>1</v>
      </c>
      <c r="J789" s="3">
        <f t="shared" si="48"/>
        <v>47704</v>
      </c>
      <c r="K789" s="3" t="str">
        <f t="shared" si="49"/>
        <v>₹/Candy</v>
      </c>
      <c r="L789" s="3">
        <v>1.35410765016082E-2</v>
      </c>
      <c r="M789" s="3">
        <v>3.8954598768964101E-2</v>
      </c>
      <c r="N789" s="3">
        <f t="shared" si="50"/>
        <v>2015</v>
      </c>
      <c r="O789" s="3" t="str">
        <f t="shared" si="51"/>
        <v>December</v>
      </c>
      <c r="P789" s="3" t="s">
        <v>25</v>
      </c>
      <c r="Q789" s="3"/>
    </row>
    <row r="790" spans="1:17" hidden="1" x14ac:dyDescent="0.3">
      <c r="A790" s="2">
        <v>42309</v>
      </c>
      <c r="B790" s="3" t="s">
        <v>12</v>
      </c>
      <c r="C790" s="3" t="s">
        <v>13</v>
      </c>
      <c r="D790" s="3" t="s">
        <v>24</v>
      </c>
      <c r="E790" s="3" t="s">
        <v>15</v>
      </c>
      <c r="F790" s="3">
        <v>47066.666665999997</v>
      </c>
      <c r="G790" s="3" t="s">
        <v>16</v>
      </c>
      <c r="H790" s="3" t="s">
        <v>17</v>
      </c>
      <c r="I790" s="3">
        <f>IF(C790="India",1,IF(C790="USA",INDEX('Currency Master'!B:B,MATCH(DATE(N790,MONTH(DATEVALUE(O790&amp;" 1")),1),'Currency Master'!A:A,0)),IF(C790="Australia",INDEX('Currency Master'!T:T,MATCH(DATE(N790,MONTH(DATEVALUE(O790&amp;" 1")),1),'Currency Master'!A:A,0)),"")))</f>
        <v>1</v>
      </c>
      <c r="J790" s="3">
        <f t="shared" si="48"/>
        <v>47066.666665999997</v>
      </c>
      <c r="K790" s="3" t="str">
        <f t="shared" si="49"/>
        <v>₹/Candy</v>
      </c>
      <c r="L790" s="3">
        <v>-1.02896234754816E-2</v>
      </c>
      <c r="M790" s="3">
        <v>6.5049481037291704E-2</v>
      </c>
      <c r="N790" s="3">
        <f t="shared" si="50"/>
        <v>2015</v>
      </c>
      <c r="O790" s="3" t="str">
        <f t="shared" si="51"/>
        <v>November</v>
      </c>
      <c r="P790" s="3" t="s">
        <v>25</v>
      </c>
      <c r="Q790" s="3"/>
    </row>
    <row r="791" spans="1:17" hidden="1" x14ac:dyDescent="0.3">
      <c r="A791" s="2">
        <v>42278</v>
      </c>
      <c r="B791" s="3" t="s">
        <v>12</v>
      </c>
      <c r="C791" s="3" t="s">
        <v>13</v>
      </c>
      <c r="D791" s="3" t="s">
        <v>24</v>
      </c>
      <c r="E791" s="3" t="s">
        <v>15</v>
      </c>
      <c r="F791" s="3">
        <v>47556</v>
      </c>
      <c r="G791" s="3" t="s">
        <v>16</v>
      </c>
      <c r="H791" s="3" t="s">
        <v>17</v>
      </c>
      <c r="I791" s="3">
        <f>IF(C791="India",1,IF(C791="USA",INDEX('Currency Master'!B:B,MATCH(DATE(N791,MONTH(DATEVALUE(O791&amp;" 1")),1),'Currency Master'!A:A,0)),IF(C791="Australia",INDEX('Currency Master'!T:T,MATCH(DATE(N791,MONTH(DATEVALUE(O791&amp;" 1")),1),'Currency Master'!A:A,0)),"")))</f>
        <v>1</v>
      </c>
      <c r="J791" s="3">
        <f t="shared" si="48"/>
        <v>47556</v>
      </c>
      <c r="K791" s="3" t="str">
        <f t="shared" si="49"/>
        <v>₹/Candy</v>
      </c>
      <c r="L791" s="3">
        <v>3.0153366259422901E-2</v>
      </c>
      <c r="M791" s="3">
        <v>-5.8843308675182704E-4</v>
      </c>
      <c r="N791" s="3">
        <f t="shared" si="50"/>
        <v>2015</v>
      </c>
      <c r="O791" s="3" t="str">
        <f t="shared" si="51"/>
        <v>October</v>
      </c>
      <c r="P791" s="3" t="s">
        <v>25</v>
      </c>
      <c r="Q791" s="3"/>
    </row>
    <row r="792" spans="1:17" hidden="1" x14ac:dyDescent="0.3">
      <c r="A792" s="2">
        <v>42248</v>
      </c>
      <c r="B792" s="3" t="s">
        <v>12</v>
      </c>
      <c r="C792" s="3" t="s">
        <v>13</v>
      </c>
      <c r="D792" s="3" t="s">
        <v>24</v>
      </c>
      <c r="E792" s="3" t="s">
        <v>15</v>
      </c>
      <c r="F792" s="3">
        <v>46164</v>
      </c>
      <c r="G792" s="3" t="s">
        <v>16</v>
      </c>
      <c r="H792" s="3" t="s">
        <v>17</v>
      </c>
      <c r="I792" s="3">
        <f>IF(C792="India",1,IF(C792="USA",INDEX('Currency Master'!B:B,MATCH(DATE(N792,MONTH(DATEVALUE(O792&amp;" 1")),1),'Currency Master'!A:A,0)),IF(C792="Australia",INDEX('Currency Master'!T:T,MATCH(DATE(N792,MONTH(DATEVALUE(O792&amp;" 1")),1),'Currency Master'!A:A,0)),"")))</f>
        <v>1</v>
      </c>
      <c r="J792" s="3">
        <f t="shared" si="48"/>
        <v>46164</v>
      </c>
      <c r="K792" s="3" t="str">
        <f t="shared" si="49"/>
        <v>₹/Candy</v>
      </c>
      <c r="L792" s="3">
        <v>1.9973486522315599E-2</v>
      </c>
      <c r="M792" s="3">
        <v>-0.18912038912564699</v>
      </c>
      <c r="N792" s="3">
        <f t="shared" si="50"/>
        <v>2015</v>
      </c>
      <c r="O792" s="3" t="str">
        <f t="shared" si="51"/>
        <v>September</v>
      </c>
      <c r="P792" s="3" t="s">
        <v>25</v>
      </c>
      <c r="Q792" s="3"/>
    </row>
    <row r="793" spans="1:17" hidden="1" x14ac:dyDescent="0.3">
      <c r="A793" s="2">
        <v>42217</v>
      </c>
      <c r="B793" s="3" t="s">
        <v>12</v>
      </c>
      <c r="C793" s="3" t="s">
        <v>13</v>
      </c>
      <c r="D793" s="3" t="s">
        <v>24</v>
      </c>
      <c r="E793" s="3" t="s">
        <v>15</v>
      </c>
      <c r="F793" s="3">
        <v>45260</v>
      </c>
      <c r="G793" s="3" t="s">
        <v>16</v>
      </c>
      <c r="H793" s="3" t="s">
        <v>17</v>
      </c>
      <c r="I793" s="3">
        <f>IF(C793="India",1,IF(C793="USA",INDEX('Currency Master'!B:B,MATCH(DATE(N793,MONTH(DATEVALUE(O793&amp;" 1")),1),'Currency Master'!A:A,0)),IF(C793="Australia",INDEX('Currency Master'!T:T,MATCH(DATE(N793,MONTH(DATEVALUE(O793&amp;" 1")),1),'Currency Master'!A:A,0)),"")))</f>
        <v>1</v>
      </c>
      <c r="J793" s="3">
        <f t="shared" si="48"/>
        <v>45260</v>
      </c>
      <c r="K793" s="3" t="str">
        <f t="shared" si="49"/>
        <v>₹/Candy</v>
      </c>
      <c r="L793" s="3">
        <v>-1.8930635831061599E-2</v>
      </c>
      <c r="M793" s="3">
        <v>-0.22706469021108</v>
      </c>
      <c r="N793" s="3">
        <f t="shared" si="50"/>
        <v>2015</v>
      </c>
      <c r="O793" s="3" t="str">
        <f t="shared" si="51"/>
        <v>August</v>
      </c>
      <c r="P793" s="3" t="s">
        <v>25</v>
      </c>
      <c r="Q793" s="3"/>
    </row>
    <row r="794" spans="1:17" hidden="1" x14ac:dyDescent="0.3">
      <c r="A794" s="2">
        <v>42186</v>
      </c>
      <c r="B794" s="3" t="s">
        <v>12</v>
      </c>
      <c r="C794" s="3" t="s">
        <v>13</v>
      </c>
      <c r="D794" s="3" t="s">
        <v>24</v>
      </c>
      <c r="E794" s="3" t="s">
        <v>15</v>
      </c>
      <c r="F794" s="3">
        <v>46133.333333000002</v>
      </c>
      <c r="G794" s="3" t="s">
        <v>16</v>
      </c>
      <c r="H794" s="3" t="s">
        <v>17</v>
      </c>
      <c r="I794" s="3">
        <f>IF(C794="India",1,IF(C794="USA",INDEX('Currency Master'!B:B,MATCH(DATE(N794,MONTH(DATEVALUE(O794&amp;" 1")),1),'Currency Master'!A:A,0)),IF(C794="Australia",INDEX('Currency Master'!T:T,MATCH(DATE(N794,MONTH(DATEVALUE(O794&amp;" 1")),1),'Currency Master'!A:A,0)),"")))</f>
        <v>1</v>
      </c>
      <c r="J794" s="3">
        <f t="shared" si="48"/>
        <v>46133.333333000002</v>
      </c>
      <c r="K794" s="3" t="str">
        <f t="shared" si="49"/>
        <v>₹/Candy</v>
      </c>
      <c r="L794" s="3">
        <v>-1.7754105625981101E-3</v>
      </c>
      <c r="M794" s="3">
        <v>-0.239142385927648</v>
      </c>
      <c r="N794" s="3">
        <f t="shared" si="50"/>
        <v>2015</v>
      </c>
      <c r="O794" s="3" t="str">
        <f t="shared" si="51"/>
        <v>July</v>
      </c>
      <c r="P794" s="3" t="s">
        <v>25</v>
      </c>
      <c r="Q794" s="3"/>
    </row>
    <row r="795" spans="1:17" hidden="1" x14ac:dyDescent="0.3">
      <c r="A795" s="2">
        <v>42156</v>
      </c>
      <c r="B795" s="3" t="s">
        <v>12</v>
      </c>
      <c r="C795" s="3" t="s">
        <v>13</v>
      </c>
      <c r="D795" s="3" t="s">
        <v>24</v>
      </c>
      <c r="E795" s="3" t="s">
        <v>15</v>
      </c>
      <c r="F795" s="3">
        <v>46215.384615000003</v>
      </c>
      <c r="G795" s="3" t="s">
        <v>16</v>
      </c>
      <c r="H795" s="3" t="s">
        <v>17</v>
      </c>
      <c r="I795" s="3">
        <f>IF(C795="India",1,IF(C795="USA",INDEX('Currency Master'!B:B,MATCH(DATE(N795,MONTH(DATEVALUE(O795&amp;" 1")),1),'Currency Master'!A:A,0)),IF(C795="Australia",INDEX('Currency Master'!T:T,MATCH(DATE(N795,MONTH(DATEVALUE(O795&amp;" 1")),1),'Currency Master'!A:A,0)),"")))</f>
        <v>1</v>
      </c>
      <c r="J795" s="3">
        <f t="shared" si="48"/>
        <v>46215.384615000003</v>
      </c>
      <c r="K795" s="3" t="str">
        <f t="shared" si="49"/>
        <v>₹/Candy</v>
      </c>
      <c r="L795" s="3">
        <v>-9.1890786596345898E-3</v>
      </c>
      <c r="M795" s="3">
        <v>-0.24489600981962001</v>
      </c>
      <c r="N795" s="3">
        <f t="shared" si="50"/>
        <v>2015</v>
      </c>
      <c r="O795" s="3" t="str">
        <f t="shared" si="51"/>
        <v>June</v>
      </c>
      <c r="P795" s="3" t="s">
        <v>25</v>
      </c>
      <c r="Q795" s="3"/>
    </row>
    <row r="796" spans="1:17" hidden="1" x14ac:dyDescent="0.3">
      <c r="A796" s="2">
        <v>42125</v>
      </c>
      <c r="B796" s="3" t="s">
        <v>12</v>
      </c>
      <c r="C796" s="3" t="s">
        <v>13</v>
      </c>
      <c r="D796" s="3" t="s">
        <v>24</v>
      </c>
      <c r="E796" s="3" t="s">
        <v>15</v>
      </c>
      <c r="F796" s="3">
        <v>46644</v>
      </c>
      <c r="G796" s="3" t="s">
        <v>16</v>
      </c>
      <c r="H796" s="3" t="s">
        <v>17</v>
      </c>
      <c r="I796" s="3">
        <f>IF(C796="India",1,IF(C796="USA",INDEX('Currency Master'!B:B,MATCH(DATE(N796,MONTH(DATEVALUE(O796&amp;" 1")),1),'Currency Master'!A:A,0)),IF(C796="Australia",INDEX('Currency Master'!T:T,MATCH(DATE(N796,MONTH(DATEVALUE(O796&amp;" 1")),1),'Currency Master'!A:A,0)),"")))</f>
        <v>1</v>
      </c>
      <c r="J796" s="3">
        <f t="shared" si="48"/>
        <v>46644</v>
      </c>
      <c r="K796" s="3" t="str">
        <f t="shared" si="49"/>
        <v>₹/Candy</v>
      </c>
      <c r="L796" s="3">
        <v>6.8209290278018501E-3</v>
      </c>
      <c r="M796" s="3">
        <v>-0.258759244534081</v>
      </c>
      <c r="N796" s="3">
        <f t="shared" si="50"/>
        <v>2015</v>
      </c>
      <c r="O796" s="3" t="str">
        <f t="shared" si="51"/>
        <v>May</v>
      </c>
      <c r="P796" s="3" t="s">
        <v>25</v>
      </c>
      <c r="Q796" s="3"/>
    </row>
    <row r="797" spans="1:17" hidden="1" x14ac:dyDescent="0.3">
      <c r="A797" s="2">
        <v>42095</v>
      </c>
      <c r="B797" s="3" t="s">
        <v>12</v>
      </c>
      <c r="C797" s="3" t="s">
        <v>13</v>
      </c>
      <c r="D797" s="3" t="s">
        <v>24</v>
      </c>
      <c r="E797" s="3" t="s">
        <v>15</v>
      </c>
      <c r="F797" s="3">
        <v>46328</v>
      </c>
      <c r="G797" s="3" t="s">
        <v>16</v>
      </c>
      <c r="H797" s="3" t="s">
        <v>17</v>
      </c>
      <c r="I797" s="3">
        <f>IF(C797="India",1,IF(C797="USA",INDEX('Currency Master'!B:B,MATCH(DATE(N797,MONTH(DATEVALUE(O797&amp;" 1")),1),'Currency Master'!A:A,0)),IF(C797="Australia",INDEX('Currency Master'!T:T,MATCH(DATE(N797,MONTH(DATEVALUE(O797&amp;" 1")),1),'Currency Master'!A:A,0)),"")))</f>
        <v>1</v>
      </c>
      <c r="J797" s="3">
        <f t="shared" si="48"/>
        <v>46328</v>
      </c>
      <c r="K797" s="3" t="str">
        <f t="shared" si="49"/>
        <v>₹/Candy</v>
      </c>
      <c r="L797" s="3">
        <v>3.2600085735384497E-2</v>
      </c>
      <c r="M797" s="3">
        <v>-0.25350707579954301</v>
      </c>
      <c r="N797" s="3">
        <f t="shared" si="50"/>
        <v>2015</v>
      </c>
      <c r="O797" s="3" t="str">
        <f t="shared" si="51"/>
        <v>April</v>
      </c>
      <c r="P797" s="3" t="s">
        <v>25</v>
      </c>
      <c r="Q797" s="3"/>
    </row>
    <row r="798" spans="1:17" hidden="1" x14ac:dyDescent="0.3">
      <c r="A798" s="2">
        <v>42064</v>
      </c>
      <c r="B798" s="3" t="s">
        <v>12</v>
      </c>
      <c r="C798" s="3" t="s">
        <v>13</v>
      </c>
      <c r="D798" s="3" t="s">
        <v>24</v>
      </c>
      <c r="E798" s="3" t="s">
        <v>15</v>
      </c>
      <c r="F798" s="3">
        <v>44865.384615000003</v>
      </c>
      <c r="G798" s="3" t="s">
        <v>16</v>
      </c>
      <c r="H798" s="3" t="s">
        <v>17</v>
      </c>
      <c r="I798" s="3">
        <f>IF(C798="India",1,IF(C798="USA",INDEX('Currency Master'!B:B,MATCH(DATE(N798,MONTH(DATEVALUE(O798&amp;" 1")),1),'Currency Master'!A:A,0)),IF(C798="Australia",INDEX('Currency Master'!T:T,MATCH(DATE(N798,MONTH(DATEVALUE(O798&amp;" 1")),1),'Currency Master'!A:A,0)),"")))</f>
        <v>1</v>
      </c>
      <c r="J798" s="3">
        <f t="shared" si="48"/>
        <v>44865.384615000003</v>
      </c>
      <c r="K798" s="3" t="str">
        <f t="shared" si="49"/>
        <v>₹/Candy</v>
      </c>
      <c r="L798" s="3">
        <v>1.2857897439660501E-2</v>
      </c>
      <c r="M798" s="3">
        <v>-0.29388619854814002</v>
      </c>
      <c r="N798" s="3">
        <f t="shared" si="50"/>
        <v>2015</v>
      </c>
      <c r="O798" s="3" t="str">
        <f t="shared" si="51"/>
        <v>March</v>
      </c>
      <c r="P798" s="3" t="s">
        <v>25</v>
      </c>
      <c r="Q798" s="3"/>
    </row>
    <row r="799" spans="1:17" hidden="1" x14ac:dyDescent="0.3">
      <c r="A799" s="2">
        <v>42036</v>
      </c>
      <c r="B799" s="3" t="s">
        <v>12</v>
      </c>
      <c r="C799" s="3" t="s">
        <v>13</v>
      </c>
      <c r="D799" s="3" t="s">
        <v>24</v>
      </c>
      <c r="E799" s="3" t="s">
        <v>15</v>
      </c>
      <c r="F799" s="3">
        <v>44295.833333000002</v>
      </c>
      <c r="G799" s="3" t="s">
        <v>16</v>
      </c>
      <c r="H799" s="3" t="s">
        <v>17</v>
      </c>
      <c r="I799" s="3">
        <f>IF(C799="India",1,IF(C799="USA",INDEX('Currency Master'!B:B,MATCH(DATE(N799,MONTH(DATEVALUE(O799&amp;" 1")),1),'Currency Master'!A:A,0)),IF(C799="Australia",INDEX('Currency Master'!T:T,MATCH(DATE(N799,MONTH(DATEVALUE(O799&amp;" 1")),1),'Currency Master'!A:A,0)),"")))</f>
        <v>1</v>
      </c>
      <c r="J799" s="3">
        <f t="shared" si="48"/>
        <v>44295.833333000002</v>
      </c>
      <c r="K799" s="3" t="str">
        <f t="shared" si="49"/>
        <v>₹/Candy</v>
      </c>
      <c r="L799" s="3">
        <v>-4.0052155578190099E-2</v>
      </c>
      <c r="M799" s="3">
        <v>-0.33310331848859198</v>
      </c>
      <c r="N799" s="3">
        <f t="shared" si="50"/>
        <v>2015</v>
      </c>
      <c r="O799" s="3" t="str">
        <f t="shared" si="51"/>
        <v>February</v>
      </c>
      <c r="P799" s="3" t="s">
        <v>25</v>
      </c>
      <c r="Q799" s="3"/>
    </row>
    <row r="800" spans="1:17" hidden="1" x14ac:dyDescent="0.3">
      <c r="A800" s="2">
        <v>42005</v>
      </c>
      <c r="B800" s="3" t="s">
        <v>12</v>
      </c>
      <c r="C800" s="3" t="s">
        <v>13</v>
      </c>
      <c r="D800" s="3" t="s">
        <v>24</v>
      </c>
      <c r="E800" s="3" t="s">
        <v>15</v>
      </c>
      <c r="F800" s="3">
        <v>46144</v>
      </c>
      <c r="G800" s="3" t="s">
        <v>16</v>
      </c>
      <c r="H800" s="3" t="s">
        <v>17</v>
      </c>
      <c r="I800" s="3">
        <f>IF(C800="India",1,IF(C800="USA",INDEX('Currency Master'!B:B,MATCH(DATE(N800,MONTH(DATEVALUE(O800&amp;" 1")),1),'Currency Master'!A:A,0)),IF(C800="Australia",INDEX('Currency Master'!T:T,MATCH(DATE(N800,MONTH(DATEVALUE(O800&amp;" 1")),1),'Currency Master'!A:A,0)),"")))</f>
        <v>1</v>
      </c>
      <c r="J800" s="3">
        <f t="shared" si="48"/>
        <v>46144</v>
      </c>
      <c r="K800" s="3" t="str">
        <f t="shared" si="49"/>
        <v>₹/Candy</v>
      </c>
      <c r="L800" s="3">
        <v>4.97905847717339E-3</v>
      </c>
      <c r="M800" s="3">
        <v>-0.31116495377604297</v>
      </c>
      <c r="N800" s="3">
        <f t="shared" si="50"/>
        <v>2015</v>
      </c>
      <c r="O800" s="3" t="str">
        <f t="shared" si="51"/>
        <v>January</v>
      </c>
      <c r="P800" s="3" t="s">
        <v>25</v>
      </c>
      <c r="Q800" s="3"/>
    </row>
    <row r="801" spans="1:17" hidden="1" x14ac:dyDescent="0.3">
      <c r="A801" s="2">
        <v>41974</v>
      </c>
      <c r="B801" s="3" t="s">
        <v>12</v>
      </c>
      <c r="C801" s="3" t="s">
        <v>13</v>
      </c>
      <c r="D801" s="3" t="s">
        <v>24</v>
      </c>
      <c r="E801" s="3" t="s">
        <v>15</v>
      </c>
      <c r="F801" s="3">
        <v>45915.384615000003</v>
      </c>
      <c r="G801" s="3" t="s">
        <v>16</v>
      </c>
      <c r="H801" s="3" t="s">
        <v>17</v>
      </c>
      <c r="I801" s="3">
        <f>IF(C801="India",1,IF(C801="USA",INDEX('Currency Master'!B:B,MATCH(DATE(N801,MONTH(DATEVALUE(O801&amp;" 1")),1),'Currency Master'!A:A,0)),IF(C801="Australia",INDEX('Currency Master'!T:T,MATCH(DATE(N801,MONTH(DATEVALUE(O801&amp;" 1")),1),'Currency Master'!A:A,0)),"")))</f>
        <v>1</v>
      </c>
      <c r="J801" s="3">
        <f t="shared" si="48"/>
        <v>45915.384615000003</v>
      </c>
      <c r="K801" s="3" t="str">
        <f t="shared" si="49"/>
        <v>₹/Candy</v>
      </c>
      <c r="L801" s="3">
        <v>3.89976605494207E-2</v>
      </c>
      <c r="M801" s="3"/>
      <c r="N801" s="3">
        <f t="shared" si="50"/>
        <v>2014</v>
      </c>
      <c r="O801" s="3" t="str">
        <f t="shared" si="51"/>
        <v>December</v>
      </c>
      <c r="P801" s="3" t="s">
        <v>25</v>
      </c>
      <c r="Q801" s="3"/>
    </row>
    <row r="802" spans="1:17" hidden="1" x14ac:dyDescent="0.3">
      <c r="A802" s="2">
        <v>41944</v>
      </c>
      <c r="B802" s="3" t="s">
        <v>12</v>
      </c>
      <c r="C802" s="3" t="s">
        <v>13</v>
      </c>
      <c r="D802" s="3" t="s">
        <v>24</v>
      </c>
      <c r="E802" s="3" t="s">
        <v>15</v>
      </c>
      <c r="F802" s="3">
        <v>44192</v>
      </c>
      <c r="G802" s="3" t="s">
        <v>16</v>
      </c>
      <c r="H802" s="3" t="s">
        <v>17</v>
      </c>
      <c r="I802" s="3">
        <f>IF(C802="India",1,IF(C802="USA",INDEX('Currency Master'!B:B,MATCH(DATE(N802,MONTH(DATEVALUE(O802&amp;" 1")),1),'Currency Master'!A:A,0)),IF(C802="Australia",INDEX('Currency Master'!T:T,MATCH(DATE(N802,MONTH(DATEVALUE(O802&amp;" 1")),1),'Currency Master'!A:A,0)),"")))</f>
        <v>1</v>
      </c>
      <c r="J802" s="3">
        <f t="shared" si="48"/>
        <v>44192</v>
      </c>
      <c r="K802" s="3" t="str">
        <f t="shared" si="49"/>
        <v>₹/Candy</v>
      </c>
      <c r="L802" s="3">
        <v>-7.12844653665098E-2</v>
      </c>
      <c r="M802" s="3"/>
      <c r="N802" s="3">
        <f t="shared" si="50"/>
        <v>2014</v>
      </c>
      <c r="O802" s="3" t="str">
        <f t="shared" si="51"/>
        <v>November</v>
      </c>
      <c r="P802" s="3" t="s">
        <v>25</v>
      </c>
      <c r="Q802" s="3"/>
    </row>
    <row r="803" spans="1:17" hidden="1" x14ac:dyDescent="0.3">
      <c r="A803" s="2">
        <v>41913</v>
      </c>
      <c r="B803" s="3" t="s">
        <v>12</v>
      </c>
      <c r="C803" s="3" t="s">
        <v>13</v>
      </c>
      <c r="D803" s="3" t="s">
        <v>24</v>
      </c>
      <c r="E803" s="3" t="s">
        <v>15</v>
      </c>
      <c r="F803" s="3">
        <v>47584</v>
      </c>
      <c r="G803" s="3" t="s">
        <v>16</v>
      </c>
      <c r="H803" s="3" t="s">
        <v>17</v>
      </c>
      <c r="I803" s="3">
        <f>IF(C803="India",1,IF(C803="USA",INDEX('Currency Master'!B:B,MATCH(DATE(N803,MONTH(DATEVALUE(O803&amp;" 1")),1),'Currency Master'!A:A,0)),IF(C803="Australia",INDEX('Currency Master'!T:T,MATCH(DATE(N803,MONTH(DATEVALUE(O803&amp;" 1")),1),'Currency Master'!A:A,0)),"")))</f>
        <v>1</v>
      </c>
      <c r="J803" s="3">
        <f t="shared" si="48"/>
        <v>47584</v>
      </c>
      <c r="K803" s="3" t="str">
        <f t="shared" si="49"/>
        <v>₹/Candy</v>
      </c>
      <c r="L803" s="3">
        <v>-0.16417781379765101</v>
      </c>
      <c r="M803" s="3"/>
      <c r="N803" s="3">
        <f t="shared" si="50"/>
        <v>2014</v>
      </c>
      <c r="O803" s="3" t="str">
        <f t="shared" si="51"/>
        <v>October</v>
      </c>
      <c r="P803" s="3" t="s">
        <v>25</v>
      </c>
      <c r="Q803" s="3"/>
    </row>
    <row r="804" spans="1:17" hidden="1" x14ac:dyDescent="0.3">
      <c r="A804" s="2">
        <v>41883</v>
      </c>
      <c r="B804" s="3" t="s">
        <v>12</v>
      </c>
      <c r="C804" s="3" t="s">
        <v>13</v>
      </c>
      <c r="D804" s="3" t="s">
        <v>24</v>
      </c>
      <c r="E804" s="3" t="s">
        <v>15</v>
      </c>
      <c r="F804" s="3">
        <v>56930.769229999998</v>
      </c>
      <c r="G804" s="3" t="s">
        <v>16</v>
      </c>
      <c r="H804" s="3" t="s">
        <v>17</v>
      </c>
      <c r="I804" s="3">
        <f>IF(C804="India",1,IF(C804="USA",INDEX('Currency Master'!B:B,MATCH(DATE(N804,MONTH(DATEVALUE(O804&amp;" 1")),1),'Currency Master'!A:A,0)),IF(C804="Australia",INDEX('Currency Master'!T:T,MATCH(DATE(N804,MONTH(DATEVALUE(O804&amp;" 1")),1),'Currency Master'!A:A,0)),"")))</f>
        <v>1</v>
      </c>
      <c r="J804" s="3">
        <f t="shared" si="48"/>
        <v>56930.769229999998</v>
      </c>
      <c r="K804" s="3" t="str">
        <f t="shared" si="49"/>
        <v>₹/Candy</v>
      </c>
      <c r="L804" s="3">
        <v>-2.7755153528246399E-2</v>
      </c>
      <c r="M804" s="3"/>
      <c r="N804" s="3">
        <f t="shared" si="50"/>
        <v>2014</v>
      </c>
      <c r="O804" s="3" t="str">
        <f t="shared" si="51"/>
        <v>September</v>
      </c>
      <c r="P804" s="3" t="s">
        <v>25</v>
      </c>
      <c r="Q804" s="3"/>
    </row>
    <row r="805" spans="1:17" hidden="1" x14ac:dyDescent="0.3">
      <c r="A805" s="2">
        <v>41852</v>
      </c>
      <c r="B805" s="3" t="s">
        <v>12</v>
      </c>
      <c r="C805" s="3" t="s">
        <v>13</v>
      </c>
      <c r="D805" s="3" t="s">
        <v>24</v>
      </c>
      <c r="E805" s="3" t="s">
        <v>15</v>
      </c>
      <c r="F805" s="3">
        <v>58556</v>
      </c>
      <c r="G805" s="3" t="s">
        <v>16</v>
      </c>
      <c r="H805" s="3" t="s">
        <v>17</v>
      </c>
      <c r="I805" s="3">
        <f>IF(C805="India",1,IF(C805="USA",INDEX('Currency Master'!B:B,MATCH(DATE(N805,MONTH(DATEVALUE(O805&amp;" 1")),1),'Currency Master'!A:A,0)),IF(C805="Australia",INDEX('Currency Master'!T:T,MATCH(DATE(N805,MONTH(DATEVALUE(O805&amp;" 1")),1),'Currency Master'!A:A,0)),"")))</f>
        <v>1</v>
      </c>
      <c r="J805" s="3">
        <f t="shared" si="48"/>
        <v>58556</v>
      </c>
      <c r="K805" s="3" t="str">
        <f t="shared" si="49"/>
        <v>₹/Candy</v>
      </c>
      <c r="L805" s="3">
        <v>-3.42605827324588E-2</v>
      </c>
      <c r="M805" s="3"/>
      <c r="N805" s="3">
        <f t="shared" si="50"/>
        <v>2014</v>
      </c>
      <c r="O805" s="3" t="str">
        <f t="shared" si="51"/>
        <v>August</v>
      </c>
      <c r="P805" s="3" t="s">
        <v>25</v>
      </c>
      <c r="Q805" s="3"/>
    </row>
    <row r="806" spans="1:17" hidden="1" x14ac:dyDescent="0.3">
      <c r="A806" s="2">
        <v>41821</v>
      </c>
      <c r="B806" s="3" t="s">
        <v>12</v>
      </c>
      <c r="C806" s="3" t="s">
        <v>13</v>
      </c>
      <c r="D806" s="3" t="s">
        <v>24</v>
      </c>
      <c r="E806" s="3" t="s">
        <v>15</v>
      </c>
      <c r="F806" s="3">
        <v>60633.333333000002</v>
      </c>
      <c r="G806" s="3" t="s">
        <v>16</v>
      </c>
      <c r="H806" s="3" t="s">
        <v>17</v>
      </c>
      <c r="I806" s="3">
        <f>IF(C806="India",1,IF(C806="USA",INDEX('Currency Master'!B:B,MATCH(DATE(N806,MONTH(DATEVALUE(O806&amp;" 1")),1),'Currency Master'!A:A,0)),IF(C806="Australia",INDEX('Currency Master'!T:T,MATCH(DATE(N806,MONTH(DATEVALUE(O806&amp;" 1")),1),'Currency Master'!A:A,0)),"")))</f>
        <v>1</v>
      </c>
      <c r="J806" s="3">
        <f t="shared" si="48"/>
        <v>60633.333333000002</v>
      </c>
      <c r="K806" s="3" t="str">
        <f t="shared" si="49"/>
        <v>₹/Candy</v>
      </c>
      <c r="L806" s="3">
        <v>-9.3240093294556497E-3</v>
      </c>
      <c r="M806" s="3"/>
      <c r="N806" s="3">
        <f t="shared" si="50"/>
        <v>2014</v>
      </c>
      <c r="O806" s="3" t="str">
        <f t="shared" si="51"/>
        <v>July</v>
      </c>
      <c r="P806" s="3" t="s">
        <v>25</v>
      </c>
      <c r="Q806" s="3"/>
    </row>
    <row r="807" spans="1:17" hidden="1" x14ac:dyDescent="0.3">
      <c r="A807" s="2">
        <v>41791</v>
      </c>
      <c r="B807" s="3" t="s">
        <v>12</v>
      </c>
      <c r="C807" s="3" t="s">
        <v>13</v>
      </c>
      <c r="D807" s="3" t="s">
        <v>24</v>
      </c>
      <c r="E807" s="3" t="s">
        <v>15</v>
      </c>
      <c r="F807" s="3">
        <v>61204</v>
      </c>
      <c r="G807" s="3" t="s">
        <v>16</v>
      </c>
      <c r="H807" s="3" t="s">
        <v>17</v>
      </c>
      <c r="I807" s="3">
        <f>IF(C807="India",1,IF(C807="USA",INDEX('Currency Master'!B:B,MATCH(DATE(N807,MONTH(DATEVALUE(O807&amp;" 1")),1),'Currency Master'!A:A,0)),IF(C807="Australia",INDEX('Currency Master'!T:T,MATCH(DATE(N807,MONTH(DATEVALUE(O807&amp;" 1")),1),'Currency Master'!A:A,0)),"")))</f>
        <v>1</v>
      </c>
      <c r="J807" s="3">
        <f t="shared" si="48"/>
        <v>61204</v>
      </c>
      <c r="K807" s="3" t="str">
        <f t="shared" si="49"/>
        <v>₹/Candy</v>
      </c>
      <c r="L807" s="3">
        <v>-2.7379744500126601E-2</v>
      </c>
      <c r="M807" s="3"/>
      <c r="N807" s="3">
        <f t="shared" si="50"/>
        <v>2014</v>
      </c>
      <c r="O807" s="3" t="str">
        <f t="shared" si="51"/>
        <v>June</v>
      </c>
      <c r="P807" s="3" t="s">
        <v>25</v>
      </c>
      <c r="Q807" s="3"/>
    </row>
    <row r="808" spans="1:17" hidden="1" x14ac:dyDescent="0.3">
      <c r="A808" s="2">
        <v>41760</v>
      </c>
      <c r="B808" s="3" t="s">
        <v>12</v>
      </c>
      <c r="C808" s="3" t="s">
        <v>13</v>
      </c>
      <c r="D808" s="3" t="s">
        <v>24</v>
      </c>
      <c r="E808" s="3" t="s">
        <v>15</v>
      </c>
      <c r="F808" s="3">
        <v>62926.923075999999</v>
      </c>
      <c r="G808" s="3" t="s">
        <v>16</v>
      </c>
      <c r="H808" s="3" t="s">
        <v>17</v>
      </c>
      <c r="I808" s="3">
        <f>IF(C808="India",1,IF(C808="USA",INDEX('Currency Master'!B:B,MATCH(DATE(N808,MONTH(DATEVALUE(O808&amp;" 1")),1),'Currency Master'!A:A,0)),IF(C808="Australia",INDEX('Currency Master'!T:T,MATCH(DATE(N808,MONTH(DATEVALUE(O808&amp;" 1")),1),'Currency Master'!A:A,0)),"")))</f>
        <v>1</v>
      </c>
      <c r="J808" s="3">
        <f t="shared" si="48"/>
        <v>62926.923075999999</v>
      </c>
      <c r="K808" s="3" t="str">
        <f t="shared" si="49"/>
        <v>₹/Candy</v>
      </c>
      <c r="L808" s="3">
        <v>1.39549045488789E-2</v>
      </c>
      <c r="M808" s="3"/>
      <c r="N808" s="3">
        <f t="shared" si="50"/>
        <v>2014</v>
      </c>
      <c r="O808" s="3" t="str">
        <f t="shared" si="51"/>
        <v>May</v>
      </c>
      <c r="P808" s="3" t="s">
        <v>25</v>
      </c>
      <c r="Q808" s="3"/>
    </row>
    <row r="809" spans="1:17" hidden="1" x14ac:dyDescent="0.3">
      <c r="A809" s="2">
        <v>41730</v>
      </c>
      <c r="B809" s="3" t="s">
        <v>12</v>
      </c>
      <c r="C809" s="3" t="s">
        <v>13</v>
      </c>
      <c r="D809" s="3" t="s">
        <v>24</v>
      </c>
      <c r="E809" s="3" t="s">
        <v>15</v>
      </c>
      <c r="F809" s="3">
        <v>62060.869565000001</v>
      </c>
      <c r="G809" s="3" t="s">
        <v>16</v>
      </c>
      <c r="H809" s="3" t="s">
        <v>17</v>
      </c>
      <c r="I809" s="3">
        <f>IF(C809="India",1,IF(C809="USA",INDEX('Currency Master'!B:B,MATCH(DATE(N809,MONTH(DATEVALUE(O809&amp;" 1")),1),'Currency Master'!A:A,0)),IF(C809="Australia",INDEX('Currency Master'!T:T,MATCH(DATE(N809,MONTH(DATEVALUE(O809&amp;" 1")),1),'Currency Master'!A:A,0)),"")))</f>
        <v>1</v>
      </c>
      <c r="J809" s="3">
        <f t="shared" si="48"/>
        <v>62060.869565000001</v>
      </c>
      <c r="K809" s="3" t="str">
        <f t="shared" si="49"/>
        <v>₹/Candy</v>
      </c>
      <c r="L809" s="3">
        <v>-2.32550794783771E-2</v>
      </c>
      <c r="M809" s="3"/>
      <c r="N809" s="3">
        <f t="shared" si="50"/>
        <v>2014</v>
      </c>
      <c r="O809" s="3" t="str">
        <f t="shared" si="51"/>
        <v>April</v>
      </c>
      <c r="P809" s="3" t="s">
        <v>25</v>
      </c>
      <c r="Q809" s="3"/>
    </row>
    <row r="810" spans="1:17" hidden="1" x14ac:dyDescent="0.3">
      <c r="A810" s="2">
        <v>41699</v>
      </c>
      <c r="B810" s="3" t="s">
        <v>12</v>
      </c>
      <c r="C810" s="3" t="s">
        <v>13</v>
      </c>
      <c r="D810" s="3" t="s">
        <v>24</v>
      </c>
      <c r="E810" s="3" t="s">
        <v>15</v>
      </c>
      <c r="F810" s="3">
        <v>63538.461538000003</v>
      </c>
      <c r="G810" s="3" t="s">
        <v>16</v>
      </c>
      <c r="H810" s="3" t="s">
        <v>17</v>
      </c>
      <c r="I810" s="3">
        <f>IF(C810="India",1,IF(C810="USA",INDEX('Currency Master'!B:B,MATCH(DATE(N810,MONTH(DATEVALUE(O810&amp;" 1")),1),'Currency Master'!A:A,0)),IF(C810="Australia",INDEX('Currency Master'!T:T,MATCH(DATE(N810,MONTH(DATEVALUE(O810&amp;" 1")),1),'Currency Master'!A:A,0)),"")))</f>
        <v>1</v>
      </c>
      <c r="J810" s="3">
        <f t="shared" si="48"/>
        <v>63538.461538000003</v>
      </c>
      <c r="K810" s="3" t="str">
        <f t="shared" si="49"/>
        <v>₹/Candy</v>
      </c>
      <c r="L810" s="3">
        <v>-4.3395598193555797E-2</v>
      </c>
      <c r="M810" s="3"/>
      <c r="N810" s="3">
        <f t="shared" si="50"/>
        <v>2014</v>
      </c>
      <c r="O810" s="3" t="str">
        <f t="shared" si="51"/>
        <v>March</v>
      </c>
      <c r="P810" s="3" t="s">
        <v>25</v>
      </c>
      <c r="Q810" s="3"/>
    </row>
    <row r="811" spans="1:17" hidden="1" x14ac:dyDescent="0.3">
      <c r="A811" s="2">
        <v>41671</v>
      </c>
      <c r="B811" s="3" t="s">
        <v>12</v>
      </c>
      <c r="C811" s="3" t="s">
        <v>13</v>
      </c>
      <c r="D811" s="3" t="s">
        <v>24</v>
      </c>
      <c r="E811" s="3" t="s">
        <v>15</v>
      </c>
      <c r="F811" s="3">
        <v>66420.833333000002</v>
      </c>
      <c r="G811" s="3" t="s">
        <v>16</v>
      </c>
      <c r="H811" s="3" t="s">
        <v>17</v>
      </c>
      <c r="I811" s="3">
        <f>IF(C811="India",1,IF(C811="USA",INDEX('Currency Master'!B:B,MATCH(DATE(N811,MONTH(DATEVALUE(O811&amp;" 1")),1),'Currency Master'!A:A,0)),IF(C811="Australia",INDEX('Currency Master'!T:T,MATCH(DATE(N811,MONTH(DATEVALUE(O811&amp;" 1")),1),'Currency Master'!A:A,0)),"")))</f>
        <v>1</v>
      </c>
      <c r="J811" s="3">
        <f t="shared" si="48"/>
        <v>66420.833333000002</v>
      </c>
      <c r="K811" s="3" t="str">
        <f t="shared" si="49"/>
        <v>₹/Candy</v>
      </c>
      <c r="L811" s="3">
        <v>-8.4735220360000509E-3</v>
      </c>
      <c r="M811" s="3"/>
      <c r="N811" s="3">
        <f t="shared" si="50"/>
        <v>2014</v>
      </c>
      <c r="O811" s="3" t="str">
        <f t="shared" si="51"/>
        <v>February</v>
      </c>
      <c r="P811" s="3" t="s">
        <v>25</v>
      </c>
      <c r="Q811" s="3"/>
    </row>
    <row r="812" spans="1:17" hidden="1" x14ac:dyDescent="0.3">
      <c r="A812" s="2">
        <v>41640</v>
      </c>
      <c r="B812" s="3" t="s">
        <v>12</v>
      </c>
      <c r="C812" s="3" t="s">
        <v>13</v>
      </c>
      <c r="D812" s="3" t="s">
        <v>24</v>
      </c>
      <c r="E812" s="3" t="s">
        <v>15</v>
      </c>
      <c r="F812" s="3">
        <v>66988.461538000003</v>
      </c>
      <c r="G812" s="3" t="s">
        <v>16</v>
      </c>
      <c r="H812" s="3" t="s">
        <v>17</v>
      </c>
      <c r="I812" s="3">
        <f>IF(C812="India",1,IF(C812="USA",INDEX('Currency Master'!B:B,MATCH(DATE(N812,MONTH(DATEVALUE(O812&amp;" 1")),1),'Currency Master'!A:A,0)),IF(C812="Australia",INDEX('Currency Master'!T:T,MATCH(DATE(N812,MONTH(DATEVALUE(O812&amp;" 1")),1),'Currency Master'!A:A,0)),"")))</f>
        <v>1</v>
      </c>
      <c r="J812" s="3">
        <f t="shared" si="48"/>
        <v>66988.461538000003</v>
      </c>
      <c r="K812" s="3" t="str">
        <f t="shared" si="49"/>
        <v>₹/Candy</v>
      </c>
      <c r="L812" s="3">
        <v>6.5259938841005602E-2</v>
      </c>
      <c r="M812" s="3"/>
      <c r="N812" s="3">
        <f t="shared" si="50"/>
        <v>2014</v>
      </c>
      <c r="O812" s="3" t="str">
        <f t="shared" si="51"/>
        <v>January</v>
      </c>
      <c r="P812" s="3" t="s">
        <v>25</v>
      </c>
      <c r="Q812" s="3"/>
    </row>
    <row r="813" spans="1:17" hidden="1" x14ac:dyDescent="0.3">
      <c r="A813" s="2">
        <v>41609</v>
      </c>
      <c r="B813" s="3" t="s">
        <v>12</v>
      </c>
      <c r="C813" s="3" t="s">
        <v>13</v>
      </c>
      <c r="D813" s="3" t="s">
        <v>24</v>
      </c>
      <c r="E813" s="3" t="s">
        <v>15</v>
      </c>
      <c r="F813" s="3">
        <v>62884.615383999997</v>
      </c>
      <c r="G813" s="3" t="s">
        <v>16</v>
      </c>
      <c r="H813" s="3" t="s">
        <v>17</v>
      </c>
      <c r="I813" s="3">
        <f>IF(C813="India",1,IF(C813="USA",INDEX('Currency Master'!B:B,MATCH(DATE(N813,MONTH(DATEVALUE(O813&amp;" 1")),1),'Currency Master'!A:A,0)),IF(C813="Australia",INDEX('Currency Master'!T:T,MATCH(DATE(N813,MONTH(DATEVALUE(O813&amp;" 1")),1),'Currency Master'!A:A,0)),"")))</f>
        <v>1</v>
      </c>
      <c r="J813" s="3">
        <f t="shared" si="48"/>
        <v>62884.615383999997</v>
      </c>
      <c r="K813" s="3" t="str">
        <f t="shared" si="49"/>
        <v>₹/Candy</v>
      </c>
      <c r="L813" s="3">
        <v>0.102346278309337</v>
      </c>
      <c r="M813" s="3"/>
      <c r="N813" s="3">
        <f t="shared" si="50"/>
        <v>2013</v>
      </c>
      <c r="O813" s="3" t="str">
        <f t="shared" si="51"/>
        <v>December</v>
      </c>
      <c r="P813" s="3" t="s">
        <v>25</v>
      </c>
      <c r="Q813" s="3"/>
    </row>
    <row r="814" spans="1:17" hidden="1" x14ac:dyDescent="0.3">
      <c r="A814" s="2">
        <v>41579</v>
      </c>
      <c r="B814" s="3" t="s">
        <v>12</v>
      </c>
      <c r="C814" s="3" t="s">
        <v>13</v>
      </c>
      <c r="D814" s="3" t="s">
        <v>24</v>
      </c>
      <c r="E814" s="3" t="s">
        <v>15</v>
      </c>
      <c r="F814" s="3">
        <v>57046.153846000001</v>
      </c>
      <c r="G814" s="3" t="s">
        <v>16</v>
      </c>
      <c r="H814" s="3" t="s">
        <v>17</v>
      </c>
      <c r="I814" s="3">
        <f>IF(C814="India",1,IF(C814="USA",INDEX('Currency Master'!B:B,MATCH(DATE(N814,MONTH(DATEVALUE(O814&amp;" 1")),1),'Currency Master'!A:A,0)),IF(C814="Australia",INDEX('Currency Master'!T:T,MATCH(DATE(N814,MONTH(DATEVALUE(O814&amp;" 1")),1),'Currency Master'!A:A,0)),"")))</f>
        <v>1</v>
      </c>
      <c r="J814" s="3">
        <f t="shared" si="48"/>
        <v>57046.153846000001</v>
      </c>
      <c r="K814" s="3" t="str">
        <f t="shared" si="49"/>
        <v>₹/Candy</v>
      </c>
      <c r="L814" s="3">
        <v>0</v>
      </c>
      <c r="M814" s="3"/>
      <c r="N814" s="3">
        <f t="shared" si="50"/>
        <v>2013</v>
      </c>
      <c r="O814" s="3" t="str">
        <f t="shared" si="51"/>
        <v>November</v>
      </c>
      <c r="P814" s="3" t="s">
        <v>25</v>
      </c>
      <c r="Q814" s="3"/>
    </row>
    <row r="815" spans="1:17" x14ac:dyDescent="0.3">
      <c r="A815" s="2">
        <v>46054</v>
      </c>
      <c r="B815" s="3" t="s">
        <v>12</v>
      </c>
      <c r="C815" s="3" t="s">
        <v>19</v>
      </c>
      <c r="D815" s="3" t="s">
        <v>26</v>
      </c>
      <c r="E815" s="3" t="s">
        <v>27</v>
      </c>
      <c r="F815" s="3">
        <v>62.57</v>
      </c>
      <c r="G815" s="3" t="s">
        <v>28</v>
      </c>
      <c r="H815" s="3" t="s">
        <v>29</v>
      </c>
      <c r="I815" s="3">
        <f>IF(C815="India",1,IF(C815="USA",INDEX('Currency Master'!B:B,MATCH(DATE(N815,MONTH(DATEVALUE(O815&amp;" 1")),1),'Currency Master'!A:A,0)),IF(C815="Australia",INDEX('Currency Master'!T:T,MATCH(DATE(N815,MONTH(DATEVALUE(O815&amp;" 1")),1),'Currency Master'!A:A,0)),"")))</f>
        <v>91.66</v>
      </c>
      <c r="J815" s="3">
        <f t="shared" si="48"/>
        <v>45012</v>
      </c>
      <c r="K815" s="3" t="str">
        <f t="shared" si="49"/>
        <v>₹/Candy</v>
      </c>
      <c r="L815" s="3">
        <v>-2.7812305779987601E-2</v>
      </c>
      <c r="M815" s="3"/>
      <c r="N815" s="3">
        <f t="shared" si="50"/>
        <v>2026</v>
      </c>
      <c r="O815" s="3" t="str">
        <f t="shared" si="51"/>
        <v>February</v>
      </c>
      <c r="P815" s="3" t="s">
        <v>30</v>
      </c>
      <c r="Q815" s="3"/>
    </row>
    <row r="816" spans="1:17" x14ac:dyDescent="0.3">
      <c r="A816" s="2">
        <v>46023</v>
      </c>
      <c r="B816" s="3" t="s">
        <v>12</v>
      </c>
      <c r="C816" s="3" t="s">
        <v>19</v>
      </c>
      <c r="D816" s="3" t="s">
        <v>26</v>
      </c>
      <c r="E816" s="3" t="s">
        <v>27</v>
      </c>
      <c r="F816" s="3">
        <v>64.36</v>
      </c>
      <c r="G816" s="3" t="s">
        <v>28</v>
      </c>
      <c r="H816" s="3" t="s">
        <v>29</v>
      </c>
      <c r="I816" s="3">
        <f>IF(C816="India",1,IF(C816="USA",INDEX('Currency Master'!B:B,MATCH(DATE(N816,MONTH(DATEVALUE(O816&amp;" 1")),1),'Currency Master'!A:A,0)),IF(C816="Australia",INDEX('Currency Master'!T:T,MATCH(DATE(N816,MONTH(DATEVALUE(O816&amp;" 1")),1),'Currency Master'!A:A,0)),"")))</f>
        <v>89.96</v>
      </c>
      <c r="J816" s="3">
        <f t="shared" si="48"/>
        <v>45441</v>
      </c>
      <c r="K816" s="3" t="str">
        <f t="shared" si="49"/>
        <v>₹/Candy</v>
      </c>
      <c r="L816" s="3">
        <v>1.8838056039259098E-2</v>
      </c>
      <c r="M816" s="3"/>
      <c r="N816" s="3">
        <f t="shared" si="50"/>
        <v>2026</v>
      </c>
      <c r="O816" s="3" t="str">
        <f t="shared" si="51"/>
        <v>January</v>
      </c>
      <c r="P816" s="3" t="s">
        <v>30</v>
      </c>
      <c r="Q816" s="3"/>
    </row>
    <row r="817" spans="1:17" hidden="1" x14ac:dyDescent="0.3">
      <c r="A817" s="2">
        <v>45992</v>
      </c>
      <c r="B817" s="3" t="s">
        <v>12</v>
      </c>
      <c r="C817" s="3" t="s">
        <v>19</v>
      </c>
      <c r="D817" s="3" t="s">
        <v>26</v>
      </c>
      <c r="E817" s="3" t="s">
        <v>27</v>
      </c>
      <c r="F817" s="3">
        <v>63.17</v>
      </c>
      <c r="G817" s="3" t="s">
        <v>28</v>
      </c>
      <c r="H817" s="3" t="s">
        <v>29</v>
      </c>
      <c r="I817" s="3">
        <f>IF(C817="India",1,IF(C817="USA",INDEX('Currency Master'!B:B,MATCH(DATE(N817,MONTH(DATEVALUE(O817&amp;" 1")),1),'Currency Master'!A:A,0)),IF(C817="Australia",INDEX('Currency Master'!T:T,MATCH(DATE(N817,MONTH(DATEVALUE(O817&amp;" 1")),1),'Currency Master'!A:A,0)),"")))</f>
        <v>90.07</v>
      </c>
      <c r="J817" s="3">
        <f t="shared" si="48"/>
        <v>44656</v>
      </c>
      <c r="K817" s="3" t="str">
        <f t="shared" si="49"/>
        <v>₹/Candy</v>
      </c>
      <c r="L817" s="3">
        <v>-3.6895868272602599E-2</v>
      </c>
      <c r="M817" s="3"/>
      <c r="N817" s="3">
        <f t="shared" si="50"/>
        <v>2025</v>
      </c>
      <c r="O817" s="3" t="str">
        <f t="shared" si="51"/>
        <v>December</v>
      </c>
      <c r="P817" s="3" t="s">
        <v>30</v>
      </c>
      <c r="Q817" s="3"/>
    </row>
    <row r="818" spans="1:17" hidden="1" x14ac:dyDescent="0.3">
      <c r="A818" s="2">
        <v>45962</v>
      </c>
      <c r="B818" s="3" t="s">
        <v>12</v>
      </c>
      <c r="C818" s="3" t="s">
        <v>19</v>
      </c>
      <c r="D818" s="3" t="s">
        <v>26</v>
      </c>
      <c r="E818" s="3" t="s">
        <v>27</v>
      </c>
      <c r="F818" s="3">
        <v>65.59</v>
      </c>
      <c r="G818" s="3" t="s">
        <v>28</v>
      </c>
      <c r="H818" s="3" t="s">
        <v>29</v>
      </c>
      <c r="I818" s="3">
        <f>IF(C818="India",1,IF(C818="USA",INDEX('Currency Master'!B:B,MATCH(DATE(N818,MONTH(DATEVALUE(O818&amp;" 1")),1),'Currency Master'!A:A,0)),IF(C818="Australia",INDEX('Currency Master'!T:T,MATCH(DATE(N818,MONTH(DATEVALUE(O818&amp;" 1")),1),'Currency Master'!A:A,0)),"")))</f>
        <v>88.76</v>
      </c>
      <c r="J818" s="3">
        <f t="shared" si="48"/>
        <v>45692</v>
      </c>
      <c r="K818" s="3" t="str">
        <f t="shared" si="49"/>
        <v>₹/Candy</v>
      </c>
      <c r="L818" s="3">
        <v>1.0683760683762901E-3</v>
      </c>
      <c r="M818" s="3"/>
      <c r="N818" s="3">
        <f t="shared" si="50"/>
        <v>2025</v>
      </c>
      <c r="O818" s="3" t="str">
        <f t="shared" si="51"/>
        <v>November</v>
      </c>
      <c r="P818" s="3" t="s">
        <v>30</v>
      </c>
      <c r="Q818" s="3"/>
    </row>
    <row r="819" spans="1:17" hidden="1" x14ac:dyDescent="0.3">
      <c r="A819" s="2">
        <v>45931</v>
      </c>
      <c r="B819" s="3" t="s">
        <v>12</v>
      </c>
      <c r="C819" s="3" t="s">
        <v>19</v>
      </c>
      <c r="D819" s="3" t="s">
        <v>26</v>
      </c>
      <c r="E819" s="3" t="s">
        <v>27</v>
      </c>
      <c r="F819" s="3">
        <v>65.52</v>
      </c>
      <c r="G819" s="3" t="s">
        <v>28</v>
      </c>
      <c r="H819" s="3" t="s">
        <v>29</v>
      </c>
      <c r="I819" s="3">
        <f>IF(C819="India",1,IF(C819="USA",INDEX('Currency Master'!B:B,MATCH(DATE(N819,MONTH(DATEVALUE(O819&amp;" 1")),1),'Currency Master'!A:A,0)),IF(C819="Australia",INDEX('Currency Master'!T:T,MATCH(DATE(N819,MONTH(DATEVALUE(O819&amp;" 1")),1),'Currency Master'!A:A,0)),"")))</f>
        <v>88.748999999999995</v>
      </c>
      <c r="J819" s="3">
        <f t="shared" si="48"/>
        <v>45638</v>
      </c>
      <c r="K819" s="3" t="str">
        <f t="shared" si="49"/>
        <v>₹/Candy</v>
      </c>
      <c r="L819" s="3">
        <v>9.7087378640776708E-3</v>
      </c>
      <c r="M819" s="3"/>
      <c r="N819" s="3">
        <f t="shared" si="50"/>
        <v>2025</v>
      </c>
      <c r="O819" s="3" t="str">
        <f t="shared" si="51"/>
        <v>October</v>
      </c>
      <c r="P819" s="3" t="s">
        <v>30</v>
      </c>
      <c r="Q819" s="3"/>
    </row>
    <row r="820" spans="1:17" hidden="1" x14ac:dyDescent="0.3">
      <c r="A820" s="2">
        <v>45901</v>
      </c>
      <c r="B820" s="3" t="s">
        <v>12</v>
      </c>
      <c r="C820" s="3" t="s">
        <v>19</v>
      </c>
      <c r="D820" s="3" t="s">
        <v>26</v>
      </c>
      <c r="E820" s="3" t="s">
        <v>27</v>
      </c>
      <c r="F820" s="3">
        <v>64.89</v>
      </c>
      <c r="G820" s="3" t="s">
        <v>28</v>
      </c>
      <c r="H820" s="3" t="s">
        <v>29</v>
      </c>
      <c r="I820" s="3">
        <f>IF(C820="India",1,IF(C820="USA",INDEX('Currency Master'!B:B,MATCH(DATE(N820,MONTH(DATEVALUE(O820&amp;" 1")),1),'Currency Master'!A:A,0)),IF(C820="Australia",INDEX('Currency Master'!T:T,MATCH(DATE(N820,MONTH(DATEVALUE(O820&amp;" 1")),1),'Currency Master'!A:A,0)),"")))</f>
        <v>88.064999999999998</v>
      </c>
      <c r="J820" s="3">
        <f t="shared" si="48"/>
        <v>44850</v>
      </c>
      <c r="K820" s="3" t="str">
        <f t="shared" si="49"/>
        <v>₹/Candy</v>
      </c>
      <c r="L820" s="3">
        <v>6.3585607940446201E-3</v>
      </c>
      <c r="M820" s="3"/>
      <c r="N820" s="3">
        <f t="shared" si="50"/>
        <v>2025</v>
      </c>
      <c r="O820" s="3" t="str">
        <f t="shared" si="51"/>
        <v>September</v>
      </c>
      <c r="P820" s="3" t="s">
        <v>30</v>
      </c>
      <c r="Q820" s="3"/>
    </row>
    <row r="821" spans="1:17" hidden="1" x14ac:dyDescent="0.3">
      <c r="A821" s="2">
        <v>45870</v>
      </c>
      <c r="B821" s="3" t="s">
        <v>12</v>
      </c>
      <c r="C821" s="3" t="s">
        <v>19</v>
      </c>
      <c r="D821" s="3" t="s">
        <v>26</v>
      </c>
      <c r="E821" s="3" t="s">
        <v>27</v>
      </c>
      <c r="F821" s="3">
        <v>64.48</v>
      </c>
      <c r="G821" s="3" t="s">
        <v>28</v>
      </c>
      <c r="H821" s="3" t="s">
        <v>29</v>
      </c>
      <c r="I821" s="3">
        <f>IF(C821="India",1,IF(C821="USA",INDEX('Currency Master'!B:B,MATCH(DATE(N821,MONTH(DATEVALUE(O821&amp;" 1")),1),'Currency Master'!A:A,0)),IF(C821="Australia",INDEX('Currency Master'!T:T,MATCH(DATE(N821,MONTH(DATEVALUE(O821&amp;" 1")),1),'Currency Master'!A:A,0)),"")))</f>
        <v>87.16</v>
      </c>
      <c r="J821" s="3">
        <f t="shared" si="48"/>
        <v>44109</v>
      </c>
      <c r="K821" s="3" t="str">
        <f t="shared" si="49"/>
        <v>₹/Candy</v>
      </c>
      <c r="L821" s="3">
        <v>-4.57303537072664E-2</v>
      </c>
      <c r="M821" s="3"/>
      <c r="N821" s="3">
        <f t="shared" si="50"/>
        <v>2025</v>
      </c>
      <c r="O821" s="3" t="str">
        <f t="shared" si="51"/>
        <v>August</v>
      </c>
      <c r="P821" s="3" t="s">
        <v>30</v>
      </c>
      <c r="Q821" s="3"/>
    </row>
    <row r="822" spans="1:17" hidden="1" x14ac:dyDescent="0.3">
      <c r="A822" s="2">
        <v>45839</v>
      </c>
      <c r="B822" s="3" t="s">
        <v>12</v>
      </c>
      <c r="C822" s="3" t="s">
        <v>19</v>
      </c>
      <c r="D822" s="3" t="s">
        <v>26</v>
      </c>
      <c r="E822" s="3" t="s">
        <v>27</v>
      </c>
      <c r="F822" s="3">
        <v>67.569999999999993</v>
      </c>
      <c r="G822" s="3" t="s">
        <v>28</v>
      </c>
      <c r="H822" s="3" t="s">
        <v>29</v>
      </c>
      <c r="I822" s="3">
        <f>IF(C822="India",1,IF(C822="USA",INDEX('Currency Master'!B:B,MATCH(DATE(N822,MONTH(DATEVALUE(O822&amp;" 1")),1),'Currency Master'!A:A,0)),IF(C822="Australia",INDEX('Currency Master'!T:T,MATCH(DATE(N822,MONTH(DATEVALUE(O822&amp;" 1")),1),'Currency Master'!A:A,0)),"")))</f>
        <v>85.18</v>
      </c>
      <c r="J822" s="3">
        <f t="shared" si="48"/>
        <v>45173</v>
      </c>
      <c r="K822" s="3" t="str">
        <f t="shared" si="49"/>
        <v>₹/Candy</v>
      </c>
      <c r="L822" s="3">
        <v>2.2393705553033699E-2</v>
      </c>
      <c r="M822" s="3"/>
      <c r="N822" s="3">
        <f t="shared" si="50"/>
        <v>2025</v>
      </c>
      <c r="O822" s="3" t="str">
        <f t="shared" si="51"/>
        <v>July</v>
      </c>
      <c r="P822" s="3" t="s">
        <v>30</v>
      </c>
      <c r="Q822" s="3"/>
    </row>
    <row r="823" spans="1:17" hidden="1" x14ac:dyDescent="0.3">
      <c r="A823" s="2">
        <v>45809</v>
      </c>
      <c r="B823" s="3" t="s">
        <v>12</v>
      </c>
      <c r="C823" s="3" t="s">
        <v>19</v>
      </c>
      <c r="D823" s="3" t="s">
        <v>26</v>
      </c>
      <c r="E823" s="3" t="s">
        <v>27</v>
      </c>
      <c r="F823" s="3">
        <v>66.09</v>
      </c>
      <c r="G823" s="3" t="s">
        <v>28</v>
      </c>
      <c r="H823" s="3" t="s">
        <v>29</v>
      </c>
      <c r="I823" s="3">
        <f>IF(C823="India",1,IF(C823="USA",INDEX('Currency Master'!B:B,MATCH(DATE(N823,MONTH(DATEVALUE(O823&amp;" 1")),1),'Currency Master'!A:A,0)),IF(C823="Australia",INDEX('Currency Master'!T:T,MATCH(DATE(N823,MONTH(DATEVALUE(O823&amp;" 1")),1),'Currency Master'!A:A,0)),"")))</f>
        <v>85.37</v>
      </c>
      <c r="J823" s="3">
        <f t="shared" si="48"/>
        <v>44282</v>
      </c>
      <c r="K823" s="3" t="str">
        <f t="shared" si="49"/>
        <v>₹/Candy</v>
      </c>
      <c r="L823" s="3">
        <v>2.8831562974203102E-3</v>
      </c>
      <c r="M823" s="3"/>
      <c r="N823" s="3">
        <f t="shared" si="50"/>
        <v>2025</v>
      </c>
      <c r="O823" s="3" t="str">
        <f t="shared" si="51"/>
        <v>June</v>
      </c>
      <c r="P823" s="3" t="s">
        <v>30</v>
      </c>
      <c r="Q823" s="3"/>
    </row>
    <row r="824" spans="1:17" hidden="1" x14ac:dyDescent="0.3">
      <c r="A824" s="2">
        <v>45778</v>
      </c>
      <c r="B824" s="3" t="s">
        <v>12</v>
      </c>
      <c r="C824" s="3" t="s">
        <v>19</v>
      </c>
      <c r="D824" s="3" t="s">
        <v>26</v>
      </c>
      <c r="E824" s="3" t="s">
        <v>27</v>
      </c>
      <c r="F824" s="3">
        <v>65.900000000000006</v>
      </c>
      <c r="G824" s="3" t="s">
        <v>28</v>
      </c>
      <c r="H824" s="3" t="s">
        <v>29</v>
      </c>
      <c r="I824" s="3">
        <f>IF(C824="India",1,IF(C824="USA",INDEX('Currency Master'!B:B,MATCH(DATE(N824,MONTH(DATEVALUE(O824&amp;" 1")),1),'Currency Master'!A:A,0)),IF(C824="Australia",INDEX('Currency Master'!T:T,MATCH(DATE(N824,MONTH(DATEVALUE(O824&amp;" 1")),1),'Currency Master'!A:A,0)),"")))</f>
        <v>84.69</v>
      </c>
      <c r="J824" s="3">
        <f t="shared" si="48"/>
        <v>43803</v>
      </c>
      <c r="K824" s="3" t="str">
        <f t="shared" si="49"/>
        <v>₹/Candy</v>
      </c>
      <c r="L824" s="3">
        <v>7.3289902280130298E-2</v>
      </c>
      <c r="M824" s="3"/>
      <c r="N824" s="3">
        <f t="shared" si="50"/>
        <v>2025</v>
      </c>
      <c r="O824" s="3" t="str">
        <f t="shared" si="51"/>
        <v>May</v>
      </c>
      <c r="P824" s="3" t="s">
        <v>30</v>
      </c>
      <c r="Q824" s="3"/>
    </row>
    <row r="825" spans="1:17" hidden="1" x14ac:dyDescent="0.3">
      <c r="A825" s="2">
        <v>45748</v>
      </c>
      <c r="B825" s="3" t="s">
        <v>12</v>
      </c>
      <c r="C825" s="3" t="s">
        <v>19</v>
      </c>
      <c r="D825" s="3" t="s">
        <v>26</v>
      </c>
      <c r="E825" s="3" t="s">
        <v>27</v>
      </c>
      <c r="F825" s="3">
        <v>61.4</v>
      </c>
      <c r="G825" s="3" t="s">
        <v>28</v>
      </c>
      <c r="H825" s="3" t="s">
        <v>29</v>
      </c>
      <c r="I825" s="3">
        <f>IF(C825="India",1,IF(C825="USA",INDEX('Currency Master'!B:B,MATCH(DATE(N825,MONTH(DATEVALUE(O825&amp;" 1")),1),'Currency Master'!A:A,0)),IF(C825="Australia",INDEX('Currency Master'!T:T,MATCH(DATE(N825,MONTH(DATEVALUE(O825&amp;" 1")),1),'Currency Master'!A:A,0)),"")))</f>
        <v>85.51</v>
      </c>
      <c r="J825" s="3">
        <f t="shared" si="48"/>
        <v>41207</v>
      </c>
      <c r="K825" s="3" t="str">
        <f t="shared" si="49"/>
        <v>₹/Candy</v>
      </c>
      <c r="L825" s="3">
        <v>6.8569439610163499E-2</v>
      </c>
      <c r="M825" s="3"/>
      <c r="N825" s="3">
        <f t="shared" si="50"/>
        <v>2025</v>
      </c>
      <c r="O825" s="3" t="str">
        <f t="shared" si="51"/>
        <v>April</v>
      </c>
      <c r="P825" s="3" t="s">
        <v>30</v>
      </c>
      <c r="Q825" s="3"/>
    </row>
    <row r="826" spans="1:17" hidden="1" x14ac:dyDescent="0.3">
      <c r="A826" s="2">
        <v>45717</v>
      </c>
      <c r="B826" s="3" t="s">
        <v>12</v>
      </c>
      <c r="C826" s="3" t="s">
        <v>19</v>
      </c>
      <c r="D826" s="3" t="s">
        <v>26</v>
      </c>
      <c r="E826" s="3" t="s">
        <v>27</v>
      </c>
      <c r="F826" s="3">
        <v>57.46</v>
      </c>
      <c r="G826" s="3" t="s">
        <v>28</v>
      </c>
      <c r="H826" s="3" t="s">
        <v>29</v>
      </c>
      <c r="I826" s="3">
        <f>IF(C826="India",1,IF(C826="USA",INDEX('Currency Master'!B:B,MATCH(DATE(N826,MONTH(DATEVALUE(O826&amp;" 1")),1),'Currency Master'!A:A,0)),IF(C826="Australia",INDEX('Currency Master'!T:T,MATCH(DATE(N826,MONTH(DATEVALUE(O826&amp;" 1")),1),'Currency Master'!A:A,0)),"")))</f>
        <v>87.27</v>
      </c>
      <c r="J826" s="3">
        <f t="shared" si="48"/>
        <v>39356</v>
      </c>
      <c r="K826" s="3" t="str">
        <f t="shared" si="49"/>
        <v>₹/Candy</v>
      </c>
      <c r="L826" s="3">
        <v>-0.147730643725897</v>
      </c>
      <c r="M826" s="3"/>
      <c r="N826" s="3">
        <f t="shared" si="50"/>
        <v>2025</v>
      </c>
      <c r="O826" s="3" t="str">
        <f t="shared" si="51"/>
        <v>March</v>
      </c>
      <c r="P826" s="3" t="s">
        <v>30</v>
      </c>
      <c r="Q826" s="3"/>
    </row>
    <row r="827" spans="1:17" hidden="1" x14ac:dyDescent="0.3">
      <c r="A827" s="2">
        <v>45689</v>
      </c>
      <c r="B827" s="3" t="s">
        <v>12</v>
      </c>
      <c r="C827" s="3" t="s">
        <v>19</v>
      </c>
      <c r="D827" s="3" t="s">
        <v>26</v>
      </c>
      <c r="E827" s="3" t="s">
        <v>27</v>
      </c>
      <c r="F827" s="3">
        <v>67.42</v>
      </c>
      <c r="G827" s="3" t="s">
        <v>28</v>
      </c>
      <c r="H827" s="3" t="s">
        <v>29</v>
      </c>
      <c r="I827" s="3">
        <f>IF(C827="India",1,IF(C827="USA",INDEX('Currency Master'!B:B,MATCH(DATE(N827,MONTH(DATEVALUE(O827&amp;" 1")),1),'Currency Master'!A:A,0)),IF(C827="Australia",INDEX('Currency Master'!T:T,MATCH(DATE(N827,MONTH(DATEVALUE(O827&amp;" 1")),1),'Currency Master'!A:A,0)),"")))</f>
        <v>86.96</v>
      </c>
      <c r="J827" s="3">
        <f t="shared" si="48"/>
        <v>46014</v>
      </c>
      <c r="K827" s="3" t="str">
        <f t="shared" si="49"/>
        <v>₹/Candy</v>
      </c>
      <c r="L827" s="3">
        <v>2.8261192919827299E-3</v>
      </c>
      <c r="M827" s="3"/>
      <c r="N827" s="3">
        <f t="shared" si="50"/>
        <v>2025</v>
      </c>
      <c r="O827" s="3" t="str">
        <f t="shared" si="51"/>
        <v>February</v>
      </c>
      <c r="P827" s="3" t="s">
        <v>30</v>
      </c>
      <c r="Q827" s="3"/>
    </row>
    <row r="828" spans="1:17" hidden="1" x14ac:dyDescent="0.3">
      <c r="A828" s="2">
        <v>45658</v>
      </c>
      <c r="B828" s="3" t="s">
        <v>12</v>
      </c>
      <c r="C828" s="3" t="s">
        <v>19</v>
      </c>
      <c r="D828" s="3" t="s">
        <v>26</v>
      </c>
      <c r="E828" s="3" t="s">
        <v>27</v>
      </c>
      <c r="F828" s="3">
        <v>67.23</v>
      </c>
      <c r="G828" s="3" t="s">
        <v>28</v>
      </c>
      <c r="H828" s="3" t="s">
        <v>29</v>
      </c>
      <c r="I828" s="3">
        <f>IF(C828="India",1,IF(C828="USA",INDEX('Currency Master'!B:B,MATCH(DATE(N828,MONTH(DATEVALUE(O828&amp;" 1")),1),'Currency Master'!A:A,0)),IF(C828="Australia",INDEX('Currency Master'!T:T,MATCH(DATE(N828,MONTH(DATEVALUE(O828&amp;" 1")),1),'Currency Master'!A:A,0)),"")))</f>
        <v>86.64</v>
      </c>
      <c r="J828" s="3">
        <f t="shared" si="48"/>
        <v>45716</v>
      </c>
      <c r="K828" s="3" t="str">
        <f t="shared" si="49"/>
        <v>₹/Candy</v>
      </c>
      <c r="L828" s="3">
        <v>-3.3912918522776198E-2</v>
      </c>
      <c r="M828" s="3"/>
      <c r="N828" s="3">
        <f t="shared" si="50"/>
        <v>2025</v>
      </c>
      <c r="O828" s="3" t="str">
        <f t="shared" si="51"/>
        <v>January</v>
      </c>
      <c r="P828" s="3" t="s">
        <v>30</v>
      </c>
      <c r="Q828" s="3"/>
    </row>
    <row r="829" spans="1:17" hidden="1" x14ac:dyDescent="0.3">
      <c r="A829" s="2">
        <v>45627</v>
      </c>
      <c r="B829" s="3" t="s">
        <v>12</v>
      </c>
      <c r="C829" s="3" t="s">
        <v>19</v>
      </c>
      <c r="D829" s="3" t="s">
        <v>26</v>
      </c>
      <c r="E829" s="3" t="s">
        <v>27</v>
      </c>
      <c r="F829" s="3">
        <v>69.59</v>
      </c>
      <c r="G829" s="3" t="s">
        <v>28</v>
      </c>
      <c r="H829" s="3" t="s">
        <v>29</v>
      </c>
      <c r="I829" s="3">
        <f>IF(C829="India",1,IF(C829="USA",INDEX('Currency Master'!B:B,MATCH(DATE(N829,MONTH(DATEVALUE(O829&amp;" 1")),1),'Currency Master'!A:A,0)),IF(C829="Australia",INDEX('Currency Master'!T:T,MATCH(DATE(N829,MONTH(DATEVALUE(O829&amp;" 1")),1),'Currency Master'!A:A,0)),"")))</f>
        <v>84.86</v>
      </c>
      <c r="J829" s="3">
        <f t="shared" si="48"/>
        <v>46348</v>
      </c>
      <c r="K829" s="3" t="str">
        <f t="shared" si="49"/>
        <v>₹/Candy</v>
      </c>
      <c r="L829" s="3">
        <v>-3.2531627971639103E-2</v>
      </c>
      <c r="M829" s="3"/>
      <c r="N829" s="3">
        <f t="shared" si="50"/>
        <v>2024</v>
      </c>
      <c r="O829" s="3" t="str">
        <f t="shared" si="51"/>
        <v>December</v>
      </c>
      <c r="P829" s="3" t="s">
        <v>30</v>
      </c>
      <c r="Q829" s="3"/>
    </row>
    <row r="830" spans="1:17" hidden="1" x14ac:dyDescent="0.3">
      <c r="A830" s="2">
        <v>45597</v>
      </c>
      <c r="B830" s="3" t="s">
        <v>12</v>
      </c>
      <c r="C830" s="3" t="s">
        <v>19</v>
      </c>
      <c r="D830" s="3" t="s">
        <v>26</v>
      </c>
      <c r="E830" s="3" t="s">
        <v>27</v>
      </c>
      <c r="F830" s="3">
        <v>71.930000000000007</v>
      </c>
      <c r="G830" s="3" t="s">
        <v>28</v>
      </c>
      <c r="H830" s="3" t="s">
        <v>29</v>
      </c>
      <c r="I830" s="3">
        <f>IF(C830="India",1,IF(C830="USA",INDEX('Currency Master'!B:B,MATCH(DATE(N830,MONTH(DATEVALUE(O830&amp;" 1")),1),'Currency Master'!A:A,0)),IF(C830="Australia",INDEX('Currency Master'!T:T,MATCH(DATE(N830,MONTH(DATEVALUE(O830&amp;" 1")),1),'Currency Master'!A:A,0)),"")))</f>
        <v>84.55</v>
      </c>
      <c r="J830" s="3">
        <f t="shared" si="48"/>
        <v>47732</v>
      </c>
      <c r="K830" s="3" t="str">
        <f t="shared" si="49"/>
        <v>₹/Candy</v>
      </c>
      <c r="L830" s="3">
        <v>3.3922667816587801E-2</v>
      </c>
      <c r="M830" s="3"/>
      <c r="N830" s="3">
        <f t="shared" si="50"/>
        <v>2024</v>
      </c>
      <c r="O830" s="3" t="str">
        <f t="shared" si="51"/>
        <v>November</v>
      </c>
      <c r="P830" s="3" t="s">
        <v>30</v>
      </c>
      <c r="Q830" s="3"/>
    </row>
    <row r="831" spans="1:17" hidden="1" x14ac:dyDescent="0.3">
      <c r="A831" s="2">
        <v>45566</v>
      </c>
      <c r="B831" s="3" t="s">
        <v>12</v>
      </c>
      <c r="C831" s="3" t="s">
        <v>19</v>
      </c>
      <c r="D831" s="3" t="s">
        <v>26</v>
      </c>
      <c r="E831" s="3" t="s">
        <v>27</v>
      </c>
      <c r="F831" s="3">
        <v>69.569999999999993</v>
      </c>
      <c r="G831" s="3" t="s">
        <v>28</v>
      </c>
      <c r="H831" s="3" t="s">
        <v>29</v>
      </c>
      <c r="I831" s="3">
        <f>IF(C831="India",1,IF(C831="USA",INDEX('Currency Master'!B:B,MATCH(DATE(N831,MONTH(DATEVALUE(O831&amp;" 1")),1),'Currency Master'!A:A,0)),IF(C831="Australia",INDEX('Currency Master'!T:T,MATCH(DATE(N831,MONTH(DATEVALUE(O831&amp;" 1")),1),'Currency Master'!A:A,0)),"")))</f>
        <v>84.06</v>
      </c>
      <c r="J831" s="3">
        <f t="shared" si="48"/>
        <v>45898</v>
      </c>
      <c r="K831" s="3" t="str">
        <f t="shared" si="49"/>
        <v>₹/Candy</v>
      </c>
      <c r="L831" s="3">
        <v>-5.4241435562806001E-2</v>
      </c>
      <c r="M831" s="3"/>
      <c r="N831" s="3">
        <f t="shared" si="50"/>
        <v>2024</v>
      </c>
      <c r="O831" s="3" t="str">
        <f t="shared" si="51"/>
        <v>October</v>
      </c>
      <c r="P831" s="3" t="s">
        <v>30</v>
      </c>
      <c r="Q831" s="3"/>
    </row>
    <row r="832" spans="1:17" hidden="1" x14ac:dyDescent="0.3">
      <c r="A832" s="2">
        <v>45536</v>
      </c>
      <c r="B832" s="3" t="s">
        <v>12</v>
      </c>
      <c r="C832" s="3" t="s">
        <v>19</v>
      </c>
      <c r="D832" s="3" t="s">
        <v>26</v>
      </c>
      <c r="E832" s="3" t="s">
        <v>27</v>
      </c>
      <c r="F832" s="3">
        <v>73.56</v>
      </c>
      <c r="G832" s="3" t="s">
        <v>28</v>
      </c>
      <c r="H832" s="3" t="s">
        <v>29</v>
      </c>
      <c r="I832" s="3">
        <f>IF(C832="India",1,IF(C832="USA",INDEX('Currency Master'!B:B,MATCH(DATE(N832,MONTH(DATEVALUE(O832&amp;" 1")),1),'Currency Master'!A:A,0)),IF(C832="Australia",INDEX('Currency Master'!T:T,MATCH(DATE(N832,MONTH(DATEVALUE(O832&amp;" 1")),1),'Currency Master'!A:A,0)),"")))</f>
        <v>83.75</v>
      </c>
      <c r="J832" s="3">
        <f t="shared" si="48"/>
        <v>48352</v>
      </c>
      <c r="K832" s="3" t="str">
        <f t="shared" si="49"/>
        <v>₹/Candy</v>
      </c>
      <c r="L832" s="3">
        <v>5.4019200458518303E-2</v>
      </c>
      <c r="M832" s="3"/>
      <c r="N832" s="3">
        <f t="shared" si="50"/>
        <v>2024</v>
      </c>
      <c r="O832" s="3" t="str">
        <f t="shared" si="51"/>
        <v>September</v>
      </c>
      <c r="P832" s="3" t="s">
        <v>30</v>
      </c>
      <c r="Q832" s="3"/>
    </row>
    <row r="833" spans="1:17" hidden="1" x14ac:dyDescent="0.3">
      <c r="A833" s="2">
        <v>45505</v>
      </c>
      <c r="B833" s="3" t="s">
        <v>12</v>
      </c>
      <c r="C833" s="3" t="s">
        <v>19</v>
      </c>
      <c r="D833" s="3" t="s">
        <v>26</v>
      </c>
      <c r="E833" s="3" t="s">
        <v>27</v>
      </c>
      <c r="F833" s="3">
        <v>69.790000000000006</v>
      </c>
      <c r="G833" s="3" t="s">
        <v>28</v>
      </c>
      <c r="H833" s="3" t="s">
        <v>29</v>
      </c>
      <c r="I833" s="3">
        <f>IF(C833="India",1,IF(C833="USA",INDEX('Currency Master'!B:B,MATCH(DATE(N833,MONTH(DATEVALUE(O833&amp;" 1")),1),'Currency Master'!A:A,0)),IF(C833="Australia",INDEX('Currency Master'!T:T,MATCH(DATE(N833,MONTH(DATEVALUE(O833&amp;" 1")),1),'Currency Master'!A:A,0)),"")))</f>
        <v>83.86</v>
      </c>
      <c r="J833" s="3">
        <f t="shared" si="48"/>
        <v>45934</v>
      </c>
      <c r="K833" s="3" t="str">
        <f t="shared" si="49"/>
        <v>₹/Candy</v>
      </c>
      <c r="L833" s="3">
        <v>2.6625478081788698E-2</v>
      </c>
      <c r="M833" s="3"/>
      <c r="N833" s="3">
        <f t="shared" si="50"/>
        <v>2024</v>
      </c>
      <c r="O833" s="3" t="str">
        <f t="shared" si="51"/>
        <v>August</v>
      </c>
      <c r="P833" s="3" t="s">
        <v>30</v>
      </c>
      <c r="Q833" s="3"/>
    </row>
    <row r="834" spans="1:17" hidden="1" x14ac:dyDescent="0.3">
      <c r="A834" s="2">
        <v>45474</v>
      </c>
      <c r="B834" s="3" t="s">
        <v>12</v>
      </c>
      <c r="C834" s="3" t="s">
        <v>19</v>
      </c>
      <c r="D834" s="3" t="s">
        <v>26</v>
      </c>
      <c r="E834" s="3" t="s">
        <v>27</v>
      </c>
      <c r="F834" s="3">
        <v>67.98</v>
      </c>
      <c r="G834" s="3" t="s">
        <v>28</v>
      </c>
      <c r="H834" s="3" t="s">
        <v>29</v>
      </c>
      <c r="I834" s="3">
        <f>IF(C834="India",1,IF(C834="USA",INDEX('Currency Master'!B:B,MATCH(DATE(N834,MONTH(DATEVALUE(O834&amp;" 1")),1),'Currency Master'!A:A,0)),IF(C834="Australia",INDEX('Currency Master'!T:T,MATCH(DATE(N834,MONTH(DATEVALUE(O834&amp;" 1")),1),'Currency Master'!A:A,0)),"")))</f>
        <v>83.69</v>
      </c>
      <c r="J834" s="3">
        <f t="shared" si="48"/>
        <v>44652</v>
      </c>
      <c r="K834" s="3" t="str">
        <f t="shared" si="49"/>
        <v>₹/Candy</v>
      </c>
      <c r="L834" s="3">
        <v>-2.6214009454232901E-2</v>
      </c>
      <c r="M834" s="3"/>
      <c r="N834" s="3">
        <f t="shared" si="50"/>
        <v>2024</v>
      </c>
      <c r="O834" s="3" t="str">
        <f t="shared" si="51"/>
        <v>July</v>
      </c>
      <c r="P834" s="3" t="s">
        <v>30</v>
      </c>
      <c r="Q834" s="3"/>
    </row>
    <row r="835" spans="1:17" hidden="1" x14ac:dyDescent="0.3">
      <c r="A835" s="2">
        <v>45444</v>
      </c>
      <c r="B835" s="3" t="s">
        <v>12</v>
      </c>
      <c r="C835" s="3" t="s">
        <v>19</v>
      </c>
      <c r="D835" s="3" t="s">
        <v>26</v>
      </c>
      <c r="E835" s="3" t="s">
        <v>27</v>
      </c>
      <c r="F835" s="3">
        <v>69.81</v>
      </c>
      <c r="G835" s="3" t="s">
        <v>28</v>
      </c>
      <c r="H835" s="3" t="s">
        <v>29</v>
      </c>
      <c r="I835" s="3">
        <f>IF(C835="India",1,IF(C835="USA",INDEX('Currency Master'!B:B,MATCH(DATE(N835,MONTH(DATEVALUE(O835&amp;" 1")),1),'Currency Master'!A:A,0)),IF(C835="Australia",INDEX('Currency Master'!T:T,MATCH(DATE(N835,MONTH(DATEVALUE(O835&amp;" 1")),1),'Currency Master'!A:A,0)),"")))</f>
        <v>83.35</v>
      </c>
      <c r="J835" s="3">
        <f t="shared" ref="J835:J898" si="52">IF(C835="India",F835,IF(C835="USA",IF(G835="US Cents/Lb",ROUND(((F835/100)/0.453592)*I835*356,0),F835),IF(C835="Australia",IF(G835="AUc/kg",ROUND((F835/100)*I835,2),F835),"")))</f>
        <v>45668</v>
      </c>
      <c r="K835" s="3" t="str">
        <f t="shared" ref="K835:K898" si="53">IF(C835="India",G835,IF(C835="USA","₹/Candy",IF(C835="Australia","₹/Kg","")))</f>
        <v>₹/Candy</v>
      </c>
      <c r="L835" s="3">
        <v>-8.3256730137885801E-2</v>
      </c>
      <c r="M835" s="3"/>
      <c r="N835" s="3">
        <f t="shared" ref="N835:N898" si="54">YEAR(A835)</f>
        <v>2024</v>
      </c>
      <c r="O835" s="3" t="str">
        <f t="shared" ref="O835:O898" si="55">TEXT(A835,"mmmm")</f>
        <v>June</v>
      </c>
      <c r="P835" s="3" t="s">
        <v>30</v>
      </c>
      <c r="Q835" s="3"/>
    </row>
    <row r="836" spans="1:17" hidden="1" x14ac:dyDescent="0.3">
      <c r="A836" s="2">
        <v>45413</v>
      </c>
      <c r="B836" s="3" t="s">
        <v>12</v>
      </c>
      <c r="C836" s="3" t="s">
        <v>19</v>
      </c>
      <c r="D836" s="3" t="s">
        <v>26</v>
      </c>
      <c r="E836" s="3" t="s">
        <v>27</v>
      </c>
      <c r="F836" s="3">
        <v>76.150000000000006</v>
      </c>
      <c r="G836" s="3" t="s">
        <v>28</v>
      </c>
      <c r="H836" s="3" t="s">
        <v>29</v>
      </c>
      <c r="I836" s="3">
        <f>IF(C836="India",1,IF(C836="USA",INDEX('Currency Master'!B:B,MATCH(DATE(N836,MONTH(DATEVALUE(O836&amp;" 1")),1),'Currency Master'!A:A,0)),IF(C836="Australia",INDEX('Currency Master'!T:T,MATCH(DATE(N836,MONTH(DATEVALUE(O836&amp;" 1")),1),'Currency Master'!A:A,0)),"")))</f>
        <v>83.42</v>
      </c>
      <c r="J836" s="3">
        <f t="shared" si="52"/>
        <v>49857</v>
      </c>
      <c r="K836" s="3" t="str">
        <f t="shared" si="53"/>
        <v>₹/Candy</v>
      </c>
      <c r="L836" s="3">
        <v>-2.2715605749486601E-2</v>
      </c>
      <c r="M836" s="3"/>
      <c r="N836" s="3">
        <f t="shared" si="54"/>
        <v>2024</v>
      </c>
      <c r="O836" s="3" t="str">
        <f t="shared" si="55"/>
        <v>May</v>
      </c>
      <c r="P836" s="3" t="s">
        <v>30</v>
      </c>
      <c r="Q836" s="3"/>
    </row>
    <row r="837" spans="1:17" hidden="1" x14ac:dyDescent="0.3">
      <c r="A837" s="2">
        <v>45383</v>
      </c>
      <c r="B837" s="3" t="s">
        <v>12</v>
      </c>
      <c r="C837" s="3" t="s">
        <v>19</v>
      </c>
      <c r="D837" s="3" t="s">
        <v>26</v>
      </c>
      <c r="E837" s="3" t="s">
        <v>27</v>
      </c>
      <c r="F837" s="3">
        <v>77.92</v>
      </c>
      <c r="G837" s="3" t="s">
        <v>28</v>
      </c>
      <c r="H837" s="3" t="s">
        <v>29</v>
      </c>
      <c r="I837" s="3">
        <f>IF(C837="India",1,IF(C837="USA",INDEX('Currency Master'!B:B,MATCH(DATE(N837,MONTH(DATEVALUE(O837&amp;" 1")),1),'Currency Master'!A:A,0)),IF(C837="Australia",INDEX('Currency Master'!T:T,MATCH(DATE(N837,MONTH(DATEVALUE(O837&amp;" 1")),1),'Currency Master'!A:A,0)),"")))</f>
        <v>83.45</v>
      </c>
      <c r="J837" s="3">
        <f t="shared" si="52"/>
        <v>51034</v>
      </c>
      <c r="K837" s="3" t="str">
        <f t="shared" si="53"/>
        <v>₹/Candy</v>
      </c>
      <c r="L837" s="3">
        <v>-0.14729700153206399</v>
      </c>
      <c r="M837" s="3"/>
      <c r="N837" s="3">
        <f t="shared" si="54"/>
        <v>2024</v>
      </c>
      <c r="O837" s="3" t="str">
        <f t="shared" si="55"/>
        <v>April</v>
      </c>
      <c r="P837" s="3" t="s">
        <v>30</v>
      </c>
      <c r="Q837" s="3"/>
    </row>
    <row r="838" spans="1:17" hidden="1" x14ac:dyDescent="0.3">
      <c r="A838" s="2">
        <v>45352</v>
      </c>
      <c r="B838" s="3" t="s">
        <v>12</v>
      </c>
      <c r="C838" s="3" t="s">
        <v>19</v>
      </c>
      <c r="D838" s="3" t="s">
        <v>26</v>
      </c>
      <c r="E838" s="3" t="s">
        <v>27</v>
      </c>
      <c r="F838" s="3">
        <v>91.38</v>
      </c>
      <c r="G838" s="3" t="s">
        <v>28</v>
      </c>
      <c r="H838" s="3" t="s">
        <v>29</v>
      </c>
      <c r="I838" s="3">
        <f>IF(C838="India",1,IF(C838="USA",INDEX('Currency Master'!B:B,MATCH(DATE(N838,MONTH(DATEVALUE(O838&amp;" 1")),1),'Currency Master'!A:A,0)),IF(C838="Australia",INDEX('Currency Master'!T:T,MATCH(DATE(N838,MONTH(DATEVALUE(O838&amp;" 1")),1),'Currency Master'!A:A,0)),"")))</f>
        <v>83.35</v>
      </c>
      <c r="J838" s="3">
        <f t="shared" si="52"/>
        <v>59778</v>
      </c>
      <c r="K838" s="3" t="str">
        <f t="shared" si="53"/>
        <v>₹/Candy</v>
      </c>
      <c r="L838" s="3">
        <v>-0.10023631350925601</v>
      </c>
      <c r="M838" s="3"/>
      <c r="N838" s="3">
        <f t="shared" si="54"/>
        <v>2024</v>
      </c>
      <c r="O838" s="3" t="str">
        <f t="shared" si="55"/>
        <v>March</v>
      </c>
      <c r="P838" s="3" t="s">
        <v>30</v>
      </c>
      <c r="Q838" s="3"/>
    </row>
    <row r="839" spans="1:17" hidden="1" x14ac:dyDescent="0.3">
      <c r="A839" s="2">
        <v>45323</v>
      </c>
      <c r="B839" s="3" t="s">
        <v>12</v>
      </c>
      <c r="C839" s="3" t="s">
        <v>19</v>
      </c>
      <c r="D839" s="3" t="s">
        <v>26</v>
      </c>
      <c r="E839" s="3" t="s">
        <v>27</v>
      </c>
      <c r="F839" s="3">
        <v>101.56</v>
      </c>
      <c r="G839" s="3" t="s">
        <v>28</v>
      </c>
      <c r="H839" s="3" t="s">
        <v>29</v>
      </c>
      <c r="I839" s="3">
        <f>IF(C839="India",1,IF(C839="USA",INDEX('Currency Master'!B:B,MATCH(DATE(N839,MONTH(DATEVALUE(O839&amp;" 1")),1),'Currency Master'!A:A,0)),IF(C839="Australia",INDEX('Currency Master'!T:T,MATCH(DATE(N839,MONTH(DATEVALUE(O839&amp;" 1")),1),'Currency Master'!A:A,0)),"")))</f>
        <v>82.9</v>
      </c>
      <c r="J839" s="3">
        <f t="shared" si="52"/>
        <v>66079</v>
      </c>
      <c r="K839" s="3" t="str">
        <f t="shared" si="53"/>
        <v>₹/Candy</v>
      </c>
      <c r="L839" s="3">
        <v>0.19243865210755001</v>
      </c>
      <c r="M839" s="3"/>
      <c r="N839" s="3">
        <f t="shared" si="54"/>
        <v>2024</v>
      </c>
      <c r="O839" s="3" t="str">
        <f t="shared" si="55"/>
        <v>February</v>
      </c>
      <c r="P839" s="3" t="s">
        <v>30</v>
      </c>
      <c r="Q839" s="3"/>
    </row>
    <row r="840" spans="1:17" hidden="1" x14ac:dyDescent="0.3">
      <c r="A840" s="2">
        <v>45292</v>
      </c>
      <c r="B840" s="3" t="s">
        <v>12</v>
      </c>
      <c r="C840" s="3" t="s">
        <v>19</v>
      </c>
      <c r="D840" s="3" t="s">
        <v>26</v>
      </c>
      <c r="E840" s="3" t="s">
        <v>27</v>
      </c>
      <c r="F840" s="3">
        <v>85.17</v>
      </c>
      <c r="G840" s="3" t="s">
        <v>28</v>
      </c>
      <c r="H840" s="3" t="s">
        <v>29</v>
      </c>
      <c r="I840" s="3">
        <f>IF(C840="India",1,IF(C840="USA",INDEX('Currency Master'!B:B,MATCH(DATE(N840,MONTH(DATEVALUE(O840&amp;" 1")),1),'Currency Master'!A:A,0)),IF(C840="Australia",INDEX('Currency Master'!T:T,MATCH(DATE(N840,MONTH(DATEVALUE(O840&amp;" 1")),1),'Currency Master'!A:A,0)),"")))</f>
        <v>83.09</v>
      </c>
      <c r="J840" s="3">
        <f t="shared" si="52"/>
        <v>55542</v>
      </c>
      <c r="K840" s="3" t="str">
        <f t="shared" si="53"/>
        <v>₹/Candy</v>
      </c>
      <c r="L840" s="3">
        <v>5.1481481481481503E-2</v>
      </c>
      <c r="M840" s="3"/>
      <c r="N840" s="3">
        <f t="shared" si="54"/>
        <v>2024</v>
      </c>
      <c r="O840" s="3" t="str">
        <f t="shared" si="55"/>
        <v>January</v>
      </c>
      <c r="P840" s="3" t="s">
        <v>30</v>
      </c>
      <c r="Q840" s="3"/>
    </row>
    <row r="841" spans="1:17" hidden="1" x14ac:dyDescent="0.3">
      <c r="A841" s="2">
        <v>45261</v>
      </c>
      <c r="B841" s="3" t="s">
        <v>12</v>
      </c>
      <c r="C841" s="3" t="s">
        <v>19</v>
      </c>
      <c r="D841" s="3" t="s">
        <v>26</v>
      </c>
      <c r="E841" s="3" t="s">
        <v>27</v>
      </c>
      <c r="F841" s="3">
        <v>81</v>
      </c>
      <c r="G841" s="3" t="s">
        <v>28</v>
      </c>
      <c r="H841" s="3" t="s">
        <v>29</v>
      </c>
      <c r="I841" s="3">
        <f>IF(C841="India",1,IF(C841="USA",INDEX('Currency Master'!B:B,MATCH(DATE(N841,MONTH(DATEVALUE(O841&amp;" 1")),1),'Currency Master'!A:A,0)),IF(C841="Australia",INDEX('Currency Master'!T:T,MATCH(DATE(N841,MONTH(DATEVALUE(O841&amp;" 1")),1),'Currency Master'!A:A,0)),"")))</f>
        <v>83.1</v>
      </c>
      <c r="J841" s="3">
        <f t="shared" si="52"/>
        <v>52829</v>
      </c>
      <c r="K841" s="3" t="str">
        <f t="shared" si="53"/>
        <v>₹/Candy</v>
      </c>
      <c r="L841" s="3">
        <v>2.01511335012594E-2</v>
      </c>
      <c r="M841" s="3"/>
      <c r="N841" s="3">
        <f t="shared" si="54"/>
        <v>2023</v>
      </c>
      <c r="O841" s="3" t="str">
        <f t="shared" si="55"/>
        <v>December</v>
      </c>
      <c r="P841" s="3" t="s">
        <v>30</v>
      </c>
      <c r="Q841" s="3"/>
    </row>
    <row r="842" spans="1:17" hidden="1" x14ac:dyDescent="0.3">
      <c r="A842" s="2">
        <v>45231</v>
      </c>
      <c r="B842" s="3" t="s">
        <v>12</v>
      </c>
      <c r="C842" s="3" t="s">
        <v>19</v>
      </c>
      <c r="D842" s="3" t="s">
        <v>26</v>
      </c>
      <c r="E842" s="3" t="s">
        <v>27</v>
      </c>
      <c r="F842" s="3">
        <v>79.400000000000006</v>
      </c>
      <c r="G842" s="3" t="s">
        <v>28</v>
      </c>
      <c r="H842" s="3" t="s">
        <v>29</v>
      </c>
      <c r="I842" s="3">
        <f>IF(C842="India",1,IF(C842="USA",INDEX('Currency Master'!B:B,MATCH(DATE(N842,MONTH(DATEVALUE(O842&amp;" 1")),1),'Currency Master'!A:A,0)),IF(C842="Australia",INDEX('Currency Master'!T:T,MATCH(DATE(N842,MONTH(DATEVALUE(O842&amp;" 1")),1),'Currency Master'!A:A,0)),"")))</f>
        <v>83.35</v>
      </c>
      <c r="J842" s="3">
        <f t="shared" si="52"/>
        <v>51941</v>
      </c>
      <c r="K842" s="3" t="str">
        <f t="shared" si="53"/>
        <v>₹/Candy</v>
      </c>
      <c r="L842" s="3">
        <v>-2.2408273824181198E-2</v>
      </c>
      <c r="M842" s="3"/>
      <c r="N842" s="3">
        <f t="shared" si="54"/>
        <v>2023</v>
      </c>
      <c r="O842" s="3" t="str">
        <f t="shared" si="55"/>
        <v>November</v>
      </c>
      <c r="P842" s="3" t="s">
        <v>30</v>
      </c>
      <c r="Q842" s="3"/>
    </row>
    <row r="843" spans="1:17" hidden="1" x14ac:dyDescent="0.3">
      <c r="A843" s="2">
        <v>45200</v>
      </c>
      <c r="B843" s="3" t="s">
        <v>12</v>
      </c>
      <c r="C843" s="3" t="s">
        <v>19</v>
      </c>
      <c r="D843" s="3" t="s">
        <v>26</v>
      </c>
      <c r="E843" s="3" t="s">
        <v>27</v>
      </c>
      <c r="F843" s="3">
        <v>81.22</v>
      </c>
      <c r="G843" s="3" t="s">
        <v>28</v>
      </c>
      <c r="H843" s="3" t="s">
        <v>29</v>
      </c>
      <c r="I843" s="3">
        <f>IF(C843="India",1,IF(C843="USA",INDEX('Currency Master'!B:B,MATCH(DATE(N843,MONTH(DATEVALUE(O843&amp;" 1")),1),'Currency Master'!A:A,0)),IF(C843="Australia",INDEX('Currency Master'!T:T,MATCH(DATE(N843,MONTH(DATEVALUE(O843&amp;" 1")),1),'Currency Master'!A:A,0)),"")))</f>
        <v>83.25</v>
      </c>
      <c r="J843" s="3">
        <f t="shared" si="52"/>
        <v>53068</v>
      </c>
      <c r="K843" s="3" t="str">
        <f t="shared" si="53"/>
        <v>₹/Candy</v>
      </c>
      <c r="L843" s="3">
        <v>-6.4932074602809101E-2</v>
      </c>
      <c r="M843" s="3"/>
      <c r="N843" s="3">
        <f t="shared" si="54"/>
        <v>2023</v>
      </c>
      <c r="O843" s="3" t="str">
        <f t="shared" si="55"/>
        <v>October</v>
      </c>
      <c r="P843" s="3" t="s">
        <v>30</v>
      </c>
      <c r="Q843" s="3"/>
    </row>
    <row r="844" spans="1:17" hidden="1" x14ac:dyDescent="0.3">
      <c r="A844" s="2">
        <v>45170</v>
      </c>
      <c r="B844" s="3" t="s">
        <v>12</v>
      </c>
      <c r="C844" s="3" t="s">
        <v>19</v>
      </c>
      <c r="D844" s="3" t="s">
        <v>26</v>
      </c>
      <c r="E844" s="3" t="s">
        <v>27</v>
      </c>
      <c r="F844" s="3">
        <v>86.86</v>
      </c>
      <c r="G844" s="3" t="s">
        <v>28</v>
      </c>
      <c r="H844" s="3" t="s">
        <v>29</v>
      </c>
      <c r="I844" s="3">
        <f>IF(C844="India",1,IF(C844="USA",INDEX('Currency Master'!B:B,MATCH(DATE(N844,MONTH(DATEVALUE(O844&amp;" 1")),1),'Currency Master'!A:A,0)),IF(C844="Australia",INDEX('Currency Master'!T:T,MATCH(DATE(N844,MONTH(DATEVALUE(O844&amp;" 1")),1),'Currency Master'!A:A,0)),"")))</f>
        <v>83.03</v>
      </c>
      <c r="J844" s="3">
        <f t="shared" si="52"/>
        <v>56603</v>
      </c>
      <c r="K844" s="3" t="str">
        <f t="shared" si="53"/>
        <v>₹/Candy</v>
      </c>
      <c r="L844" s="3">
        <v>-1.4074914869466401E-2</v>
      </c>
      <c r="M844" s="3"/>
      <c r="N844" s="3">
        <f t="shared" si="54"/>
        <v>2023</v>
      </c>
      <c r="O844" s="3" t="str">
        <f t="shared" si="55"/>
        <v>September</v>
      </c>
      <c r="P844" s="3" t="s">
        <v>30</v>
      </c>
      <c r="Q844" s="3"/>
    </row>
    <row r="845" spans="1:17" hidden="1" x14ac:dyDescent="0.3">
      <c r="A845" s="2">
        <v>45139</v>
      </c>
      <c r="B845" s="3" t="s">
        <v>12</v>
      </c>
      <c r="C845" s="3" t="s">
        <v>19</v>
      </c>
      <c r="D845" s="3" t="s">
        <v>26</v>
      </c>
      <c r="E845" s="3" t="s">
        <v>27</v>
      </c>
      <c r="F845" s="3">
        <v>88.1</v>
      </c>
      <c r="G845" s="3" t="s">
        <v>28</v>
      </c>
      <c r="H845" s="3" t="s">
        <v>29</v>
      </c>
      <c r="I845" s="3">
        <f>IF(C845="India",1,IF(C845="USA",INDEX('Currency Master'!B:B,MATCH(DATE(N845,MONTH(DATEVALUE(O845&amp;" 1")),1),'Currency Master'!A:A,0)),IF(C845="Australia",INDEX('Currency Master'!T:T,MATCH(DATE(N845,MONTH(DATEVALUE(O845&amp;" 1")),1),'Currency Master'!A:A,0)),"")))</f>
        <v>82.7</v>
      </c>
      <c r="J845" s="3">
        <f t="shared" si="52"/>
        <v>57183</v>
      </c>
      <c r="K845" s="3" t="str">
        <f t="shared" si="53"/>
        <v>₹/Candy</v>
      </c>
      <c r="L845" s="3">
        <v>3.1132958801498099E-2</v>
      </c>
      <c r="M845" s="3"/>
      <c r="N845" s="3">
        <f t="shared" si="54"/>
        <v>2023</v>
      </c>
      <c r="O845" s="3" t="str">
        <f t="shared" si="55"/>
        <v>August</v>
      </c>
      <c r="P845" s="3" t="s">
        <v>30</v>
      </c>
      <c r="Q845" s="3"/>
    </row>
    <row r="846" spans="1:17" hidden="1" x14ac:dyDescent="0.3">
      <c r="A846" s="2">
        <v>45108</v>
      </c>
      <c r="B846" s="3" t="s">
        <v>12</v>
      </c>
      <c r="C846" s="3" t="s">
        <v>19</v>
      </c>
      <c r="D846" s="3" t="s">
        <v>26</v>
      </c>
      <c r="E846" s="3" t="s">
        <v>27</v>
      </c>
      <c r="F846" s="3">
        <v>85.44</v>
      </c>
      <c r="G846" s="3" t="s">
        <v>28</v>
      </c>
      <c r="H846" s="3" t="s">
        <v>29</v>
      </c>
      <c r="I846" s="3">
        <f>IF(C846="India",1,IF(C846="USA",INDEX('Currency Master'!B:B,MATCH(DATE(N846,MONTH(DATEVALUE(O846&amp;" 1")),1),'Currency Master'!A:A,0)),IF(C846="Australia",INDEX('Currency Master'!T:T,MATCH(DATE(N846,MONTH(DATEVALUE(O846&amp;" 1")),1),'Currency Master'!A:A,0)),"")))</f>
        <v>82.24</v>
      </c>
      <c r="J846" s="3">
        <f t="shared" si="52"/>
        <v>55148</v>
      </c>
      <c r="K846" s="3" t="str">
        <f t="shared" si="53"/>
        <v>₹/Candy</v>
      </c>
      <c r="L846" s="3">
        <v>3.1385803959439899E-2</v>
      </c>
      <c r="M846" s="3"/>
      <c r="N846" s="3">
        <f t="shared" si="54"/>
        <v>2023</v>
      </c>
      <c r="O846" s="3" t="str">
        <f t="shared" si="55"/>
        <v>July</v>
      </c>
      <c r="P846" s="3" t="s">
        <v>30</v>
      </c>
      <c r="Q846" s="3"/>
    </row>
    <row r="847" spans="1:17" hidden="1" x14ac:dyDescent="0.3">
      <c r="A847" s="2">
        <v>45078</v>
      </c>
      <c r="B847" s="3" t="s">
        <v>12</v>
      </c>
      <c r="C847" s="3" t="s">
        <v>19</v>
      </c>
      <c r="D847" s="3" t="s">
        <v>26</v>
      </c>
      <c r="E847" s="3" t="s">
        <v>27</v>
      </c>
      <c r="F847" s="3">
        <v>82.84</v>
      </c>
      <c r="G847" s="3" t="s">
        <v>28</v>
      </c>
      <c r="H847" s="3" t="s">
        <v>29</v>
      </c>
      <c r="I847" s="3">
        <f>IF(C847="India",1,IF(C847="USA",INDEX('Currency Master'!B:B,MATCH(DATE(N847,MONTH(DATEVALUE(O847&amp;" 1")),1),'Currency Master'!A:A,0)),IF(C847="Australia",INDEX('Currency Master'!T:T,MATCH(DATE(N847,MONTH(DATEVALUE(O847&amp;" 1")),1),'Currency Master'!A:A,0)),"")))</f>
        <v>82.09</v>
      </c>
      <c r="J847" s="3">
        <f t="shared" si="52"/>
        <v>53372</v>
      </c>
      <c r="K847" s="3" t="str">
        <f t="shared" si="53"/>
        <v>₹/Candy</v>
      </c>
      <c r="L847" s="3">
        <v>-7.6665069477719304E-3</v>
      </c>
      <c r="M847" s="3"/>
      <c r="N847" s="3">
        <f t="shared" si="54"/>
        <v>2023</v>
      </c>
      <c r="O847" s="3" t="str">
        <f t="shared" si="55"/>
        <v>June</v>
      </c>
      <c r="P847" s="3" t="s">
        <v>30</v>
      </c>
      <c r="Q847" s="3"/>
    </row>
    <row r="848" spans="1:17" hidden="1" x14ac:dyDescent="0.3">
      <c r="A848" s="2">
        <v>45047</v>
      </c>
      <c r="B848" s="3" t="s">
        <v>12</v>
      </c>
      <c r="C848" s="3" t="s">
        <v>19</v>
      </c>
      <c r="D848" s="3" t="s">
        <v>26</v>
      </c>
      <c r="E848" s="3" t="s">
        <v>27</v>
      </c>
      <c r="F848" s="3">
        <v>83.48</v>
      </c>
      <c r="G848" s="3" t="s">
        <v>28</v>
      </c>
      <c r="H848" s="3" t="s">
        <v>29</v>
      </c>
      <c r="I848" s="3">
        <f>IF(C848="India",1,IF(C848="USA",INDEX('Currency Master'!B:B,MATCH(DATE(N848,MONTH(DATEVALUE(O848&amp;" 1")),1),'Currency Master'!A:A,0)),IF(C848="Australia",INDEX('Currency Master'!T:T,MATCH(DATE(N848,MONTH(DATEVALUE(O848&amp;" 1")),1),'Currency Master'!A:A,0)),"")))</f>
        <v>82.68</v>
      </c>
      <c r="J848" s="3">
        <f t="shared" si="52"/>
        <v>54171</v>
      </c>
      <c r="K848" s="3" t="str">
        <f t="shared" si="53"/>
        <v>₹/Candy</v>
      </c>
      <c r="L848" s="3">
        <v>5.6307731241300701E-2</v>
      </c>
      <c r="M848" s="3"/>
      <c r="N848" s="3">
        <f t="shared" si="54"/>
        <v>2023</v>
      </c>
      <c r="O848" s="3" t="str">
        <f t="shared" si="55"/>
        <v>May</v>
      </c>
      <c r="P848" s="3" t="s">
        <v>30</v>
      </c>
      <c r="Q848" s="3"/>
    </row>
    <row r="849" spans="1:17" hidden="1" x14ac:dyDescent="0.3">
      <c r="A849" s="2">
        <v>45017</v>
      </c>
      <c r="B849" s="3" t="s">
        <v>12</v>
      </c>
      <c r="C849" s="3" t="s">
        <v>19</v>
      </c>
      <c r="D849" s="3" t="s">
        <v>26</v>
      </c>
      <c r="E849" s="3" t="s">
        <v>27</v>
      </c>
      <c r="F849" s="3">
        <v>79.03</v>
      </c>
      <c r="G849" s="3" t="s">
        <v>28</v>
      </c>
      <c r="H849" s="3" t="s">
        <v>29</v>
      </c>
      <c r="I849" s="3">
        <f>IF(C849="India",1,IF(C849="USA",INDEX('Currency Master'!B:B,MATCH(DATE(N849,MONTH(DATEVALUE(O849&amp;" 1")),1),'Currency Master'!A:A,0)),IF(C849="Australia",INDEX('Currency Master'!T:T,MATCH(DATE(N849,MONTH(DATEVALUE(O849&amp;" 1")),1),'Currency Master'!A:A,0)),"")))</f>
        <v>82.72</v>
      </c>
      <c r="J849" s="3">
        <f t="shared" si="52"/>
        <v>51308</v>
      </c>
      <c r="K849" s="3" t="str">
        <f t="shared" si="53"/>
        <v>₹/Candy</v>
      </c>
      <c r="L849" s="3">
        <v>-4.5300797294032399E-2</v>
      </c>
      <c r="M849" s="3"/>
      <c r="N849" s="3">
        <f t="shared" si="54"/>
        <v>2023</v>
      </c>
      <c r="O849" s="3" t="str">
        <f t="shared" si="55"/>
        <v>April</v>
      </c>
      <c r="P849" s="3" t="s">
        <v>30</v>
      </c>
      <c r="Q849" s="3"/>
    </row>
    <row r="850" spans="1:17" hidden="1" x14ac:dyDescent="0.3">
      <c r="A850" s="2">
        <v>44986</v>
      </c>
      <c r="B850" s="3" t="s">
        <v>12</v>
      </c>
      <c r="C850" s="3" t="s">
        <v>19</v>
      </c>
      <c r="D850" s="3" t="s">
        <v>26</v>
      </c>
      <c r="E850" s="3" t="s">
        <v>27</v>
      </c>
      <c r="F850" s="3">
        <v>82.78</v>
      </c>
      <c r="G850" s="3" t="s">
        <v>28</v>
      </c>
      <c r="H850" s="3" t="s">
        <v>29</v>
      </c>
      <c r="I850" s="3">
        <f>IF(C850="India",1,IF(C850="USA",INDEX('Currency Master'!B:B,MATCH(DATE(N850,MONTH(DATEVALUE(O850&amp;" 1")),1),'Currency Master'!A:A,0)),IF(C850="Australia",INDEX('Currency Master'!T:T,MATCH(DATE(N850,MONTH(DATEVALUE(O850&amp;" 1")),1),'Currency Master'!A:A,0)),"")))</f>
        <v>82.16</v>
      </c>
      <c r="J850" s="3">
        <f t="shared" si="52"/>
        <v>53379</v>
      </c>
      <c r="K850" s="3" t="str">
        <f t="shared" si="53"/>
        <v>₹/Candy</v>
      </c>
      <c r="L850" s="3">
        <v>-1.6747832284119201E-2</v>
      </c>
      <c r="M850" s="3"/>
      <c r="N850" s="3">
        <f t="shared" si="54"/>
        <v>2023</v>
      </c>
      <c r="O850" s="3" t="str">
        <f t="shared" si="55"/>
        <v>March</v>
      </c>
      <c r="P850" s="3" t="s">
        <v>30</v>
      </c>
      <c r="Q850" s="3"/>
    </row>
    <row r="851" spans="1:17" hidden="1" x14ac:dyDescent="0.3">
      <c r="A851" s="2">
        <v>44958</v>
      </c>
      <c r="B851" s="3" t="s">
        <v>12</v>
      </c>
      <c r="C851" s="3" t="s">
        <v>19</v>
      </c>
      <c r="D851" s="3" t="s">
        <v>26</v>
      </c>
      <c r="E851" s="3" t="s">
        <v>27</v>
      </c>
      <c r="F851" s="3">
        <v>84.19</v>
      </c>
      <c r="G851" s="3" t="s">
        <v>28</v>
      </c>
      <c r="H851" s="3" t="s">
        <v>29</v>
      </c>
      <c r="I851" s="3">
        <f>IF(C851="India",1,IF(C851="USA",INDEX('Currency Master'!B:B,MATCH(DATE(N851,MONTH(DATEVALUE(O851&amp;" 1")),1),'Currency Master'!A:A,0)),IF(C851="Australia",INDEX('Currency Master'!T:T,MATCH(DATE(N851,MONTH(DATEVALUE(O851&amp;" 1")),1),'Currency Master'!A:A,0)),"")))</f>
        <v>82.64</v>
      </c>
      <c r="J851" s="3">
        <f t="shared" si="52"/>
        <v>54605</v>
      </c>
      <c r="K851" s="3" t="str">
        <f t="shared" si="53"/>
        <v>₹/Candy</v>
      </c>
      <c r="L851" s="3">
        <v>-2.35444212479703E-2</v>
      </c>
      <c r="M851" s="3"/>
      <c r="N851" s="3">
        <f t="shared" si="54"/>
        <v>2023</v>
      </c>
      <c r="O851" s="3" t="str">
        <f t="shared" si="55"/>
        <v>February</v>
      </c>
      <c r="P851" s="3" t="s">
        <v>30</v>
      </c>
      <c r="Q851" s="3"/>
    </row>
    <row r="852" spans="1:17" hidden="1" x14ac:dyDescent="0.3">
      <c r="A852" s="2">
        <v>44927</v>
      </c>
      <c r="B852" s="3" t="s">
        <v>12</v>
      </c>
      <c r="C852" s="3" t="s">
        <v>19</v>
      </c>
      <c r="D852" s="3" t="s">
        <v>26</v>
      </c>
      <c r="E852" s="3" t="s">
        <v>27</v>
      </c>
      <c r="F852" s="3">
        <v>86.22</v>
      </c>
      <c r="G852" s="3" t="s">
        <v>28</v>
      </c>
      <c r="H852" s="3" t="s">
        <v>29</v>
      </c>
      <c r="I852" s="3">
        <f>IF(C852="India",1,IF(C852="USA",INDEX('Currency Master'!B:B,MATCH(DATE(N852,MONTH(DATEVALUE(O852&amp;" 1")),1),'Currency Master'!A:A,0)),IF(C852="Australia",INDEX('Currency Master'!T:T,MATCH(DATE(N852,MONTH(DATEVALUE(O852&amp;" 1")),1),'Currency Master'!A:A,0)),"")))</f>
        <v>81.73</v>
      </c>
      <c r="J852" s="3">
        <f t="shared" si="52"/>
        <v>55306</v>
      </c>
      <c r="K852" s="3" t="str">
        <f t="shared" si="53"/>
        <v>₹/Candy</v>
      </c>
      <c r="L852" s="3">
        <v>3.4184958618207903E-2</v>
      </c>
      <c r="M852" s="3"/>
      <c r="N852" s="3">
        <f t="shared" si="54"/>
        <v>2023</v>
      </c>
      <c r="O852" s="3" t="str">
        <f t="shared" si="55"/>
        <v>January</v>
      </c>
      <c r="P852" s="3" t="s">
        <v>30</v>
      </c>
      <c r="Q852" s="3"/>
    </row>
    <row r="853" spans="1:17" hidden="1" x14ac:dyDescent="0.3">
      <c r="A853" s="2">
        <v>44896</v>
      </c>
      <c r="B853" s="3" t="s">
        <v>12</v>
      </c>
      <c r="C853" s="3" t="s">
        <v>19</v>
      </c>
      <c r="D853" s="3" t="s">
        <v>26</v>
      </c>
      <c r="E853" s="3" t="s">
        <v>27</v>
      </c>
      <c r="F853" s="3">
        <v>83.37</v>
      </c>
      <c r="G853" s="3" t="s">
        <v>28</v>
      </c>
      <c r="H853" s="3" t="s">
        <v>29</v>
      </c>
      <c r="I853" s="3">
        <f>IF(C853="India",1,IF(C853="USA",INDEX('Currency Master'!B:B,MATCH(DATE(N853,MONTH(DATEVALUE(O853&amp;" 1")),1),'Currency Master'!A:A,0)),IF(C853="Australia",INDEX('Currency Master'!T:T,MATCH(DATE(N853,MONTH(DATEVALUE(O853&amp;" 1")),1),'Currency Master'!A:A,0)),"")))</f>
        <v>82.479831000000004</v>
      </c>
      <c r="J853" s="3">
        <f t="shared" si="52"/>
        <v>53969</v>
      </c>
      <c r="K853" s="3" t="str">
        <f t="shared" si="53"/>
        <v>₹/Candy</v>
      </c>
      <c r="L853" s="3">
        <v>-3.1144683323648899E-2</v>
      </c>
      <c r="M853" s="3"/>
      <c r="N853" s="3">
        <f t="shared" si="54"/>
        <v>2022</v>
      </c>
      <c r="O853" s="3" t="str">
        <f t="shared" si="55"/>
        <v>December</v>
      </c>
      <c r="P853" s="3" t="s">
        <v>30</v>
      </c>
      <c r="Q853" s="3"/>
    </row>
    <row r="854" spans="1:17" hidden="1" x14ac:dyDescent="0.3">
      <c r="A854" s="2">
        <v>44866</v>
      </c>
      <c r="B854" s="3" t="s">
        <v>12</v>
      </c>
      <c r="C854" s="3" t="s">
        <v>19</v>
      </c>
      <c r="D854" s="3" t="s">
        <v>26</v>
      </c>
      <c r="E854" s="3" t="s">
        <v>27</v>
      </c>
      <c r="F854" s="3">
        <v>86.05</v>
      </c>
      <c r="G854" s="3" t="s">
        <v>28</v>
      </c>
      <c r="H854" s="3" t="s">
        <v>29</v>
      </c>
      <c r="I854" s="3">
        <f>IF(C854="India",1,IF(C854="USA",INDEX('Currency Master'!B:B,MATCH(DATE(N854,MONTH(DATEVALUE(O854&amp;" 1")),1),'Currency Master'!A:A,0)),IF(C854="Australia",INDEX('Currency Master'!T:T,MATCH(DATE(N854,MONTH(DATEVALUE(O854&amp;" 1")),1),'Currency Master'!A:A,0)),"")))</f>
        <v>81.701479000000006</v>
      </c>
      <c r="J854" s="3">
        <f t="shared" si="52"/>
        <v>55178</v>
      </c>
      <c r="K854" s="3" t="str">
        <f t="shared" si="53"/>
        <v>₹/Candy</v>
      </c>
      <c r="L854" s="3">
        <v>0.195138888888889</v>
      </c>
      <c r="M854" s="3"/>
      <c r="N854" s="3">
        <f t="shared" si="54"/>
        <v>2022</v>
      </c>
      <c r="O854" s="3" t="str">
        <f t="shared" si="55"/>
        <v>November</v>
      </c>
      <c r="P854" s="3" t="s">
        <v>30</v>
      </c>
      <c r="Q854" s="3"/>
    </row>
    <row r="855" spans="1:17" hidden="1" x14ac:dyDescent="0.3">
      <c r="A855" s="2">
        <v>44835</v>
      </c>
      <c r="B855" s="3" t="s">
        <v>12</v>
      </c>
      <c r="C855" s="3" t="s">
        <v>19</v>
      </c>
      <c r="D855" s="3" t="s">
        <v>26</v>
      </c>
      <c r="E855" s="3" t="s">
        <v>27</v>
      </c>
      <c r="F855" s="3">
        <v>72</v>
      </c>
      <c r="G855" s="3" t="s">
        <v>28</v>
      </c>
      <c r="H855" s="3" t="s">
        <v>29</v>
      </c>
      <c r="I855" s="3">
        <f>IF(C855="India",1,IF(C855="USA",INDEX('Currency Master'!B:B,MATCH(DATE(N855,MONTH(DATEVALUE(O855&amp;" 1")),1),'Currency Master'!A:A,0)),IF(C855="Australia",INDEX('Currency Master'!T:T,MATCH(DATE(N855,MONTH(DATEVALUE(O855&amp;" 1")),1),'Currency Master'!A:A,0)),"")))</f>
        <v>82.354363000000006</v>
      </c>
      <c r="J855" s="3">
        <f t="shared" si="52"/>
        <v>46538</v>
      </c>
      <c r="K855" s="3" t="str">
        <f t="shared" si="53"/>
        <v>₹/Candy</v>
      </c>
      <c r="L855" s="3">
        <v>-0.22763355503110899</v>
      </c>
      <c r="M855" s="3"/>
      <c r="N855" s="3">
        <f t="shared" si="54"/>
        <v>2022</v>
      </c>
      <c r="O855" s="3" t="str">
        <f t="shared" si="55"/>
        <v>October</v>
      </c>
      <c r="P855" s="3" t="s">
        <v>30</v>
      </c>
      <c r="Q855" s="3"/>
    </row>
    <row r="856" spans="1:17" hidden="1" x14ac:dyDescent="0.3">
      <c r="A856" s="2">
        <v>44805</v>
      </c>
      <c r="B856" s="3" t="s">
        <v>12</v>
      </c>
      <c r="C856" s="3" t="s">
        <v>19</v>
      </c>
      <c r="D856" s="3" t="s">
        <v>26</v>
      </c>
      <c r="E856" s="3" t="s">
        <v>27</v>
      </c>
      <c r="F856" s="3">
        <v>93.22</v>
      </c>
      <c r="G856" s="3" t="s">
        <v>28</v>
      </c>
      <c r="H856" s="3" t="s">
        <v>29</v>
      </c>
      <c r="I856" s="3">
        <f>IF(C856="India",1,IF(C856="USA",INDEX('Currency Master'!B:B,MATCH(DATE(N856,MONTH(DATEVALUE(O856&amp;" 1")),1),'Currency Master'!A:A,0)),IF(C856="Australia",INDEX('Currency Master'!T:T,MATCH(DATE(N856,MONTH(DATEVALUE(O856&amp;" 1")),1),'Currency Master'!A:A,0)),"")))</f>
        <v>80.240606</v>
      </c>
      <c r="J856" s="3">
        <f t="shared" si="52"/>
        <v>58707</v>
      </c>
      <c r="K856" s="3" t="str">
        <f t="shared" si="53"/>
        <v>₹/Candy</v>
      </c>
      <c r="L856" s="3">
        <v>-0.21193676557612701</v>
      </c>
      <c r="M856" s="3"/>
      <c r="N856" s="3">
        <f t="shared" si="54"/>
        <v>2022</v>
      </c>
      <c r="O856" s="3" t="str">
        <f t="shared" si="55"/>
        <v>September</v>
      </c>
      <c r="P856" s="3" t="s">
        <v>30</v>
      </c>
      <c r="Q856" s="3"/>
    </row>
    <row r="857" spans="1:17" hidden="1" x14ac:dyDescent="0.3">
      <c r="A857" s="2">
        <v>44774</v>
      </c>
      <c r="B857" s="3" t="s">
        <v>12</v>
      </c>
      <c r="C857" s="3" t="s">
        <v>19</v>
      </c>
      <c r="D857" s="3" t="s">
        <v>26</v>
      </c>
      <c r="E857" s="3" t="s">
        <v>27</v>
      </c>
      <c r="F857" s="3">
        <v>118.29</v>
      </c>
      <c r="G857" s="3" t="s">
        <v>28</v>
      </c>
      <c r="H857" s="3" t="s">
        <v>29</v>
      </c>
      <c r="I857" s="3">
        <f>IF(C857="India",1,IF(C857="USA",INDEX('Currency Master'!B:B,MATCH(DATE(N857,MONTH(DATEVALUE(O857&amp;" 1")),1),'Currency Master'!A:A,0)),IF(C857="Australia",INDEX('Currency Master'!T:T,MATCH(DATE(N857,MONTH(DATEVALUE(O857&amp;" 1")),1),'Currency Master'!A:A,0)),"")))</f>
        <v>79.536995000000005</v>
      </c>
      <c r="J857" s="3">
        <f t="shared" si="52"/>
        <v>73842</v>
      </c>
      <c r="K857" s="3" t="str">
        <f t="shared" si="53"/>
        <v>₹/Candy</v>
      </c>
      <c r="L857" s="3">
        <v>0.14699893338504799</v>
      </c>
      <c r="M857" s="3"/>
      <c r="N857" s="3">
        <f t="shared" si="54"/>
        <v>2022</v>
      </c>
      <c r="O857" s="3" t="str">
        <f t="shared" si="55"/>
        <v>August</v>
      </c>
      <c r="P857" s="3" t="s">
        <v>30</v>
      </c>
      <c r="Q857" s="3"/>
    </row>
    <row r="858" spans="1:17" hidden="1" x14ac:dyDescent="0.3">
      <c r="A858" s="2">
        <v>44743</v>
      </c>
      <c r="B858" s="3" t="s">
        <v>12</v>
      </c>
      <c r="C858" s="3" t="s">
        <v>19</v>
      </c>
      <c r="D858" s="3" t="s">
        <v>26</v>
      </c>
      <c r="E858" s="3" t="s">
        <v>27</v>
      </c>
      <c r="F858" s="3">
        <v>103.13</v>
      </c>
      <c r="G858" s="3" t="s">
        <v>28</v>
      </c>
      <c r="H858" s="3" t="s">
        <v>29</v>
      </c>
      <c r="I858" s="3">
        <f>IF(C858="India",1,IF(C858="USA",INDEX('Currency Master'!B:B,MATCH(DATE(N858,MONTH(DATEVALUE(O858&amp;" 1")),1),'Currency Master'!A:A,0)),IF(C858="Australia",INDEX('Currency Master'!T:T,MATCH(DATE(N858,MONTH(DATEVALUE(O858&amp;" 1")),1),'Currency Master'!A:A,0)),"")))</f>
        <v>79.596326000000005</v>
      </c>
      <c r="J858" s="3">
        <f t="shared" si="52"/>
        <v>64426</v>
      </c>
      <c r="K858" s="3" t="str">
        <f t="shared" si="53"/>
        <v>₹/Candy</v>
      </c>
      <c r="L858" s="3">
        <v>-7.7929574754665998E-3</v>
      </c>
      <c r="M858" s="3"/>
      <c r="N858" s="3">
        <f t="shared" si="54"/>
        <v>2022</v>
      </c>
      <c r="O858" s="3" t="str">
        <f t="shared" si="55"/>
        <v>July</v>
      </c>
      <c r="P858" s="3" t="s">
        <v>30</v>
      </c>
      <c r="Q858" s="3"/>
    </row>
    <row r="859" spans="1:17" hidden="1" x14ac:dyDescent="0.3">
      <c r="A859" s="2">
        <v>44713</v>
      </c>
      <c r="B859" s="3" t="s">
        <v>12</v>
      </c>
      <c r="C859" s="3" t="s">
        <v>19</v>
      </c>
      <c r="D859" s="3" t="s">
        <v>26</v>
      </c>
      <c r="E859" s="3" t="s">
        <v>27</v>
      </c>
      <c r="F859" s="3">
        <v>103.94</v>
      </c>
      <c r="G859" s="3" t="s">
        <v>28</v>
      </c>
      <c r="H859" s="3" t="s">
        <v>29</v>
      </c>
      <c r="I859" s="3">
        <f>IF(C859="India",1,IF(C859="USA",INDEX('Currency Master'!B:B,MATCH(DATE(N859,MONTH(DATEVALUE(O859&amp;" 1")),1),'Currency Master'!A:A,0)),IF(C859="Australia",INDEX('Currency Master'!T:T,MATCH(DATE(N859,MONTH(DATEVALUE(O859&amp;" 1")),1),'Currency Master'!A:A,0)),"")))</f>
        <v>78.095657000000003</v>
      </c>
      <c r="J859" s="3">
        <f t="shared" si="52"/>
        <v>63708</v>
      </c>
      <c r="K859" s="3" t="str">
        <f t="shared" si="53"/>
        <v>₹/Candy</v>
      </c>
      <c r="L859" s="3">
        <v>-0.252122607569434</v>
      </c>
      <c r="M859" s="3"/>
      <c r="N859" s="3">
        <f t="shared" si="54"/>
        <v>2022</v>
      </c>
      <c r="O859" s="3" t="str">
        <f t="shared" si="55"/>
        <v>June</v>
      </c>
      <c r="P859" s="3" t="s">
        <v>30</v>
      </c>
      <c r="Q859" s="3"/>
    </row>
    <row r="860" spans="1:17" hidden="1" x14ac:dyDescent="0.3">
      <c r="A860" s="2">
        <v>44682</v>
      </c>
      <c r="B860" s="3" t="s">
        <v>12</v>
      </c>
      <c r="C860" s="3" t="s">
        <v>19</v>
      </c>
      <c r="D860" s="3" t="s">
        <v>26</v>
      </c>
      <c r="E860" s="3" t="s">
        <v>27</v>
      </c>
      <c r="F860" s="3">
        <v>138.97999999999999</v>
      </c>
      <c r="G860" s="3" t="s">
        <v>28</v>
      </c>
      <c r="H860" s="3" t="s">
        <v>29</v>
      </c>
      <c r="I860" s="3">
        <f>IF(C860="India",1,IF(C860="USA",INDEX('Currency Master'!B:B,MATCH(DATE(N860,MONTH(DATEVALUE(O860&amp;" 1")),1),'Currency Master'!A:A,0)),IF(C860="Australia",INDEX('Currency Master'!T:T,MATCH(DATE(N860,MONTH(DATEVALUE(O860&amp;" 1")),1),'Currency Master'!A:A,0)),"")))</f>
        <v>77.309526000000005</v>
      </c>
      <c r="J860" s="3">
        <f t="shared" si="52"/>
        <v>84328</v>
      </c>
      <c r="K860" s="3" t="str">
        <f t="shared" si="53"/>
        <v>₹/Candy</v>
      </c>
      <c r="L860" s="3">
        <v>-8.7638679183352095E-2</v>
      </c>
      <c r="M860" s="3"/>
      <c r="N860" s="3">
        <f t="shared" si="54"/>
        <v>2022</v>
      </c>
      <c r="O860" s="3" t="str">
        <f t="shared" si="55"/>
        <v>May</v>
      </c>
      <c r="P860" s="3" t="s">
        <v>30</v>
      </c>
      <c r="Q860" s="3"/>
    </row>
    <row r="861" spans="1:17" hidden="1" x14ac:dyDescent="0.3">
      <c r="A861" s="2">
        <v>44652</v>
      </c>
      <c r="B861" s="3" t="s">
        <v>12</v>
      </c>
      <c r="C861" s="3" t="s">
        <v>19</v>
      </c>
      <c r="D861" s="3" t="s">
        <v>26</v>
      </c>
      <c r="E861" s="3" t="s">
        <v>27</v>
      </c>
      <c r="F861" s="3">
        <v>152.33000000000001</v>
      </c>
      <c r="G861" s="3" t="s">
        <v>28</v>
      </c>
      <c r="H861" s="3" t="s">
        <v>29</v>
      </c>
      <c r="I861" s="3">
        <f>IF(C861="India",1,IF(C861="USA",INDEX('Currency Master'!B:B,MATCH(DATE(N861,MONTH(DATEVALUE(O861&amp;" 1")),1),'Currency Master'!A:A,0)),IF(C861="Australia",INDEX('Currency Master'!T:T,MATCH(DATE(N861,MONTH(DATEVALUE(O861&amp;" 1")),1),'Currency Master'!A:A,0)),"")))</f>
        <v>76.171184999999994</v>
      </c>
      <c r="J861" s="3">
        <f t="shared" si="52"/>
        <v>91067</v>
      </c>
      <c r="K861" s="3" t="str">
        <f t="shared" si="53"/>
        <v>₹/Candy</v>
      </c>
      <c r="L861" s="3">
        <v>0.122632471073771</v>
      </c>
      <c r="M861" s="3"/>
      <c r="N861" s="3">
        <f t="shared" si="54"/>
        <v>2022</v>
      </c>
      <c r="O861" s="3" t="str">
        <f t="shared" si="55"/>
        <v>April</v>
      </c>
      <c r="P861" s="3" t="s">
        <v>30</v>
      </c>
      <c r="Q861" s="3"/>
    </row>
    <row r="862" spans="1:17" hidden="1" x14ac:dyDescent="0.3">
      <c r="A862" s="2">
        <v>44621</v>
      </c>
      <c r="B862" s="3" t="s">
        <v>12</v>
      </c>
      <c r="C862" s="3" t="s">
        <v>19</v>
      </c>
      <c r="D862" s="3" t="s">
        <v>26</v>
      </c>
      <c r="E862" s="3" t="s">
        <v>27</v>
      </c>
      <c r="F862" s="3">
        <v>135.69</v>
      </c>
      <c r="G862" s="3" t="s">
        <v>28</v>
      </c>
      <c r="H862" s="3" t="s">
        <v>29</v>
      </c>
      <c r="I862" s="3">
        <f>IF(C862="India",1,IF(C862="USA",INDEX('Currency Master'!B:B,MATCH(DATE(N862,MONTH(DATEVALUE(O862&amp;" 1")),1),'Currency Master'!A:A,0)),IF(C862="Australia",INDEX('Currency Master'!T:T,MATCH(DATE(N862,MONTH(DATEVALUE(O862&amp;" 1")),1),'Currency Master'!A:A,0)),"")))</f>
        <v>76.228148000000004</v>
      </c>
      <c r="J862" s="3">
        <f t="shared" si="52"/>
        <v>81180</v>
      </c>
      <c r="K862" s="3" t="str">
        <f t="shared" si="53"/>
        <v>₹/Candy</v>
      </c>
      <c r="L862" s="3">
        <v>0.10704087460226799</v>
      </c>
      <c r="M862" s="3"/>
      <c r="N862" s="3">
        <f t="shared" si="54"/>
        <v>2022</v>
      </c>
      <c r="O862" s="3" t="str">
        <f t="shared" si="55"/>
        <v>March</v>
      </c>
      <c r="P862" s="3" t="s">
        <v>30</v>
      </c>
      <c r="Q862" s="3"/>
    </row>
    <row r="863" spans="1:17" hidden="1" x14ac:dyDescent="0.3">
      <c r="A863" s="2">
        <v>44593</v>
      </c>
      <c r="B863" s="3" t="s">
        <v>12</v>
      </c>
      <c r="C863" s="3" t="s">
        <v>19</v>
      </c>
      <c r="D863" s="3" t="s">
        <v>26</v>
      </c>
      <c r="E863" s="3" t="s">
        <v>27</v>
      </c>
      <c r="F863" s="3">
        <v>122.57</v>
      </c>
      <c r="G863" s="3" t="s">
        <v>28</v>
      </c>
      <c r="H863" s="3" t="s">
        <v>29</v>
      </c>
      <c r="I863" s="3">
        <f>IF(C863="India",1,IF(C863="USA",INDEX('Currency Master'!B:B,MATCH(DATE(N863,MONTH(DATEVALUE(O863&amp;" 1")),1),'Currency Master'!A:A,0)),IF(C863="Australia",INDEX('Currency Master'!T:T,MATCH(DATE(N863,MONTH(DATEVALUE(O863&amp;" 1")),1),'Currency Master'!A:A,0)),"")))</f>
        <v>74.971907000000002</v>
      </c>
      <c r="J863" s="3">
        <f t="shared" si="52"/>
        <v>72122</v>
      </c>
      <c r="K863" s="3" t="str">
        <f t="shared" si="53"/>
        <v>₹/Candy</v>
      </c>
      <c r="L863" s="3">
        <v>-3.9194167907815297E-2</v>
      </c>
      <c r="M863" s="3"/>
      <c r="N863" s="3">
        <f t="shared" si="54"/>
        <v>2022</v>
      </c>
      <c r="O863" s="3" t="str">
        <f t="shared" si="55"/>
        <v>February</v>
      </c>
      <c r="P863" s="3" t="s">
        <v>30</v>
      </c>
      <c r="Q863" s="3"/>
    </row>
    <row r="864" spans="1:17" hidden="1" x14ac:dyDescent="0.3">
      <c r="A864" s="2">
        <v>44562</v>
      </c>
      <c r="B864" s="3" t="s">
        <v>12</v>
      </c>
      <c r="C864" s="3" t="s">
        <v>19</v>
      </c>
      <c r="D864" s="3" t="s">
        <v>26</v>
      </c>
      <c r="E864" s="3" t="s">
        <v>27</v>
      </c>
      <c r="F864" s="3">
        <v>127.57</v>
      </c>
      <c r="G864" s="3" t="s">
        <v>28</v>
      </c>
      <c r="H864" s="3" t="s">
        <v>29</v>
      </c>
      <c r="I864" s="3">
        <f>IF(C864="India",1,IF(C864="USA",INDEX('Currency Master'!B:B,MATCH(DATE(N864,MONTH(DATEVALUE(O864&amp;" 1")),1),'Currency Master'!A:A,0)),IF(C864="Australia",INDEX('Currency Master'!T:T,MATCH(DATE(N864,MONTH(DATEVALUE(O864&amp;" 1")),1),'Currency Master'!A:A,0)),"")))</f>
        <v>74.444012000000001</v>
      </c>
      <c r="J864" s="3">
        <f t="shared" si="52"/>
        <v>74535</v>
      </c>
      <c r="K864" s="3" t="str">
        <f t="shared" si="53"/>
        <v>₹/Candy</v>
      </c>
      <c r="L864" s="3">
        <v>0.13294849023090599</v>
      </c>
      <c r="M864" s="3"/>
      <c r="N864" s="3">
        <f t="shared" si="54"/>
        <v>2022</v>
      </c>
      <c r="O864" s="3" t="str">
        <f t="shared" si="55"/>
        <v>January</v>
      </c>
      <c r="P864" s="3" t="s">
        <v>30</v>
      </c>
      <c r="Q864" s="3"/>
    </row>
    <row r="865" spans="1:17" hidden="1" x14ac:dyDescent="0.3">
      <c r="A865" s="2">
        <v>44531</v>
      </c>
      <c r="B865" s="3" t="s">
        <v>12</v>
      </c>
      <c r="C865" s="3" t="s">
        <v>19</v>
      </c>
      <c r="D865" s="3" t="s">
        <v>26</v>
      </c>
      <c r="E865" s="3" t="s">
        <v>27</v>
      </c>
      <c r="F865" s="3">
        <v>112.6</v>
      </c>
      <c r="G865" s="3" t="s">
        <v>28</v>
      </c>
      <c r="H865" s="3" t="s">
        <v>29</v>
      </c>
      <c r="I865" s="3">
        <f>IF(C865="India",1,IF(C865="USA",INDEX('Currency Master'!B:B,MATCH(DATE(N865,MONTH(DATEVALUE(O865&amp;" 1")),1),'Currency Master'!A:A,0)),IF(C865="Australia",INDEX('Currency Master'!T:T,MATCH(DATE(N865,MONTH(DATEVALUE(O865&amp;" 1")),1),'Currency Master'!A:A,0)),"")))</f>
        <v>75.352399000000005</v>
      </c>
      <c r="J865" s="3">
        <f t="shared" si="52"/>
        <v>66592</v>
      </c>
      <c r="K865" s="3" t="str">
        <f t="shared" si="53"/>
        <v>₹/Candy</v>
      </c>
      <c r="L865" s="3">
        <v>8.5087326466635194E-3</v>
      </c>
      <c r="M865" s="3"/>
      <c r="N865" s="3">
        <f t="shared" si="54"/>
        <v>2021</v>
      </c>
      <c r="O865" s="3" t="str">
        <f t="shared" si="55"/>
        <v>December</v>
      </c>
      <c r="P865" s="3" t="s">
        <v>30</v>
      </c>
      <c r="Q865" s="3"/>
    </row>
    <row r="866" spans="1:17" hidden="1" x14ac:dyDescent="0.3">
      <c r="A866" s="2">
        <v>44501</v>
      </c>
      <c r="B866" s="3" t="s">
        <v>12</v>
      </c>
      <c r="C866" s="3" t="s">
        <v>19</v>
      </c>
      <c r="D866" s="3" t="s">
        <v>26</v>
      </c>
      <c r="E866" s="3" t="s">
        <v>27</v>
      </c>
      <c r="F866" s="3">
        <v>111.65</v>
      </c>
      <c r="G866" s="3" t="s">
        <v>28</v>
      </c>
      <c r="H866" s="3" t="s">
        <v>29</v>
      </c>
      <c r="I866" s="3">
        <f>IF(C866="India",1,IF(C866="USA",INDEX('Currency Master'!B:B,MATCH(DATE(N866,MONTH(DATEVALUE(O866&amp;" 1")),1),'Currency Master'!A:A,0)),IF(C866="Australia",INDEX('Currency Master'!T:T,MATCH(DATE(N866,MONTH(DATEVALUE(O866&amp;" 1")),1),'Currency Master'!A:A,0)),"")))</f>
        <v>74.473561000000004</v>
      </c>
      <c r="J866" s="3">
        <f t="shared" si="52"/>
        <v>65260</v>
      </c>
      <c r="K866" s="3" t="str">
        <f t="shared" si="53"/>
        <v>₹/Candy</v>
      </c>
      <c r="L866" s="3">
        <v>-2.7862429255550599E-2</v>
      </c>
      <c r="M866" s="3"/>
      <c r="N866" s="3">
        <f t="shared" si="54"/>
        <v>2021</v>
      </c>
      <c r="O866" s="3" t="str">
        <f t="shared" si="55"/>
        <v>November</v>
      </c>
      <c r="P866" s="3" t="s">
        <v>30</v>
      </c>
      <c r="Q866" s="3"/>
    </row>
    <row r="867" spans="1:17" hidden="1" x14ac:dyDescent="0.3">
      <c r="A867" s="2">
        <v>44470</v>
      </c>
      <c r="B867" s="3" t="s">
        <v>12</v>
      </c>
      <c r="C867" s="3" t="s">
        <v>19</v>
      </c>
      <c r="D867" s="3" t="s">
        <v>26</v>
      </c>
      <c r="E867" s="3" t="s">
        <v>27</v>
      </c>
      <c r="F867" s="3">
        <v>114.85</v>
      </c>
      <c r="G867" s="3" t="s">
        <v>28</v>
      </c>
      <c r="H867" s="3" t="s">
        <v>29</v>
      </c>
      <c r="I867" s="3">
        <f>IF(C867="India",1,IF(C867="USA",INDEX('Currency Master'!B:B,MATCH(DATE(N867,MONTH(DATEVALUE(O867&amp;" 1")),1),'Currency Master'!A:A,0)),IF(C867="Australia",INDEX('Currency Master'!T:T,MATCH(DATE(N867,MONTH(DATEVALUE(O867&amp;" 1")),1),'Currency Master'!A:A,0)),"")))</f>
        <v>74.953777000000002</v>
      </c>
      <c r="J867" s="3">
        <f t="shared" si="52"/>
        <v>67563</v>
      </c>
      <c r="K867" s="3" t="str">
        <f t="shared" si="53"/>
        <v>₹/Candy</v>
      </c>
      <c r="L867" s="3">
        <v>6.5398886827458202E-2</v>
      </c>
      <c r="M867" s="3"/>
      <c r="N867" s="3">
        <f t="shared" si="54"/>
        <v>2021</v>
      </c>
      <c r="O867" s="3" t="str">
        <f t="shared" si="55"/>
        <v>October</v>
      </c>
      <c r="P867" s="3" t="s">
        <v>30</v>
      </c>
      <c r="Q867" s="3"/>
    </row>
    <row r="868" spans="1:17" hidden="1" x14ac:dyDescent="0.3">
      <c r="A868" s="2">
        <v>44440</v>
      </c>
      <c r="B868" s="3" t="s">
        <v>12</v>
      </c>
      <c r="C868" s="3" t="s">
        <v>19</v>
      </c>
      <c r="D868" s="3" t="s">
        <v>26</v>
      </c>
      <c r="E868" s="3" t="s">
        <v>27</v>
      </c>
      <c r="F868" s="3">
        <v>107.8</v>
      </c>
      <c r="G868" s="3" t="s">
        <v>28</v>
      </c>
      <c r="H868" s="3" t="s">
        <v>29</v>
      </c>
      <c r="I868" s="3">
        <f>IF(C868="India",1,IF(C868="USA",INDEX('Currency Master'!B:B,MATCH(DATE(N868,MONTH(DATEVALUE(O868&amp;" 1")),1),'Currency Master'!A:A,0)),IF(C868="Australia",INDEX('Currency Master'!T:T,MATCH(DATE(N868,MONTH(DATEVALUE(O868&amp;" 1")),1),'Currency Master'!A:A,0)),"")))</f>
        <v>73.604971000000006</v>
      </c>
      <c r="J868" s="3">
        <f t="shared" si="52"/>
        <v>62275</v>
      </c>
      <c r="K868" s="3" t="str">
        <f t="shared" si="53"/>
        <v>₹/Candy</v>
      </c>
      <c r="L868" s="3">
        <v>0.14790757107869201</v>
      </c>
      <c r="M868" s="3"/>
      <c r="N868" s="3">
        <f t="shared" si="54"/>
        <v>2021</v>
      </c>
      <c r="O868" s="3" t="str">
        <f t="shared" si="55"/>
        <v>September</v>
      </c>
      <c r="P868" s="3" t="s">
        <v>30</v>
      </c>
      <c r="Q868" s="3"/>
    </row>
    <row r="869" spans="1:17" hidden="1" x14ac:dyDescent="0.3">
      <c r="A869" s="2">
        <v>44409</v>
      </c>
      <c r="B869" s="3" t="s">
        <v>12</v>
      </c>
      <c r="C869" s="3" t="s">
        <v>19</v>
      </c>
      <c r="D869" s="3" t="s">
        <v>26</v>
      </c>
      <c r="E869" s="3" t="s">
        <v>27</v>
      </c>
      <c r="F869" s="3">
        <v>93.91</v>
      </c>
      <c r="G869" s="3" t="s">
        <v>28</v>
      </c>
      <c r="H869" s="3" t="s">
        <v>29</v>
      </c>
      <c r="I869" s="3">
        <f>IF(C869="India",1,IF(C869="USA",INDEX('Currency Master'!B:B,MATCH(DATE(N869,MONTH(DATEVALUE(O869&amp;" 1")),1),'Currency Master'!A:A,0)),IF(C869="Australia",INDEX('Currency Master'!T:T,MATCH(DATE(N869,MONTH(DATEVALUE(O869&amp;" 1")),1),'Currency Master'!A:A,0)),"")))</f>
        <v>74.124448999999998</v>
      </c>
      <c r="J869" s="3">
        <f t="shared" si="52"/>
        <v>54633</v>
      </c>
      <c r="K869" s="3" t="str">
        <f t="shared" si="53"/>
        <v>₹/Candy</v>
      </c>
      <c r="L869" s="3">
        <v>4.5419125013915103E-2</v>
      </c>
      <c r="M869" s="3"/>
      <c r="N869" s="3">
        <f t="shared" si="54"/>
        <v>2021</v>
      </c>
      <c r="O869" s="3" t="str">
        <f t="shared" si="55"/>
        <v>August</v>
      </c>
      <c r="P869" s="3" t="s">
        <v>30</v>
      </c>
      <c r="Q869" s="3"/>
    </row>
    <row r="870" spans="1:17" hidden="1" x14ac:dyDescent="0.3">
      <c r="A870" s="2">
        <v>44378</v>
      </c>
      <c r="B870" s="3" t="s">
        <v>12</v>
      </c>
      <c r="C870" s="3" t="s">
        <v>19</v>
      </c>
      <c r="D870" s="3" t="s">
        <v>26</v>
      </c>
      <c r="E870" s="3" t="s">
        <v>27</v>
      </c>
      <c r="F870" s="3">
        <v>89.83</v>
      </c>
      <c r="G870" s="3" t="s">
        <v>28</v>
      </c>
      <c r="H870" s="3" t="s">
        <v>29</v>
      </c>
      <c r="I870" s="3">
        <f>IF(C870="India",1,IF(C870="USA",INDEX('Currency Master'!B:B,MATCH(DATE(N870,MONTH(DATEVALUE(O870&amp;" 1")),1),'Currency Master'!A:A,0)),IF(C870="Australia",INDEX('Currency Master'!T:T,MATCH(DATE(N870,MONTH(DATEVALUE(O870&amp;" 1")),1),'Currency Master'!A:A,0)),"")))</f>
        <v>74.534734999999998</v>
      </c>
      <c r="J870" s="3">
        <f t="shared" si="52"/>
        <v>52549</v>
      </c>
      <c r="K870" s="3" t="str">
        <f t="shared" si="53"/>
        <v>₹/Candy</v>
      </c>
      <c r="L870" s="3">
        <v>6.9022967987623501E-2</v>
      </c>
      <c r="M870" s="3"/>
      <c r="N870" s="3">
        <f t="shared" si="54"/>
        <v>2021</v>
      </c>
      <c r="O870" s="3" t="str">
        <f t="shared" si="55"/>
        <v>July</v>
      </c>
      <c r="P870" s="3" t="s">
        <v>30</v>
      </c>
      <c r="Q870" s="3"/>
    </row>
    <row r="871" spans="1:17" hidden="1" x14ac:dyDescent="0.3">
      <c r="A871" s="2">
        <v>44348</v>
      </c>
      <c r="B871" s="3" t="s">
        <v>12</v>
      </c>
      <c r="C871" s="3" t="s">
        <v>19</v>
      </c>
      <c r="D871" s="3" t="s">
        <v>26</v>
      </c>
      <c r="E871" s="3" t="s">
        <v>27</v>
      </c>
      <c r="F871" s="3">
        <v>84.03</v>
      </c>
      <c r="G871" s="3" t="s">
        <v>28</v>
      </c>
      <c r="H871" s="3" t="s">
        <v>29</v>
      </c>
      <c r="I871" s="3">
        <f>IF(C871="India",1,IF(C871="USA",INDEX('Currency Master'!B:B,MATCH(DATE(N871,MONTH(DATEVALUE(O871&amp;" 1")),1),'Currency Master'!A:A,0)),IF(C871="Australia",INDEX('Currency Master'!T:T,MATCH(DATE(N871,MONTH(DATEVALUE(O871&amp;" 1")),1),'Currency Master'!A:A,0)),"")))</f>
        <v>73.575495000000004</v>
      </c>
      <c r="J871" s="3">
        <f t="shared" si="52"/>
        <v>48524</v>
      </c>
      <c r="K871" s="3" t="str">
        <f t="shared" si="53"/>
        <v>₹/Candy</v>
      </c>
      <c r="L871" s="3">
        <v>2.3258645884072001E-2</v>
      </c>
      <c r="M871" s="3"/>
      <c r="N871" s="3">
        <f t="shared" si="54"/>
        <v>2021</v>
      </c>
      <c r="O871" s="3" t="str">
        <f t="shared" si="55"/>
        <v>June</v>
      </c>
      <c r="P871" s="3" t="s">
        <v>30</v>
      </c>
      <c r="Q871" s="3"/>
    </row>
    <row r="872" spans="1:17" hidden="1" x14ac:dyDescent="0.3">
      <c r="A872" s="2">
        <v>44317</v>
      </c>
      <c r="B872" s="3" t="s">
        <v>12</v>
      </c>
      <c r="C872" s="3" t="s">
        <v>19</v>
      </c>
      <c r="D872" s="3" t="s">
        <v>26</v>
      </c>
      <c r="E872" s="3" t="s">
        <v>27</v>
      </c>
      <c r="F872" s="3">
        <v>82.12</v>
      </c>
      <c r="G872" s="3" t="s">
        <v>28</v>
      </c>
      <c r="H872" s="3" t="s">
        <v>29</v>
      </c>
      <c r="I872" s="3">
        <f>IF(C872="India",1,IF(C872="USA",INDEX('Currency Master'!B:B,MATCH(DATE(N872,MONTH(DATEVALUE(O872&amp;" 1")),1),'Currency Master'!A:A,0)),IF(C872="Australia",INDEX('Currency Master'!T:T,MATCH(DATE(N872,MONTH(DATEVALUE(O872&amp;" 1")),1),'Currency Master'!A:A,0)),"")))</f>
        <v>73.209689999999995</v>
      </c>
      <c r="J872" s="3">
        <f t="shared" si="52"/>
        <v>47185</v>
      </c>
      <c r="K872" s="3" t="str">
        <f t="shared" si="53"/>
        <v>₹/Candy</v>
      </c>
      <c r="L872" s="3">
        <v>-6.0734301727095902E-2</v>
      </c>
      <c r="M872" s="3"/>
      <c r="N872" s="3">
        <f t="shared" si="54"/>
        <v>2021</v>
      </c>
      <c r="O872" s="3" t="str">
        <f t="shared" si="55"/>
        <v>May</v>
      </c>
      <c r="P872" s="3" t="s">
        <v>30</v>
      </c>
      <c r="Q872" s="3"/>
    </row>
    <row r="873" spans="1:17" hidden="1" x14ac:dyDescent="0.3">
      <c r="A873" s="2">
        <v>44287</v>
      </c>
      <c r="B873" s="3" t="s">
        <v>12</v>
      </c>
      <c r="C873" s="3" t="s">
        <v>19</v>
      </c>
      <c r="D873" s="3" t="s">
        <v>26</v>
      </c>
      <c r="E873" s="3" t="s">
        <v>27</v>
      </c>
      <c r="F873" s="3">
        <v>87.43</v>
      </c>
      <c r="G873" s="3" t="s">
        <v>28</v>
      </c>
      <c r="H873" s="3" t="s">
        <v>29</v>
      </c>
      <c r="I873" s="3">
        <f>IF(C873="India",1,IF(C873="USA",INDEX('Currency Master'!B:B,MATCH(DATE(N873,MONTH(DATEVALUE(O873&amp;" 1")),1),'Currency Master'!A:A,0)),IF(C873="Australia",INDEX('Currency Master'!T:T,MATCH(DATE(N873,MONTH(DATEVALUE(O873&amp;" 1")),1),'Currency Master'!A:A,0)),"")))</f>
        <v>74.645910000000001</v>
      </c>
      <c r="J873" s="3">
        <f t="shared" si="52"/>
        <v>51221</v>
      </c>
      <c r="K873" s="3" t="str">
        <f t="shared" si="53"/>
        <v>₹/Candy</v>
      </c>
      <c r="L873" s="3">
        <v>8.0984174085064503E-2</v>
      </c>
      <c r="M873" s="3"/>
      <c r="N873" s="3">
        <f t="shared" si="54"/>
        <v>2021</v>
      </c>
      <c r="O873" s="3" t="str">
        <f t="shared" si="55"/>
        <v>April</v>
      </c>
      <c r="P873" s="3" t="s">
        <v>30</v>
      </c>
      <c r="Q873" s="3"/>
    </row>
    <row r="874" spans="1:17" hidden="1" x14ac:dyDescent="0.3">
      <c r="A874" s="2">
        <v>44256</v>
      </c>
      <c r="B874" s="3" t="s">
        <v>12</v>
      </c>
      <c r="C874" s="3" t="s">
        <v>19</v>
      </c>
      <c r="D874" s="3" t="s">
        <v>26</v>
      </c>
      <c r="E874" s="3" t="s">
        <v>27</v>
      </c>
      <c r="F874" s="3">
        <v>80.88</v>
      </c>
      <c r="G874" s="3" t="s">
        <v>28</v>
      </c>
      <c r="H874" s="3" t="s">
        <v>29</v>
      </c>
      <c r="I874" s="3">
        <f>IF(C874="India",1,IF(C874="USA",INDEX('Currency Master'!B:B,MATCH(DATE(N874,MONTH(DATEVALUE(O874&amp;" 1")),1),'Currency Master'!A:A,0)),IF(C874="Australia",INDEX('Currency Master'!T:T,MATCH(DATE(N874,MONTH(DATEVALUE(O874&amp;" 1")),1),'Currency Master'!A:A,0)),"")))</f>
        <v>72.824742000000001</v>
      </c>
      <c r="J874" s="3">
        <f t="shared" si="52"/>
        <v>46228</v>
      </c>
      <c r="K874" s="3" t="str">
        <f t="shared" si="53"/>
        <v>₹/Candy</v>
      </c>
      <c r="L874" s="3">
        <v>-7.9025278979731203E-2</v>
      </c>
      <c r="M874" s="3"/>
      <c r="N874" s="3">
        <f t="shared" si="54"/>
        <v>2021</v>
      </c>
      <c r="O874" s="3" t="str">
        <f t="shared" si="55"/>
        <v>March</v>
      </c>
      <c r="P874" s="3" t="s">
        <v>30</v>
      </c>
      <c r="Q874" s="3"/>
    </row>
    <row r="875" spans="1:17" hidden="1" x14ac:dyDescent="0.3">
      <c r="A875" s="2">
        <v>44228</v>
      </c>
      <c r="B875" s="3" t="s">
        <v>12</v>
      </c>
      <c r="C875" s="3" t="s">
        <v>19</v>
      </c>
      <c r="D875" s="3" t="s">
        <v>26</v>
      </c>
      <c r="E875" s="3" t="s">
        <v>27</v>
      </c>
      <c r="F875" s="3">
        <v>87.82</v>
      </c>
      <c r="G875" s="3" t="s">
        <v>28</v>
      </c>
      <c r="H875" s="3" t="s">
        <v>29</v>
      </c>
      <c r="I875" s="3">
        <f>IF(C875="India",1,IF(C875="USA",INDEX('Currency Master'!B:B,MATCH(DATE(N875,MONTH(DATEVALUE(O875&amp;" 1")),1),'Currency Master'!A:A,0)),IF(C875="Australia",INDEX('Currency Master'!T:T,MATCH(DATE(N875,MONTH(DATEVALUE(O875&amp;" 1")),1),'Currency Master'!A:A,0)),"")))</f>
        <v>72.802874000000003</v>
      </c>
      <c r="J875" s="3">
        <f t="shared" si="52"/>
        <v>50180</v>
      </c>
      <c r="K875" s="3" t="str">
        <f t="shared" si="53"/>
        <v>₹/Candy</v>
      </c>
      <c r="L875" s="3">
        <v>8.9037698412698402E-2</v>
      </c>
      <c r="M875" s="3"/>
      <c r="N875" s="3">
        <f t="shared" si="54"/>
        <v>2021</v>
      </c>
      <c r="O875" s="3" t="str">
        <f t="shared" si="55"/>
        <v>February</v>
      </c>
      <c r="P875" s="3" t="s">
        <v>30</v>
      </c>
      <c r="Q875" s="3"/>
    </row>
    <row r="876" spans="1:17" hidden="1" x14ac:dyDescent="0.3">
      <c r="A876" s="2">
        <v>44197</v>
      </c>
      <c r="B876" s="3" t="s">
        <v>12</v>
      </c>
      <c r="C876" s="3" t="s">
        <v>19</v>
      </c>
      <c r="D876" s="3" t="s">
        <v>26</v>
      </c>
      <c r="E876" s="3" t="s">
        <v>27</v>
      </c>
      <c r="F876" s="3">
        <v>80.64</v>
      </c>
      <c r="G876" s="3" t="s">
        <v>28</v>
      </c>
      <c r="H876" s="3" t="s">
        <v>29</v>
      </c>
      <c r="I876" s="3">
        <f>IF(C876="India",1,IF(C876="USA",INDEX('Currency Master'!B:B,MATCH(DATE(N876,MONTH(DATEVALUE(O876&amp;" 1")),1),'Currency Master'!A:A,0)),IF(C876="Australia",INDEX('Currency Master'!T:T,MATCH(DATE(N876,MONTH(DATEVALUE(O876&amp;" 1")),1),'Currency Master'!A:A,0)),"")))</f>
        <v>73.120053999999996</v>
      </c>
      <c r="J876" s="3">
        <f t="shared" si="52"/>
        <v>46278</v>
      </c>
      <c r="K876" s="3" t="str">
        <f t="shared" si="53"/>
        <v>₹/Candy</v>
      </c>
      <c r="L876" s="3">
        <v>3.2258064516128997E-2</v>
      </c>
      <c r="M876" s="3"/>
      <c r="N876" s="3">
        <f t="shared" si="54"/>
        <v>2021</v>
      </c>
      <c r="O876" s="3" t="str">
        <f t="shared" si="55"/>
        <v>January</v>
      </c>
      <c r="P876" s="3" t="s">
        <v>30</v>
      </c>
      <c r="Q876" s="3"/>
    </row>
    <row r="877" spans="1:17" hidden="1" x14ac:dyDescent="0.3">
      <c r="A877" s="2">
        <v>44166</v>
      </c>
      <c r="B877" s="3" t="s">
        <v>12</v>
      </c>
      <c r="C877" s="3" t="s">
        <v>19</v>
      </c>
      <c r="D877" s="3" t="s">
        <v>26</v>
      </c>
      <c r="E877" s="3" t="s">
        <v>27</v>
      </c>
      <c r="F877" s="3">
        <v>78.12</v>
      </c>
      <c r="G877" s="3" t="s">
        <v>28</v>
      </c>
      <c r="H877" s="3" t="s">
        <v>29</v>
      </c>
      <c r="I877" s="3">
        <f>IF(C877="India",1,IF(C877="USA",INDEX('Currency Master'!B:B,MATCH(DATE(N877,MONTH(DATEVALUE(O877&amp;" 1")),1),'Currency Master'!A:A,0)),IF(C877="Australia",INDEX('Currency Master'!T:T,MATCH(DATE(N877,MONTH(DATEVALUE(O877&amp;" 1")),1),'Currency Master'!A:A,0)),"")))</f>
        <v>73.632669000000007</v>
      </c>
      <c r="J877" s="3">
        <f t="shared" si="52"/>
        <v>45146</v>
      </c>
      <c r="K877" s="3" t="str">
        <f t="shared" si="53"/>
        <v>₹/Candy</v>
      </c>
      <c r="L877" s="3">
        <v>0.10667233319166999</v>
      </c>
      <c r="M877" s="3"/>
      <c r="N877" s="3">
        <f t="shared" si="54"/>
        <v>2020</v>
      </c>
      <c r="O877" s="3" t="str">
        <f t="shared" si="55"/>
        <v>December</v>
      </c>
      <c r="P877" s="3" t="s">
        <v>30</v>
      </c>
      <c r="Q877" s="3"/>
    </row>
    <row r="878" spans="1:17" hidden="1" x14ac:dyDescent="0.3">
      <c r="A878" s="2">
        <v>44136</v>
      </c>
      <c r="B878" s="3" t="s">
        <v>12</v>
      </c>
      <c r="C878" s="3" t="s">
        <v>19</v>
      </c>
      <c r="D878" s="3" t="s">
        <v>26</v>
      </c>
      <c r="E878" s="3" t="s">
        <v>27</v>
      </c>
      <c r="F878" s="3">
        <v>70.59</v>
      </c>
      <c r="G878" s="3" t="s">
        <v>28</v>
      </c>
      <c r="H878" s="3" t="s">
        <v>29</v>
      </c>
      <c r="I878" s="3">
        <f>IF(C878="India",1,IF(C878="USA",INDEX('Currency Master'!B:B,MATCH(DATE(N878,MONTH(DATEVALUE(O878&amp;" 1")),1),'Currency Master'!A:A,0)),IF(C878="Australia",INDEX('Currency Master'!T:T,MATCH(DATE(N878,MONTH(DATEVALUE(O878&amp;" 1")),1),'Currency Master'!A:A,0)),"")))</f>
        <v>74.216222999999999</v>
      </c>
      <c r="J878" s="3">
        <f t="shared" si="52"/>
        <v>41117</v>
      </c>
      <c r="K878" s="3" t="str">
        <f t="shared" si="53"/>
        <v>₹/Candy</v>
      </c>
      <c r="L878" s="3">
        <v>2.42309924550204E-2</v>
      </c>
      <c r="M878" s="3"/>
      <c r="N878" s="3">
        <f t="shared" si="54"/>
        <v>2020</v>
      </c>
      <c r="O878" s="3" t="str">
        <f t="shared" si="55"/>
        <v>November</v>
      </c>
      <c r="P878" s="3" t="s">
        <v>30</v>
      </c>
      <c r="Q878" s="3"/>
    </row>
    <row r="879" spans="1:17" hidden="1" x14ac:dyDescent="0.3">
      <c r="A879" s="2">
        <v>44105</v>
      </c>
      <c r="B879" s="3" t="s">
        <v>12</v>
      </c>
      <c r="C879" s="3" t="s">
        <v>19</v>
      </c>
      <c r="D879" s="3" t="s">
        <v>26</v>
      </c>
      <c r="E879" s="3" t="s">
        <v>27</v>
      </c>
      <c r="F879" s="3">
        <v>68.92</v>
      </c>
      <c r="G879" s="3" t="s">
        <v>28</v>
      </c>
      <c r="H879" s="3" t="s">
        <v>29</v>
      </c>
      <c r="I879" s="3">
        <f>IF(C879="India",1,IF(C879="USA",INDEX('Currency Master'!B:B,MATCH(DATE(N879,MONTH(DATEVALUE(O879&amp;" 1")),1),'Currency Master'!A:A,0)),IF(C879="Australia",INDEX('Currency Master'!T:T,MATCH(DATE(N879,MONTH(DATEVALUE(O879&amp;" 1")),1),'Currency Master'!A:A,0)),"")))</f>
        <v>73.535523999999995</v>
      </c>
      <c r="J879" s="3">
        <f t="shared" si="52"/>
        <v>39777</v>
      </c>
      <c r="K879" s="3" t="str">
        <f t="shared" si="53"/>
        <v>₹/Candy</v>
      </c>
      <c r="L879" s="3">
        <v>6.8692820592340095E-2</v>
      </c>
      <c r="M879" s="3"/>
      <c r="N879" s="3">
        <f t="shared" si="54"/>
        <v>2020</v>
      </c>
      <c r="O879" s="3" t="str">
        <f t="shared" si="55"/>
        <v>October</v>
      </c>
      <c r="P879" s="3" t="s">
        <v>30</v>
      </c>
      <c r="Q879" s="3"/>
    </row>
    <row r="880" spans="1:17" hidden="1" x14ac:dyDescent="0.3">
      <c r="A880" s="2">
        <v>44075</v>
      </c>
      <c r="B880" s="3" t="s">
        <v>12</v>
      </c>
      <c r="C880" s="3" t="s">
        <v>19</v>
      </c>
      <c r="D880" s="3" t="s">
        <v>26</v>
      </c>
      <c r="E880" s="3" t="s">
        <v>27</v>
      </c>
      <c r="F880" s="3">
        <v>64.489999999999995</v>
      </c>
      <c r="G880" s="3" t="s">
        <v>28</v>
      </c>
      <c r="H880" s="3" t="s">
        <v>29</v>
      </c>
      <c r="I880" s="3">
        <f>IF(C880="India",1,IF(C880="USA",INDEX('Currency Master'!B:B,MATCH(DATE(N880,MONTH(DATEVALUE(O880&amp;" 1")),1),'Currency Master'!A:A,0)),IF(C880="Australia",INDEX('Currency Master'!T:T,MATCH(DATE(N880,MONTH(DATEVALUE(O880&amp;" 1")),1),'Currency Master'!A:A,0)),"")))</f>
        <v>73.545564999999996</v>
      </c>
      <c r="J880" s="3">
        <f t="shared" si="52"/>
        <v>37225</v>
      </c>
      <c r="K880" s="3" t="str">
        <f t="shared" si="53"/>
        <v>₹/Candy</v>
      </c>
      <c r="L880" s="3">
        <v>1.2420431609998499E-3</v>
      </c>
      <c r="M880" s="3"/>
      <c r="N880" s="3">
        <f t="shared" si="54"/>
        <v>2020</v>
      </c>
      <c r="O880" s="3" t="str">
        <f t="shared" si="55"/>
        <v>September</v>
      </c>
      <c r="P880" s="3" t="s">
        <v>30</v>
      </c>
      <c r="Q880" s="3"/>
    </row>
    <row r="881" spans="1:17" hidden="1" x14ac:dyDescent="0.3">
      <c r="A881" s="2">
        <v>44044</v>
      </c>
      <c r="B881" s="3" t="s">
        <v>12</v>
      </c>
      <c r="C881" s="3" t="s">
        <v>19</v>
      </c>
      <c r="D881" s="3" t="s">
        <v>26</v>
      </c>
      <c r="E881" s="3" t="s">
        <v>27</v>
      </c>
      <c r="F881" s="3">
        <v>64.41</v>
      </c>
      <c r="G881" s="3" t="s">
        <v>28</v>
      </c>
      <c r="H881" s="3" t="s">
        <v>29</v>
      </c>
      <c r="I881" s="3">
        <f>IF(C881="India",1,IF(C881="USA",INDEX('Currency Master'!B:B,MATCH(DATE(N881,MONTH(DATEVALUE(O881&amp;" 1")),1),'Currency Master'!A:A,0)),IF(C881="Australia",INDEX('Currency Master'!T:T,MATCH(DATE(N881,MONTH(DATEVALUE(O881&amp;" 1")),1),'Currency Master'!A:A,0)),"")))</f>
        <v>74.595697000000001</v>
      </c>
      <c r="J881" s="3">
        <f t="shared" si="52"/>
        <v>37710</v>
      </c>
      <c r="K881" s="3" t="str">
        <f t="shared" si="53"/>
        <v>₹/Candy</v>
      </c>
      <c r="L881" s="3">
        <v>3.3868378812199E-2</v>
      </c>
      <c r="M881" s="3"/>
      <c r="N881" s="3">
        <f t="shared" si="54"/>
        <v>2020</v>
      </c>
      <c r="O881" s="3" t="str">
        <f t="shared" si="55"/>
        <v>August</v>
      </c>
      <c r="P881" s="3" t="s">
        <v>30</v>
      </c>
      <c r="Q881" s="3"/>
    </row>
    <row r="882" spans="1:17" hidden="1" x14ac:dyDescent="0.3">
      <c r="A882" s="2">
        <v>44013</v>
      </c>
      <c r="B882" s="3" t="s">
        <v>12</v>
      </c>
      <c r="C882" s="3" t="s">
        <v>19</v>
      </c>
      <c r="D882" s="3" t="s">
        <v>26</v>
      </c>
      <c r="E882" s="3" t="s">
        <v>27</v>
      </c>
      <c r="F882" s="3">
        <v>62.3</v>
      </c>
      <c r="G882" s="3" t="s">
        <v>28</v>
      </c>
      <c r="H882" s="3" t="s">
        <v>29</v>
      </c>
      <c r="I882" s="3">
        <f>IF(C882="India",1,IF(C882="USA",INDEX('Currency Master'!B:B,MATCH(DATE(N882,MONTH(DATEVALUE(O882&amp;" 1")),1),'Currency Master'!A:A,0)),IF(C882="Australia",INDEX('Currency Master'!T:T,MATCH(DATE(N882,MONTH(DATEVALUE(O882&amp;" 1")),1),'Currency Master'!A:A,0)),"")))</f>
        <v>74.922385000000006</v>
      </c>
      <c r="J882" s="3">
        <f t="shared" si="52"/>
        <v>36634</v>
      </c>
      <c r="K882" s="3" t="str">
        <f t="shared" si="53"/>
        <v>₹/Candy</v>
      </c>
      <c r="L882" s="3">
        <v>2.16464414562152E-2</v>
      </c>
      <c r="M882" s="3"/>
      <c r="N882" s="3">
        <f t="shared" si="54"/>
        <v>2020</v>
      </c>
      <c r="O882" s="3" t="str">
        <f t="shared" si="55"/>
        <v>July</v>
      </c>
      <c r="P882" s="3" t="s">
        <v>30</v>
      </c>
      <c r="Q882" s="3"/>
    </row>
    <row r="883" spans="1:17" hidden="1" x14ac:dyDescent="0.3">
      <c r="A883" s="2">
        <v>43983</v>
      </c>
      <c r="B883" s="3" t="s">
        <v>12</v>
      </c>
      <c r="C883" s="3" t="s">
        <v>19</v>
      </c>
      <c r="D883" s="3" t="s">
        <v>26</v>
      </c>
      <c r="E883" s="3" t="s">
        <v>27</v>
      </c>
      <c r="F883" s="3">
        <v>60.98</v>
      </c>
      <c r="G883" s="3" t="s">
        <v>28</v>
      </c>
      <c r="H883" s="3" t="s">
        <v>29</v>
      </c>
      <c r="I883" s="3">
        <f>IF(C883="India",1,IF(C883="USA",INDEX('Currency Master'!B:B,MATCH(DATE(N883,MONTH(DATEVALUE(O883&amp;" 1")),1),'Currency Master'!A:A,0)),IF(C883="Australia",INDEX('Currency Master'!T:T,MATCH(DATE(N883,MONTH(DATEVALUE(O883&amp;" 1")),1),'Currency Master'!A:A,0)),"")))</f>
        <v>75.721254000000002</v>
      </c>
      <c r="J883" s="3">
        <f t="shared" si="52"/>
        <v>36240</v>
      </c>
      <c r="K883" s="3" t="str">
        <f t="shared" si="53"/>
        <v>₹/Candy</v>
      </c>
      <c r="L883" s="3">
        <v>5.8864386178155703E-2</v>
      </c>
      <c r="M883" s="3"/>
      <c r="N883" s="3">
        <f t="shared" si="54"/>
        <v>2020</v>
      </c>
      <c r="O883" s="3" t="str">
        <f t="shared" si="55"/>
        <v>June</v>
      </c>
      <c r="P883" s="3" t="s">
        <v>30</v>
      </c>
      <c r="Q883" s="3"/>
    </row>
    <row r="884" spans="1:17" hidden="1" x14ac:dyDescent="0.3">
      <c r="A884" s="2">
        <v>43952</v>
      </c>
      <c r="B884" s="3" t="s">
        <v>12</v>
      </c>
      <c r="C884" s="3" t="s">
        <v>19</v>
      </c>
      <c r="D884" s="3" t="s">
        <v>26</v>
      </c>
      <c r="E884" s="3" t="s">
        <v>27</v>
      </c>
      <c r="F884" s="3">
        <v>57.59</v>
      </c>
      <c r="G884" s="3" t="s">
        <v>28</v>
      </c>
      <c r="H884" s="3" t="s">
        <v>29</v>
      </c>
      <c r="I884" s="3">
        <f>IF(C884="India",1,IF(C884="USA",INDEX('Currency Master'!B:B,MATCH(DATE(N884,MONTH(DATEVALUE(O884&amp;" 1")),1),'Currency Master'!A:A,0)),IF(C884="Australia",INDEX('Currency Master'!T:T,MATCH(DATE(N884,MONTH(DATEVALUE(O884&amp;" 1")),1),'Currency Master'!A:A,0)),"")))</f>
        <v>75.674092999999999</v>
      </c>
      <c r="J884" s="3">
        <f t="shared" si="52"/>
        <v>34204</v>
      </c>
      <c r="K884" s="3" t="str">
        <f t="shared" si="53"/>
        <v>₹/Candy</v>
      </c>
      <c r="L884" s="3">
        <v>-8.0950740613158195E-3</v>
      </c>
      <c r="M884" s="3"/>
      <c r="N884" s="3">
        <f t="shared" si="54"/>
        <v>2020</v>
      </c>
      <c r="O884" s="3" t="str">
        <f t="shared" si="55"/>
        <v>May</v>
      </c>
      <c r="P884" s="3" t="s">
        <v>30</v>
      </c>
      <c r="Q884" s="3"/>
    </row>
    <row r="885" spans="1:17" hidden="1" x14ac:dyDescent="0.3">
      <c r="A885" s="2">
        <v>43922</v>
      </c>
      <c r="B885" s="3" t="s">
        <v>12</v>
      </c>
      <c r="C885" s="3" t="s">
        <v>19</v>
      </c>
      <c r="D885" s="3" t="s">
        <v>26</v>
      </c>
      <c r="E885" s="3" t="s">
        <v>27</v>
      </c>
      <c r="F885" s="3">
        <v>58.06</v>
      </c>
      <c r="G885" s="3" t="s">
        <v>28</v>
      </c>
      <c r="H885" s="3" t="s">
        <v>29</v>
      </c>
      <c r="I885" s="3">
        <f>IF(C885="India",1,IF(C885="USA",INDEX('Currency Master'!B:B,MATCH(DATE(N885,MONTH(DATEVALUE(O885&amp;" 1")),1),'Currency Master'!A:A,0)),IF(C885="Australia",INDEX('Currency Master'!T:T,MATCH(DATE(N885,MONTH(DATEVALUE(O885&amp;" 1")),1),'Currency Master'!A:A,0)),"")))</f>
        <v>76.217590000000001</v>
      </c>
      <c r="J885" s="3">
        <f t="shared" si="52"/>
        <v>34731</v>
      </c>
      <c r="K885" s="3" t="str">
        <f t="shared" si="53"/>
        <v>₹/Candy</v>
      </c>
      <c r="L885" s="3">
        <v>0.135536866810092</v>
      </c>
      <c r="M885" s="3"/>
      <c r="N885" s="3">
        <f t="shared" si="54"/>
        <v>2020</v>
      </c>
      <c r="O885" s="3" t="str">
        <f t="shared" si="55"/>
        <v>April</v>
      </c>
      <c r="P885" s="3" t="s">
        <v>30</v>
      </c>
      <c r="Q885" s="3"/>
    </row>
    <row r="886" spans="1:17" hidden="1" x14ac:dyDescent="0.3">
      <c r="A886" s="2">
        <v>43891</v>
      </c>
      <c r="B886" s="3" t="s">
        <v>12</v>
      </c>
      <c r="C886" s="3" t="s">
        <v>19</v>
      </c>
      <c r="D886" s="3" t="s">
        <v>26</v>
      </c>
      <c r="E886" s="3" t="s">
        <v>27</v>
      </c>
      <c r="F886" s="3">
        <v>51.13</v>
      </c>
      <c r="G886" s="3" t="s">
        <v>28</v>
      </c>
      <c r="H886" s="3" t="s">
        <v>29</v>
      </c>
      <c r="I886" s="3">
        <f>IF(C886="India",1,IF(C886="USA",INDEX('Currency Master'!B:B,MATCH(DATE(N886,MONTH(DATEVALUE(O886&amp;" 1")),1),'Currency Master'!A:A,0)),IF(C886="Australia",INDEX('Currency Master'!T:T,MATCH(DATE(N886,MONTH(DATEVALUE(O886&amp;" 1")),1),'Currency Master'!A:A,0)),"")))</f>
        <v>74.526435000000006</v>
      </c>
      <c r="J886" s="3">
        <f t="shared" si="52"/>
        <v>29907</v>
      </c>
      <c r="K886" s="3" t="str">
        <f t="shared" si="53"/>
        <v>₹/Candy</v>
      </c>
      <c r="L886" s="3">
        <v>-0.16983276505926301</v>
      </c>
      <c r="M886" s="3"/>
      <c r="N886" s="3">
        <f t="shared" si="54"/>
        <v>2020</v>
      </c>
      <c r="O886" s="3" t="str">
        <f t="shared" si="55"/>
        <v>March</v>
      </c>
      <c r="P886" s="3" t="s">
        <v>30</v>
      </c>
      <c r="Q886" s="3"/>
    </row>
    <row r="887" spans="1:17" hidden="1" x14ac:dyDescent="0.3">
      <c r="A887" s="2">
        <v>43862</v>
      </c>
      <c r="B887" s="3" t="s">
        <v>12</v>
      </c>
      <c r="C887" s="3" t="s">
        <v>19</v>
      </c>
      <c r="D887" s="3" t="s">
        <v>26</v>
      </c>
      <c r="E887" s="3" t="s">
        <v>27</v>
      </c>
      <c r="F887" s="3">
        <v>61.59</v>
      </c>
      <c r="G887" s="3" t="s">
        <v>28</v>
      </c>
      <c r="H887" s="3" t="s">
        <v>29</v>
      </c>
      <c r="I887" s="3">
        <f>IF(C887="India",1,IF(C887="USA",INDEX('Currency Master'!B:B,MATCH(DATE(N887,MONTH(DATEVALUE(O887&amp;" 1")),1),'Currency Master'!A:A,0)),IF(C887="Australia",INDEX('Currency Master'!T:T,MATCH(DATE(N887,MONTH(DATEVALUE(O887&amp;" 1")),1),'Currency Master'!A:A,0)),"")))</f>
        <v>71.510946000000004</v>
      </c>
      <c r="J887" s="3">
        <f t="shared" si="52"/>
        <v>34567</v>
      </c>
      <c r="K887" s="3" t="str">
        <f t="shared" si="53"/>
        <v>₹/Candy</v>
      </c>
      <c r="L887" s="3">
        <v>-8.7555555555555498E-2</v>
      </c>
      <c r="M887" s="3"/>
      <c r="N887" s="3">
        <f t="shared" si="54"/>
        <v>2020</v>
      </c>
      <c r="O887" s="3" t="str">
        <f t="shared" si="55"/>
        <v>February</v>
      </c>
      <c r="P887" s="3" t="s">
        <v>30</v>
      </c>
      <c r="Q887" s="3"/>
    </row>
    <row r="888" spans="1:17" hidden="1" x14ac:dyDescent="0.3">
      <c r="A888" s="2">
        <v>43831</v>
      </c>
      <c r="B888" s="3" t="s">
        <v>12</v>
      </c>
      <c r="C888" s="3" t="s">
        <v>19</v>
      </c>
      <c r="D888" s="3" t="s">
        <v>26</v>
      </c>
      <c r="E888" s="3" t="s">
        <v>27</v>
      </c>
      <c r="F888" s="3">
        <v>67.5</v>
      </c>
      <c r="G888" s="3" t="s">
        <v>28</v>
      </c>
      <c r="H888" s="3" t="s">
        <v>29</v>
      </c>
      <c r="I888" s="3">
        <f>IF(C888="India",1,IF(C888="USA",INDEX('Currency Master'!B:B,MATCH(DATE(N888,MONTH(DATEVALUE(O888&amp;" 1")),1),'Currency Master'!A:A,0)),IF(C888="Australia",INDEX('Currency Master'!T:T,MATCH(DATE(N888,MONTH(DATEVALUE(O888&amp;" 1")),1),'Currency Master'!A:A,0)),"")))</f>
        <v>71.289604999999995</v>
      </c>
      <c r="J888" s="3">
        <f t="shared" si="52"/>
        <v>37767</v>
      </c>
      <c r="K888" s="3" t="str">
        <f t="shared" si="53"/>
        <v>₹/Candy</v>
      </c>
      <c r="L888" s="3">
        <v>-2.2447501810282301E-2</v>
      </c>
      <c r="M888" s="3"/>
      <c r="N888" s="3">
        <f t="shared" si="54"/>
        <v>2020</v>
      </c>
      <c r="O888" s="3" t="str">
        <f t="shared" si="55"/>
        <v>January</v>
      </c>
      <c r="P888" s="3" t="s">
        <v>30</v>
      </c>
      <c r="Q888" s="3"/>
    </row>
    <row r="889" spans="1:17" hidden="1" x14ac:dyDescent="0.3">
      <c r="A889" s="2">
        <v>43800</v>
      </c>
      <c r="B889" s="3" t="s">
        <v>12</v>
      </c>
      <c r="C889" s="3" t="s">
        <v>19</v>
      </c>
      <c r="D889" s="3" t="s">
        <v>26</v>
      </c>
      <c r="E889" s="3" t="s">
        <v>27</v>
      </c>
      <c r="F889" s="3">
        <v>69.05</v>
      </c>
      <c r="G889" s="3" t="s">
        <v>28</v>
      </c>
      <c r="H889" s="3" t="s">
        <v>29</v>
      </c>
      <c r="I889" s="3">
        <f>IF(C889="India",1,IF(C889="USA",INDEX('Currency Master'!B:B,MATCH(DATE(N889,MONTH(DATEVALUE(O889&amp;" 1")),1),'Currency Master'!A:A,0)),IF(C889="Australia",INDEX('Currency Master'!T:T,MATCH(DATE(N889,MONTH(DATEVALUE(O889&amp;" 1")),1),'Currency Master'!A:A,0)),"")))</f>
        <v>71.183558000000005</v>
      </c>
      <c r="J889" s="3">
        <f t="shared" si="52"/>
        <v>38577</v>
      </c>
      <c r="K889" s="3" t="str">
        <f t="shared" si="53"/>
        <v>₹/Candy</v>
      </c>
      <c r="L889" s="3">
        <v>7.2204968944099293E-2</v>
      </c>
      <c r="M889" s="3"/>
      <c r="N889" s="3">
        <f t="shared" si="54"/>
        <v>2019</v>
      </c>
      <c r="O889" s="3" t="str">
        <f t="shared" si="55"/>
        <v>December</v>
      </c>
      <c r="P889" s="3" t="s">
        <v>30</v>
      </c>
      <c r="Q889" s="3"/>
    </row>
    <row r="890" spans="1:17" hidden="1" x14ac:dyDescent="0.3">
      <c r="A890" s="2">
        <v>43770</v>
      </c>
      <c r="B890" s="3" t="s">
        <v>12</v>
      </c>
      <c r="C890" s="3" t="s">
        <v>19</v>
      </c>
      <c r="D890" s="3" t="s">
        <v>26</v>
      </c>
      <c r="E890" s="3" t="s">
        <v>27</v>
      </c>
      <c r="F890" s="3">
        <v>64.400000000000006</v>
      </c>
      <c r="G890" s="3" t="s">
        <v>28</v>
      </c>
      <c r="H890" s="3" t="s">
        <v>29</v>
      </c>
      <c r="I890" s="3">
        <f>IF(C890="India",1,IF(C890="USA",INDEX('Currency Master'!B:B,MATCH(DATE(N890,MONTH(DATEVALUE(O890&amp;" 1")),1),'Currency Master'!A:A,0)),IF(C890="Australia",INDEX('Currency Master'!T:T,MATCH(DATE(N890,MONTH(DATEVALUE(O890&amp;" 1")),1),'Currency Master'!A:A,0)),"")))</f>
        <v>71.470119999999994</v>
      </c>
      <c r="J890" s="3">
        <f t="shared" si="52"/>
        <v>36124</v>
      </c>
      <c r="K890" s="3" t="str">
        <f t="shared" si="53"/>
        <v>₹/Candy</v>
      </c>
      <c r="L890" s="3">
        <v>-6.2073246430771601E-4</v>
      </c>
      <c r="M890" s="3"/>
      <c r="N890" s="3">
        <f t="shared" si="54"/>
        <v>2019</v>
      </c>
      <c r="O890" s="3" t="str">
        <f t="shared" si="55"/>
        <v>November</v>
      </c>
      <c r="P890" s="3" t="s">
        <v>30</v>
      </c>
      <c r="Q890" s="3"/>
    </row>
    <row r="891" spans="1:17" hidden="1" x14ac:dyDescent="0.3">
      <c r="A891" s="2">
        <v>43739</v>
      </c>
      <c r="B891" s="3" t="s">
        <v>12</v>
      </c>
      <c r="C891" s="3" t="s">
        <v>19</v>
      </c>
      <c r="D891" s="3" t="s">
        <v>26</v>
      </c>
      <c r="E891" s="3" t="s">
        <v>27</v>
      </c>
      <c r="F891" s="3">
        <v>64.44</v>
      </c>
      <c r="G891" s="3" t="s">
        <v>28</v>
      </c>
      <c r="H891" s="3" t="s">
        <v>29</v>
      </c>
      <c r="I891" s="3">
        <f>IF(C891="India",1,IF(C891="USA",INDEX('Currency Master'!B:B,MATCH(DATE(N891,MONTH(DATEVALUE(O891&amp;" 1")),1),'Currency Master'!A:A,0)),IF(C891="Australia",INDEX('Currency Master'!T:T,MATCH(DATE(N891,MONTH(DATEVALUE(O891&amp;" 1")),1),'Currency Master'!A:A,0)),"")))</f>
        <v>71.040744000000004</v>
      </c>
      <c r="J891" s="3">
        <f t="shared" si="52"/>
        <v>35929</v>
      </c>
      <c r="K891" s="3" t="str">
        <f t="shared" si="53"/>
        <v>₹/Candy</v>
      </c>
      <c r="L891" s="3">
        <v>7.8493723849372393E-2</v>
      </c>
      <c r="M891" s="3"/>
      <c r="N891" s="3">
        <f t="shared" si="54"/>
        <v>2019</v>
      </c>
      <c r="O891" s="3" t="str">
        <f t="shared" si="55"/>
        <v>October</v>
      </c>
      <c r="P891" s="3" t="s">
        <v>30</v>
      </c>
      <c r="Q891" s="3"/>
    </row>
    <row r="892" spans="1:17" hidden="1" x14ac:dyDescent="0.3">
      <c r="A892" s="2">
        <v>43709</v>
      </c>
      <c r="B892" s="3" t="s">
        <v>12</v>
      </c>
      <c r="C892" s="3" t="s">
        <v>19</v>
      </c>
      <c r="D892" s="3" t="s">
        <v>26</v>
      </c>
      <c r="E892" s="3" t="s">
        <v>27</v>
      </c>
      <c r="F892" s="3">
        <v>59.75</v>
      </c>
      <c r="G892" s="3" t="s">
        <v>28</v>
      </c>
      <c r="H892" s="3" t="s">
        <v>29</v>
      </c>
      <c r="I892" s="3">
        <f>IF(C892="India",1,IF(C892="USA",INDEX('Currency Master'!B:B,MATCH(DATE(N892,MONTH(DATEVALUE(O892&amp;" 1")),1),'Currency Master'!A:A,0)),IF(C892="Australia",INDEX('Currency Master'!T:T,MATCH(DATE(N892,MONTH(DATEVALUE(O892&amp;" 1")),1),'Currency Master'!A:A,0)),"")))</f>
        <v>71.399432000000004</v>
      </c>
      <c r="J892" s="3">
        <f t="shared" si="52"/>
        <v>33482</v>
      </c>
      <c r="K892" s="3" t="str">
        <f t="shared" si="53"/>
        <v>₹/Candy</v>
      </c>
      <c r="L892" s="3">
        <v>1.1854360711261801E-2</v>
      </c>
      <c r="M892" s="3"/>
      <c r="N892" s="3">
        <f t="shared" si="54"/>
        <v>2019</v>
      </c>
      <c r="O892" s="3" t="str">
        <f t="shared" si="55"/>
        <v>September</v>
      </c>
      <c r="P892" s="3" t="s">
        <v>30</v>
      </c>
      <c r="Q892" s="3"/>
    </row>
    <row r="893" spans="1:17" hidden="1" x14ac:dyDescent="0.3">
      <c r="A893" s="2">
        <v>43678</v>
      </c>
      <c r="B893" s="3" t="s">
        <v>12</v>
      </c>
      <c r="C893" s="3" t="s">
        <v>19</v>
      </c>
      <c r="D893" s="3" t="s">
        <v>26</v>
      </c>
      <c r="E893" s="3" t="s">
        <v>27</v>
      </c>
      <c r="F893" s="3">
        <v>59.05</v>
      </c>
      <c r="G893" s="3" t="s">
        <v>28</v>
      </c>
      <c r="H893" s="3" t="s">
        <v>29</v>
      </c>
      <c r="I893" s="3">
        <f>IF(C893="India",1,IF(C893="USA",INDEX('Currency Master'!B:B,MATCH(DATE(N893,MONTH(DATEVALUE(O893&amp;" 1")),1),'Currency Master'!A:A,0)),IF(C893="Australia",INDEX('Currency Master'!T:T,MATCH(DATE(N893,MONTH(DATEVALUE(O893&amp;" 1")),1),'Currency Master'!A:A,0)),"")))</f>
        <v>71.174543</v>
      </c>
      <c r="J893" s="3">
        <f t="shared" si="52"/>
        <v>32986</v>
      </c>
      <c r="K893" s="3" t="str">
        <f t="shared" si="53"/>
        <v>₹/Candy</v>
      </c>
      <c r="L893" s="3">
        <v>-6.5960139196456796E-2</v>
      </c>
      <c r="M893" s="3"/>
      <c r="N893" s="3">
        <f t="shared" si="54"/>
        <v>2019</v>
      </c>
      <c r="O893" s="3" t="str">
        <f t="shared" si="55"/>
        <v>August</v>
      </c>
      <c r="P893" s="3" t="s">
        <v>30</v>
      </c>
      <c r="Q893" s="3"/>
    </row>
    <row r="894" spans="1:17" hidden="1" x14ac:dyDescent="0.3">
      <c r="A894" s="2">
        <v>43647</v>
      </c>
      <c r="B894" s="3" t="s">
        <v>12</v>
      </c>
      <c r="C894" s="3" t="s">
        <v>19</v>
      </c>
      <c r="D894" s="3" t="s">
        <v>26</v>
      </c>
      <c r="E894" s="3" t="s">
        <v>27</v>
      </c>
      <c r="F894" s="3">
        <v>63.22</v>
      </c>
      <c r="G894" s="3" t="s">
        <v>28</v>
      </c>
      <c r="H894" s="3" t="s">
        <v>29</v>
      </c>
      <c r="I894" s="3">
        <f>IF(C894="India",1,IF(C894="USA",INDEX('Currency Master'!B:B,MATCH(DATE(N894,MONTH(DATEVALUE(O894&amp;" 1")),1),'Currency Master'!A:A,0)),IF(C894="Australia",INDEX('Currency Master'!T:T,MATCH(DATE(N894,MONTH(DATEVALUE(O894&amp;" 1")),1),'Currency Master'!A:A,0)),"")))</f>
        <v>68.751615999999999</v>
      </c>
      <c r="J894" s="3">
        <f t="shared" si="52"/>
        <v>34113</v>
      </c>
      <c r="K894" s="3" t="str">
        <f t="shared" si="53"/>
        <v>₹/Candy</v>
      </c>
      <c r="L894" s="3">
        <v>1.1084718923197699E-3</v>
      </c>
      <c r="M894" s="3"/>
      <c r="N894" s="3">
        <f t="shared" si="54"/>
        <v>2019</v>
      </c>
      <c r="O894" s="3" t="str">
        <f t="shared" si="55"/>
        <v>July</v>
      </c>
      <c r="P894" s="3" t="s">
        <v>30</v>
      </c>
      <c r="Q894" s="3"/>
    </row>
    <row r="895" spans="1:17" hidden="1" x14ac:dyDescent="0.3">
      <c r="A895" s="2">
        <v>43617</v>
      </c>
      <c r="B895" s="3" t="s">
        <v>12</v>
      </c>
      <c r="C895" s="3" t="s">
        <v>19</v>
      </c>
      <c r="D895" s="3" t="s">
        <v>26</v>
      </c>
      <c r="E895" s="3" t="s">
        <v>27</v>
      </c>
      <c r="F895" s="3">
        <v>63.15</v>
      </c>
      <c r="G895" s="3" t="s">
        <v>28</v>
      </c>
      <c r="H895" s="3" t="s">
        <v>29</v>
      </c>
      <c r="I895" s="3">
        <f>IF(C895="India",1,IF(C895="USA",INDEX('Currency Master'!B:B,MATCH(DATE(N895,MONTH(DATEVALUE(O895&amp;" 1")),1),'Currency Master'!A:A,0)),IF(C895="Australia",INDEX('Currency Master'!T:T,MATCH(DATE(N895,MONTH(DATEVALUE(O895&amp;" 1")),1),'Currency Master'!A:A,0)),"")))</f>
        <v>69.428644000000006</v>
      </c>
      <c r="J895" s="3">
        <f t="shared" si="52"/>
        <v>34411</v>
      </c>
      <c r="K895" s="3" t="str">
        <f t="shared" si="53"/>
        <v>₹/Candy</v>
      </c>
      <c r="L895" s="3">
        <v>-7.2414806110458294E-2</v>
      </c>
      <c r="M895" s="3"/>
      <c r="N895" s="3">
        <f t="shared" si="54"/>
        <v>2019</v>
      </c>
      <c r="O895" s="3" t="str">
        <f t="shared" si="55"/>
        <v>June</v>
      </c>
      <c r="P895" s="3" t="s">
        <v>30</v>
      </c>
      <c r="Q895" s="3"/>
    </row>
    <row r="896" spans="1:17" hidden="1" x14ac:dyDescent="0.3">
      <c r="A896" s="2">
        <v>43586</v>
      </c>
      <c r="B896" s="3" t="s">
        <v>12</v>
      </c>
      <c r="C896" s="3" t="s">
        <v>19</v>
      </c>
      <c r="D896" s="3" t="s">
        <v>26</v>
      </c>
      <c r="E896" s="3" t="s">
        <v>27</v>
      </c>
      <c r="F896" s="3">
        <v>68.08</v>
      </c>
      <c r="G896" s="3" t="s">
        <v>28</v>
      </c>
      <c r="H896" s="3" t="s">
        <v>29</v>
      </c>
      <c r="I896" s="3">
        <f>IF(C896="India",1,IF(C896="USA",INDEX('Currency Master'!B:B,MATCH(DATE(N896,MONTH(DATEVALUE(O896&amp;" 1")),1),'Currency Master'!A:A,0)),IF(C896="Australia",INDEX('Currency Master'!T:T,MATCH(DATE(N896,MONTH(DATEVALUE(O896&amp;" 1")),1),'Currency Master'!A:A,0)),"")))</f>
        <v>69.809849999999997</v>
      </c>
      <c r="J896" s="3">
        <f t="shared" si="52"/>
        <v>37301</v>
      </c>
      <c r="K896" s="3" t="str">
        <f t="shared" si="53"/>
        <v>₹/Candy</v>
      </c>
      <c r="L896" s="3">
        <v>-0.103974730192156</v>
      </c>
      <c r="M896" s="3"/>
      <c r="N896" s="3">
        <f t="shared" si="54"/>
        <v>2019</v>
      </c>
      <c r="O896" s="3" t="str">
        <f t="shared" si="55"/>
        <v>May</v>
      </c>
      <c r="P896" s="3" t="s">
        <v>30</v>
      </c>
      <c r="Q896" s="3"/>
    </row>
    <row r="897" spans="1:17" hidden="1" x14ac:dyDescent="0.3">
      <c r="A897" s="2">
        <v>43556</v>
      </c>
      <c r="B897" s="3" t="s">
        <v>12</v>
      </c>
      <c r="C897" s="3" t="s">
        <v>19</v>
      </c>
      <c r="D897" s="3" t="s">
        <v>26</v>
      </c>
      <c r="E897" s="3" t="s">
        <v>27</v>
      </c>
      <c r="F897" s="3">
        <v>75.98</v>
      </c>
      <c r="G897" s="3" t="s">
        <v>28</v>
      </c>
      <c r="H897" s="3" t="s">
        <v>29</v>
      </c>
      <c r="I897" s="3">
        <f>IF(C897="India",1,IF(C897="USA",INDEX('Currency Master'!B:B,MATCH(DATE(N897,MONTH(DATEVALUE(O897&amp;" 1")),1),'Currency Master'!A:A,0)),IF(C897="Australia",INDEX('Currency Master'!T:T,MATCH(DATE(N897,MONTH(DATEVALUE(O897&amp;" 1")),1),'Currency Master'!A:A,0)),"")))</f>
        <v>69.409238999999999</v>
      </c>
      <c r="J897" s="3">
        <f t="shared" si="52"/>
        <v>41391</v>
      </c>
      <c r="K897" s="3" t="str">
        <f t="shared" si="53"/>
        <v>₹/Candy</v>
      </c>
      <c r="L897" s="3">
        <v>-2.10024481381265E-2</v>
      </c>
      <c r="M897" s="3"/>
      <c r="N897" s="3">
        <f t="shared" si="54"/>
        <v>2019</v>
      </c>
      <c r="O897" s="3" t="str">
        <f t="shared" si="55"/>
        <v>April</v>
      </c>
      <c r="P897" s="3" t="s">
        <v>30</v>
      </c>
      <c r="Q897" s="3"/>
    </row>
    <row r="898" spans="1:17" hidden="1" x14ac:dyDescent="0.3">
      <c r="A898" s="2">
        <v>43525</v>
      </c>
      <c r="B898" s="3" t="s">
        <v>12</v>
      </c>
      <c r="C898" s="3" t="s">
        <v>19</v>
      </c>
      <c r="D898" s="3" t="s">
        <v>26</v>
      </c>
      <c r="E898" s="3" t="s">
        <v>27</v>
      </c>
      <c r="F898" s="3">
        <v>77.61</v>
      </c>
      <c r="G898" s="3" t="s">
        <v>28</v>
      </c>
      <c r="H898" s="3" t="s">
        <v>29</v>
      </c>
      <c r="I898" s="3">
        <f>IF(C898="India",1,IF(C898="USA",INDEX('Currency Master'!B:B,MATCH(DATE(N898,MONTH(DATEVALUE(O898&amp;" 1")),1),'Currency Master'!A:A,0)),IF(C898="Australia",INDEX('Currency Master'!T:T,MATCH(DATE(N898,MONTH(DATEVALUE(O898&amp;" 1")),1),'Currency Master'!A:A,0)),"")))</f>
        <v>69.507559999999998</v>
      </c>
      <c r="J898" s="3">
        <f t="shared" si="52"/>
        <v>42338</v>
      </c>
      <c r="K898" s="3" t="str">
        <f t="shared" si="53"/>
        <v>₹/Candy</v>
      </c>
      <c r="L898" s="3">
        <v>8.1823250627265101E-2</v>
      </c>
      <c r="M898" s="3"/>
      <c r="N898" s="3">
        <f t="shared" si="54"/>
        <v>2019</v>
      </c>
      <c r="O898" s="3" t="str">
        <f t="shared" si="55"/>
        <v>March</v>
      </c>
      <c r="P898" s="3" t="s">
        <v>30</v>
      </c>
      <c r="Q898" s="3"/>
    </row>
    <row r="899" spans="1:17" hidden="1" x14ac:dyDescent="0.3">
      <c r="A899" s="2">
        <v>43497</v>
      </c>
      <c r="B899" s="3" t="s">
        <v>12</v>
      </c>
      <c r="C899" s="3" t="s">
        <v>19</v>
      </c>
      <c r="D899" s="3" t="s">
        <v>26</v>
      </c>
      <c r="E899" s="3" t="s">
        <v>27</v>
      </c>
      <c r="F899" s="3">
        <v>71.739999999999995</v>
      </c>
      <c r="G899" s="3" t="s">
        <v>28</v>
      </c>
      <c r="H899" s="3" t="s">
        <v>29</v>
      </c>
      <c r="I899" s="3">
        <f>IF(C899="India",1,IF(C899="USA",INDEX('Currency Master'!B:B,MATCH(DATE(N899,MONTH(DATEVALUE(O899&amp;" 1")),1),'Currency Master'!A:A,0)),IF(C899="Australia",INDEX('Currency Master'!T:T,MATCH(DATE(N899,MONTH(DATEVALUE(O899&amp;" 1")),1),'Currency Master'!A:A,0)),"")))</f>
        <v>71.234618999999995</v>
      </c>
      <c r="J899" s="3">
        <f t="shared" ref="J899:J962" si="56">IF(C899="India",F899,IF(C899="USA",IF(G899="US Cents/Lb",ROUND(((F899/100)/0.453592)*I899*356,0),F899),IF(C899="Australia",IF(G899="AUc/kg",ROUND((F899/100)*I899,2),F899),"")))</f>
        <v>40109</v>
      </c>
      <c r="K899" s="3" t="str">
        <f t="shared" ref="K899:K962" si="57">IF(C899="India",G899,IF(C899="USA","₹/Candy",IF(C899="Australia","₹/Kg","")))</f>
        <v>₹/Candy</v>
      </c>
      <c r="L899" s="3">
        <v>-3.57526881720431E-2</v>
      </c>
      <c r="M899" s="3"/>
      <c r="N899" s="3">
        <f t="shared" ref="N899:N962" si="58">YEAR(A899)</f>
        <v>2019</v>
      </c>
      <c r="O899" s="3" t="str">
        <f t="shared" ref="O899:O962" si="59">TEXT(A899,"mmmm")</f>
        <v>February</v>
      </c>
      <c r="P899" s="3" t="s">
        <v>30</v>
      </c>
      <c r="Q899" s="3"/>
    </row>
    <row r="900" spans="1:17" hidden="1" x14ac:dyDescent="0.3">
      <c r="A900" s="2">
        <v>43466</v>
      </c>
      <c r="B900" s="3" t="s">
        <v>12</v>
      </c>
      <c r="C900" s="3" t="s">
        <v>19</v>
      </c>
      <c r="D900" s="3" t="s">
        <v>26</v>
      </c>
      <c r="E900" s="3" t="s">
        <v>27</v>
      </c>
      <c r="F900" s="3">
        <v>74.400000000000006</v>
      </c>
      <c r="G900" s="3" t="s">
        <v>28</v>
      </c>
      <c r="H900" s="3" t="s">
        <v>29</v>
      </c>
      <c r="I900" s="3">
        <f>IF(C900="India",1,IF(C900="USA",INDEX('Currency Master'!B:B,MATCH(DATE(N900,MONTH(DATEVALUE(O900&amp;" 1")),1),'Currency Master'!A:A,0)),IF(C900="Australia",INDEX('Currency Master'!T:T,MATCH(DATE(N900,MONTH(DATEVALUE(O900&amp;" 1")),1),'Currency Master'!A:A,0)),"")))</f>
        <v>70.774544000000006</v>
      </c>
      <c r="J900" s="3">
        <f t="shared" si="56"/>
        <v>41327</v>
      </c>
      <c r="K900" s="3" t="str">
        <f t="shared" si="57"/>
        <v>₹/Candy</v>
      </c>
      <c r="L900" s="3">
        <v>3.0470914127423799E-2</v>
      </c>
      <c r="M900" s="3"/>
      <c r="N900" s="3">
        <f t="shared" si="58"/>
        <v>2019</v>
      </c>
      <c r="O900" s="3" t="str">
        <f t="shared" si="59"/>
        <v>January</v>
      </c>
      <c r="P900" s="3" t="s">
        <v>30</v>
      </c>
      <c r="Q900" s="3"/>
    </row>
    <row r="901" spans="1:17" hidden="1" x14ac:dyDescent="0.3">
      <c r="A901" s="2">
        <v>43435</v>
      </c>
      <c r="B901" s="3" t="s">
        <v>12</v>
      </c>
      <c r="C901" s="3" t="s">
        <v>19</v>
      </c>
      <c r="D901" s="3" t="s">
        <v>26</v>
      </c>
      <c r="E901" s="3" t="s">
        <v>27</v>
      </c>
      <c r="F901" s="3">
        <v>72.2</v>
      </c>
      <c r="G901" s="3" t="s">
        <v>28</v>
      </c>
      <c r="H901" s="3" t="s">
        <v>29</v>
      </c>
      <c r="I901" s="3">
        <f>IF(C901="India",1,IF(C901="USA",INDEX('Currency Master'!B:B,MATCH(DATE(N901,MONTH(DATEVALUE(O901&amp;" 1")),1),'Currency Master'!A:A,0)),IF(C901="Australia",INDEX('Currency Master'!T:T,MATCH(DATE(N901,MONTH(DATEVALUE(O901&amp;" 1")),1),'Currency Master'!A:A,0)),"")))</f>
        <v>70.816106000000005</v>
      </c>
      <c r="J901" s="3">
        <f t="shared" si="56"/>
        <v>40129</v>
      </c>
      <c r="K901" s="3" t="str">
        <f t="shared" si="57"/>
        <v>₹/Candy</v>
      </c>
      <c r="L901" s="3">
        <v>-6.4282011404872899E-2</v>
      </c>
      <c r="M901" s="3"/>
      <c r="N901" s="3">
        <f t="shared" si="58"/>
        <v>2018</v>
      </c>
      <c r="O901" s="3" t="str">
        <f t="shared" si="59"/>
        <v>December</v>
      </c>
      <c r="P901" s="3" t="s">
        <v>30</v>
      </c>
      <c r="Q901" s="3"/>
    </row>
    <row r="902" spans="1:17" hidden="1" x14ac:dyDescent="0.3">
      <c r="A902" s="2">
        <v>43405</v>
      </c>
      <c r="B902" s="3" t="s">
        <v>12</v>
      </c>
      <c r="C902" s="3" t="s">
        <v>19</v>
      </c>
      <c r="D902" s="3" t="s">
        <v>26</v>
      </c>
      <c r="E902" s="3" t="s">
        <v>27</v>
      </c>
      <c r="F902" s="3">
        <v>77.16</v>
      </c>
      <c r="G902" s="3" t="s">
        <v>28</v>
      </c>
      <c r="H902" s="3" t="s">
        <v>29</v>
      </c>
      <c r="I902" s="3">
        <f>IF(C902="India",1,IF(C902="USA",INDEX('Currency Master'!B:B,MATCH(DATE(N902,MONTH(DATEVALUE(O902&amp;" 1")),1),'Currency Master'!A:A,0)),IF(C902="Australia",INDEX('Currency Master'!T:T,MATCH(DATE(N902,MONTH(DATEVALUE(O902&amp;" 1")),1),'Currency Master'!A:A,0)),"")))</f>
        <v>71.753184000000005</v>
      </c>
      <c r="J902" s="3">
        <f t="shared" si="56"/>
        <v>43453</v>
      </c>
      <c r="K902" s="3" t="str">
        <f t="shared" si="57"/>
        <v>₹/Candy</v>
      </c>
      <c r="L902" s="3">
        <v>3.9032006245120999E-3</v>
      </c>
      <c r="M902" s="3"/>
      <c r="N902" s="3">
        <f t="shared" si="58"/>
        <v>2018</v>
      </c>
      <c r="O902" s="3" t="str">
        <f t="shared" si="59"/>
        <v>November</v>
      </c>
      <c r="P902" s="3" t="s">
        <v>30</v>
      </c>
      <c r="Q902" s="3"/>
    </row>
    <row r="903" spans="1:17" hidden="1" x14ac:dyDescent="0.3">
      <c r="A903" s="2">
        <v>43374</v>
      </c>
      <c r="B903" s="3" t="s">
        <v>12</v>
      </c>
      <c r="C903" s="3" t="s">
        <v>19</v>
      </c>
      <c r="D903" s="3" t="s">
        <v>26</v>
      </c>
      <c r="E903" s="3" t="s">
        <v>27</v>
      </c>
      <c r="F903" s="3">
        <v>76.86</v>
      </c>
      <c r="G903" s="3" t="s">
        <v>28</v>
      </c>
      <c r="H903" s="3" t="s">
        <v>29</v>
      </c>
      <c r="I903" s="3">
        <f>IF(C903="India",1,IF(C903="USA",INDEX('Currency Master'!B:B,MATCH(DATE(N903,MONTH(DATEVALUE(O903&amp;" 1")),1),'Currency Master'!A:A,0)),IF(C903="Australia",INDEX('Currency Master'!T:T,MATCH(DATE(N903,MONTH(DATEVALUE(O903&amp;" 1")),1),'Currency Master'!A:A,0)),"")))</f>
        <v>73.619440999999995</v>
      </c>
      <c r="J903" s="3">
        <f t="shared" si="56"/>
        <v>44410</v>
      </c>
      <c r="K903" s="3" t="str">
        <f t="shared" si="57"/>
        <v>₹/Candy</v>
      </c>
      <c r="L903" s="3">
        <v>1.30276185513289E-3</v>
      </c>
      <c r="M903" s="3"/>
      <c r="N903" s="3">
        <f t="shared" si="58"/>
        <v>2018</v>
      </c>
      <c r="O903" s="3" t="str">
        <f t="shared" si="59"/>
        <v>October</v>
      </c>
      <c r="P903" s="3" t="s">
        <v>30</v>
      </c>
      <c r="Q903" s="3"/>
    </row>
    <row r="904" spans="1:17" hidden="1" x14ac:dyDescent="0.3">
      <c r="A904" s="2">
        <v>43344</v>
      </c>
      <c r="B904" s="3" t="s">
        <v>12</v>
      </c>
      <c r="C904" s="3" t="s">
        <v>19</v>
      </c>
      <c r="D904" s="3" t="s">
        <v>26</v>
      </c>
      <c r="E904" s="3" t="s">
        <v>27</v>
      </c>
      <c r="F904" s="3">
        <v>76.760000000000005</v>
      </c>
      <c r="G904" s="3" t="s">
        <v>28</v>
      </c>
      <c r="H904" s="3" t="s">
        <v>29</v>
      </c>
      <c r="I904" s="3">
        <f>IF(C904="India",1,IF(C904="USA",INDEX('Currency Master'!B:B,MATCH(DATE(N904,MONTH(DATEVALUE(O904&amp;" 1")),1),'Currency Master'!A:A,0)),IF(C904="Australia",INDEX('Currency Master'!T:T,MATCH(DATE(N904,MONTH(DATEVALUE(O904&amp;" 1")),1),'Currency Master'!A:A,0)),"")))</f>
        <v>72.229001999999994</v>
      </c>
      <c r="J904" s="3">
        <f t="shared" si="56"/>
        <v>43514</v>
      </c>
      <c r="K904" s="3" t="str">
        <f t="shared" si="57"/>
        <v>₹/Candy</v>
      </c>
      <c r="L904" s="3">
        <v>-6.7428016036933505E-2</v>
      </c>
      <c r="M904" s="3"/>
      <c r="N904" s="3">
        <f t="shared" si="58"/>
        <v>2018</v>
      </c>
      <c r="O904" s="3" t="str">
        <f t="shared" si="59"/>
        <v>September</v>
      </c>
      <c r="P904" s="3" t="s">
        <v>30</v>
      </c>
      <c r="Q904" s="3"/>
    </row>
    <row r="905" spans="1:17" hidden="1" x14ac:dyDescent="0.3">
      <c r="A905" s="2">
        <v>43313</v>
      </c>
      <c r="B905" s="3" t="s">
        <v>12</v>
      </c>
      <c r="C905" s="3" t="s">
        <v>19</v>
      </c>
      <c r="D905" s="3" t="s">
        <v>26</v>
      </c>
      <c r="E905" s="3" t="s">
        <v>27</v>
      </c>
      <c r="F905" s="3">
        <v>82.31</v>
      </c>
      <c r="G905" s="3" t="s">
        <v>28</v>
      </c>
      <c r="H905" s="3" t="s">
        <v>29</v>
      </c>
      <c r="I905" s="3">
        <f>IF(C905="India",1,IF(C905="USA",INDEX('Currency Master'!B:B,MATCH(DATE(N905,MONTH(DATEVALUE(O905&amp;" 1")),1),'Currency Master'!A:A,0)),IF(C905="Australia",INDEX('Currency Master'!T:T,MATCH(DATE(N905,MONTH(DATEVALUE(O905&amp;" 1")),1),'Currency Master'!A:A,0)),"")))</f>
        <v>69.639795000000007</v>
      </c>
      <c r="J905" s="3">
        <f t="shared" si="56"/>
        <v>44988</v>
      </c>
      <c r="K905" s="3" t="str">
        <f t="shared" si="57"/>
        <v>₹/Candy</v>
      </c>
      <c r="L905" s="3">
        <v>-8.8280903854674395E-2</v>
      </c>
      <c r="M905" s="3"/>
      <c r="N905" s="3">
        <f t="shared" si="58"/>
        <v>2018</v>
      </c>
      <c r="O905" s="3" t="str">
        <f t="shared" si="59"/>
        <v>August</v>
      </c>
      <c r="P905" s="3" t="s">
        <v>30</v>
      </c>
      <c r="Q905" s="3"/>
    </row>
    <row r="906" spans="1:17" hidden="1" x14ac:dyDescent="0.3">
      <c r="A906" s="2">
        <v>43282</v>
      </c>
      <c r="B906" s="3" t="s">
        <v>12</v>
      </c>
      <c r="C906" s="3" t="s">
        <v>19</v>
      </c>
      <c r="D906" s="3" t="s">
        <v>26</v>
      </c>
      <c r="E906" s="3" t="s">
        <v>27</v>
      </c>
      <c r="F906" s="3">
        <v>90.28</v>
      </c>
      <c r="G906" s="3" t="s">
        <v>28</v>
      </c>
      <c r="H906" s="3" t="s">
        <v>29</v>
      </c>
      <c r="I906" s="3">
        <f>IF(C906="India",1,IF(C906="USA",INDEX('Currency Master'!B:B,MATCH(DATE(N906,MONTH(DATEVALUE(O906&amp;" 1")),1),'Currency Master'!A:A,0)),IF(C906="Australia",INDEX('Currency Master'!T:T,MATCH(DATE(N906,MONTH(DATEVALUE(O906&amp;" 1")),1),'Currency Master'!A:A,0)),"")))</f>
        <v>68.716033999999993</v>
      </c>
      <c r="J906" s="3">
        <f t="shared" si="56"/>
        <v>48689</v>
      </c>
      <c r="K906" s="3" t="str">
        <f t="shared" si="57"/>
        <v>₹/Candy</v>
      </c>
      <c r="L906" s="3">
        <v>5.7390489576013101E-2</v>
      </c>
      <c r="M906" s="3"/>
      <c r="N906" s="3">
        <f t="shared" si="58"/>
        <v>2018</v>
      </c>
      <c r="O906" s="3" t="str">
        <f t="shared" si="59"/>
        <v>July</v>
      </c>
      <c r="P906" s="3" t="s">
        <v>30</v>
      </c>
      <c r="Q906" s="3"/>
    </row>
    <row r="907" spans="1:17" hidden="1" x14ac:dyDescent="0.3">
      <c r="A907" s="2">
        <v>43252</v>
      </c>
      <c r="B907" s="3" t="s">
        <v>12</v>
      </c>
      <c r="C907" s="3" t="s">
        <v>19</v>
      </c>
      <c r="D907" s="3" t="s">
        <v>26</v>
      </c>
      <c r="E907" s="3" t="s">
        <v>27</v>
      </c>
      <c r="F907" s="3">
        <v>85.38</v>
      </c>
      <c r="G907" s="3" t="s">
        <v>28</v>
      </c>
      <c r="H907" s="3" t="s">
        <v>29</v>
      </c>
      <c r="I907" s="3">
        <f>IF(C907="India",1,IF(C907="USA",INDEX('Currency Master'!B:B,MATCH(DATE(N907,MONTH(DATEVALUE(O907&amp;" 1")),1),'Currency Master'!A:A,0)),IF(C907="Australia",INDEX('Currency Master'!T:T,MATCH(DATE(N907,MONTH(DATEVALUE(O907&amp;" 1")),1),'Currency Master'!A:A,0)),"")))</f>
        <v>67.786743000000001</v>
      </c>
      <c r="J907" s="3">
        <f t="shared" si="56"/>
        <v>45424</v>
      </c>
      <c r="K907" s="3" t="str">
        <f t="shared" si="57"/>
        <v>₹/Candy</v>
      </c>
      <c r="L907" s="3">
        <v>-8.3413848631240003E-2</v>
      </c>
      <c r="M907" s="3"/>
      <c r="N907" s="3">
        <f t="shared" si="58"/>
        <v>2018</v>
      </c>
      <c r="O907" s="3" t="str">
        <f t="shared" si="59"/>
        <v>June</v>
      </c>
      <c r="P907" s="3" t="s">
        <v>30</v>
      </c>
      <c r="Q907" s="3"/>
    </row>
    <row r="908" spans="1:17" hidden="1" x14ac:dyDescent="0.3">
      <c r="A908" s="2">
        <v>43221</v>
      </c>
      <c r="B908" s="3" t="s">
        <v>12</v>
      </c>
      <c r="C908" s="3" t="s">
        <v>19</v>
      </c>
      <c r="D908" s="3" t="s">
        <v>26</v>
      </c>
      <c r="E908" s="3" t="s">
        <v>27</v>
      </c>
      <c r="F908" s="3">
        <v>93.15</v>
      </c>
      <c r="G908" s="3" t="s">
        <v>28</v>
      </c>
      <c r="H908" s="3" t="s">
        <v>29</v>
      </c>
      <c r="I908" s="3">
        <f>IF(C908="India",1,IF(C908="USA",INDEX('Currency Master'!B:B,MATCH(DATE(N908,MONTH(DATEVALUE(O908&amp;" 1")),1),'Currency Master'!A:A,0)),IF(C908="Australia",INDEX('Currency Master'!T:T,MATCH(DATE(N908,MONTH(DATEVALUE(O908&amp;" 1")),1),'Currency Master'!A:A,0)),"")))</f>
        <v>67.551006999999998</v>
      </c>
      <c r="J908" s="3">
        <f t="shared" si="56"/>
        <v>49385</v>
      </c>
      <c r="K908" s="3" t="str">
        <f t="shared" si="57"/>
        <v>₹/Candy</v>
      </c>
      <c r="L908" s="3">
        <v>0.100023618327822</v>
      </c>
      <c r="M908" s="3"/>
      <c r="N908" s="3">
        <f t="shared" si="58"/>
        <v>2018</v>
      </c>
      <c r="O908" s="3" t="str">
        <f t="shared" si="59"/>
        <v>May</v>
      </c>
      <c r="P908" s="3" t="s">
        <v>30</v>
      </c>
      <c r="Q908" s="3"/>
    </row>
    <row r="909" spans="1:17" hidden="1" x14ac:dyDescent="0.3">
      <c r="A909" s="2">
        <v>43191</v>
      </c>
      <c r="B909" s="3" t="s">
        <v>12</v>
      </c>
      <c r="C909" s="3" t="s">
        <v>19</v>
      </c>
      <c r="D909" s="3" t="s">
        <v>26</v>
      </c>
      <c r="E909" s="3" t="s">
        <v>27</v>
      </c>
      <c r="F909" s="3">
        <v>84.68</v>
      </c>
      <c r="G909" s="3" t="s">
        <v>28</v>
      </c>
      <c r="H909" s="3" t="s">
        <v>29</v>
      </c>
      <c r="I909" s="3">
        <f>IF(C909="India",1,IF(C909="USA",INDEX('Currency Master'!B:B,MATCH(DATE(N909,MONTH(DATEVALUE(O909&amp;" 1")),1),'Currency Master'!A:A,0)),IF(C909="Australia",INDEX('Currency Master'!T:T,MATCH(DATE(N909,MONTH(DATEVALUE(O909&amp;" 1")),1),'Currency Master'!A:A,0)),"")))</f>
        <v>65.702752000000004</v>
      </c>
      <c r="J909" s="3">
        <f t="shared" si="56"/>
        <v>43667</v>
      </c>
      <c r="K909" s="3" t="str">
        <f t="shared" si="57"/>
        <v>₹/Candy</v>
      </c>
      <c r="L909" s="3">
        <v>3.9528602995335199E-2</v>
      </c>
      <c r="M909" s="3"/>
      <c r="N909" s="3">
        <f t="shared" si="58"/>
        <v>2018</v>
      </c>
      <c r="O909" s="3" t="str">
        <f t="shared" si="59"/>
        <v>April</v>
      </c>
      <c r="P909" s="3" t="s">
        <v>30</v>
      </c>
      <c r="Q909" s="3"/>
    </row>
    <row r="910" spans="1:17" hidden="1" x14ac:dyDescent="0.3">
      <c r="A910" s="2">
        <v>43160</v>
      </c>
      <c r="B910" s="3" t="s">
        <v>12</v>
      </c>
      <c r="C910" s="3" t="s">
        <v>19</v>
      </c>
      <c r="D910" s="3" t="s">
        <v>26</v>
      </c>
      <c r="E910" s="3" t="s">
        <v>27</v>
      </c>
      <c r="F910" s="3">
        <v>81.459999999999994</v>
      </c>
      <c r="G910" s="3" t="s">
        <v>28</v>
      </c>
      <c r="H910" s="3" t="s">
        <v>29</v>
      </c>
      <c r="I910" s="3">
        <f>IF(C910="India",1,IF(C910="USA",INDEX('Currency Master'!B:B,MATCH(DATE(N910,MONTH(DATEVALUE(O910&amp;" 1")),1),'Currency Master'!A:A,0)),IF(C910="Australia",INDEX('Currency Master'!T:T,MATCH(DATE(N910,MONTH(DATEVALUE(O910&amp;" 1")),1),'Currency Master'!A:A,0)),"")))</f>
        <v>65.054934000000003</v>
      </c>
      <c r="J910" s="3">
        <f t="shared" si="56"/>
        <v>41592</v>
      </c>
      <c r="K910" s="3" t="str">
        <f t="shared" si="57"/>
        <v>₹/Candy</v>
      </c>
      <c r="L910" s="3">
        <v>-2.3270055113290299E-3</v>
      </c>
      <c r="M910" s="3"/>
      <c r="N910" s="3">
        <f t="shared" si="58"/>
        <v>2018</v>
      </c>
      <c r="O910" s="3" t="str">
        <f t="shared" si="59"/>
        <v>March</v>
      </c>
      <c r="P910" s="3" t="s">
        <v>30</v>
      </c>
      <c r="Q910" s="3"/>
    </row>
    <row r="911" spans="1:17" hidden="1" x14ac:dyDescent="0.3">
      <c r="A911" s="2">
        <v>43132</v>
      </c>
      <c r="B911" s="3" t="s">
        <v>12</v>
      </c>
      <c r="C911" s="3" t="s">
        <v>19</v>
      </c>
      <c r="D911" s="3" t="s">
        <v>26</v>
      </c>
      <c r="E911" s="3" t="s">
        <v>27</v>
      </c>
      <c r="F911" s="3">
        <v>81.650000000000006</v>
      </c>
      <c r="G911" s="3" t="s">
        <v>28</v>
      </c>
      <c r="H911" s="3" t="s">
        <v>29</v>
      </c>
      <c r="I911" s="3">
        <f>IF(C911="India",1,IF(C911="USA",INDEX('Currency Master'!B:B,MATCH(DATE(N911,MONTH(DATEVALUE(O911&amp;" 1")),1),'Currency Master'!A:A,0)),IF(C911="Australia",INDEX('Currency Master'!T:T,MATCH(DATE(N911,MONTH(DATEVALUE(O911&amp;" 1")),1),'Currency Master'!A:A,0)),"")))</f>
        <v>64.435411999999999</v>
      </c>
      <c r="J911" s="3">
        <f t="shared" si="56"/>
        <v>41292</v>
      </c>
      <c r="K911" s="3" t="str">
        <f t="shared" si="57"/>
        <v>₹/Candy</v>
      </c>
      <c r="L911" s="3">
        <v>5.6547619047619103E-2</v>
      </c>
      <c r="M911" s="3"/>
      <c r="N911" s="3">
        <f t="shared" si="58"/>
        <v>2018</v>
      </c>
      <c r="O911" s="3" t="str">
        <f t="shared" si="59"/>
        <v>February</v>
      </c>
      <c r="P911" s="3" t="s">
        <v>30</v>
      </c>
      <c r="Q911" s="3"/>
    </row>
    <row r="912" spans="1:17" hidden="1" x14ac:dyDescent="0.3">
      <c r="A912" s="2">
        <v>43101</v>
      </c>
      <c r="B912" s="3" t="s">
        <v>12</v>
      </c>
      <c r="C912" s="3" t="s">
        <v>19</v>
      </c>
      <c r="D912" s="3" t="s">
        <v>26</v>
      </c>
      <c r="E912" s="3" t="s">
        <v>27</v>
      </c>
      <c r="F912" s="3">
        <v>77.28</v>
      </c>
      <c r="G912" s="3" t="s">
        <v>28</v>
      </c>
      <c r="H912" s="3" t="s">
        <v>29</v>
      </c>
      <c r="I912" s="3">
        <f>IF(C912="India",1,IF(C912="USA",INDEX('Currency Master'!B:B,MATCH(DATE(N912,MONTH(DATEVALUE(O912&amp;" 1")),1),'Currency Master'!A:A,0)),IF(C912="Australia",INDEX('Currency Master'!T:T,MATCH(DATE(N912,MONTH(DATEVALUE(O912&amp;" 1")),1),'Currency Master'!A:A,0)),"")))</f>
        <v>63.654439000000004</v>
      </c>
      <c r="J912" s="3">
        <f t="shared" si="56"/>
        <v>38608</v>
      </c>
      <c r="K912" s="3" t="str">
        <f t="shared" si="57"/>
        <v>₹/Candy</v>
      </c>
      <c r="L912" s="3">
        <v>-1.7169019458221999E-2</v>
      </c>
      <c r="M912" s="3"/>
      <c r="N912" s="3">
        <f t="shared" si="58"/>
        <v>2018</v>
      </c>
      <c r="O912" s="3" t="str">
        <f t="shared" si="59"/>
        <v>January</v>
      </c>
      <c r="P912" s="3" t="s">
        <v>30</v>
      </c>
      <c r="Q912" s="3"/>
    </row>
    <row r="913" spans="1:17" hidden="1" x14ac:dyDescent="0.3">
      <c r="A913" s="2">
        <v>43070</v>
      </c>
      <c r="B913" s="3" t="s">
        <v>12</v>
      </c>
      <c r="C913" s="3" t="s">
        <v>19</v>
      </c>
      <c r="D913" s="3" t="s">
        <v>26</v>
      </c>
      <c r="E913" s="3" t="s">
        <v>27</v>
      </c>
      <c r="F913" s="3">
        <v>78.63</v>
      </c>
      <c r="G913" s="3" t="s">
        <v>28</v>
      </c>
      <c r="H913" s="3" t="s">
        <v>29</v>
      </c>
      <c r="I913" s="3">
        <f>IF(C913="India",1,IF(C913="USA",INDEX('Currency Master'!B:B,MATCH(DATE(N913,MONTH(DATEVALUE(O913&amp;" 1")),1),'Currency Master'!A:A,0)),IF(C913="Australia",INDEX('Currency Master'!T:T,MATCH(DATE(N913,MONTH(DATEVALUE(O913&amp;" 1")),1),'Currency Master'!A:A,0)),"")))</f>
        <v>64.266334999999998</v>
      </c>
      <c r="J913" s="3">
        <f t="shared" si="56"/>
        <v>39660</v>
      </c>
      <c r="K913" s="3" t="str">
        <f t="shared" si="57"/>
        <v>₹/Candy</v>
      </c>
      <c r="L913" s="3">
        <v>4.78411513859274E-2</v>
      </c>
      <c r="M913" s="3"/>
      <c r="N913" s="3">
        <f t="shared" si="58"/>
        <v>2017</v>
      </c>
      <c r="O913" s="3" t="str">
        <f t="shared" si="59"/>
        <v>December</v>
      </c>
      <c r="P913" s="3" t="s">
        <v>30</v>
      </c>
      <c r="Q913" s="3"/>
    </row>
    <row r="914" spans="1:17" hidden="1" x14ac:dyDescent="0.3">
      <c r="A914" s="2">
        <v>43040</v>
      </c>
      <c r="B914" s="3" t="s">
        <v>12</v>
      </c>
      <c r="C914" s="3" t="s">
        <v>19</v>
      </c>
      <c r="D914" s="3" t="s">
        <v>26</v>
      </c>
      <c r="E914" s="3" t="s">
        <v>27</v>
      </c>
      <c r="F914" s="3">
        <v>75.040000000000006</v>
      </c>
      <c r="G914" s="3" t="s">
        <v>28</v>
      </c>
      <c r="H914" s="3" t="s">
        <v>29</v>
      </c>
      <c r="I914" s="3">
        <f>IF(C914="India",1,IF(C914="USA",INDEX('Currency Master'!B:B,MATCH(DATE(N914,MONTH(DATEVALUE(O914&amp;" 1")),1),'Currency Master'!A:A,0)),IF(C914="Australia",INDEX('Currency Master'!T:T,MATCH(DATE(N914,MONTH(DATEVALUE(O914&amp;" 1")),1),'Currency Master'!A:A,0)),"")))</f>
        <v>64.854237999999995</v>
      </c>
      <c r="J914" s="3">
        <f t="shared" si="56"/>
        <v>38196</v>
      </c>
      <c r="K914" s="3" t="str">
        <f t="shared" si="57"/>
        <v>₹/Candy</v>
      </c>
      <c r="L914" s="3">
        <v>9.7396899678268603E-2</v>
      </c>
      <c r="M914" s="3"/>
      <c r="N914" s="3">
        <f t="shared" si="58"/>
        <v>2017</v>
      </c>
      <c r="O914" s="3" t="str">
        <f t="shared" si="59"/>
        <v>November</v>
      </c>
      <c r="P914" s="3" t="s">
        <v>30</v>
      </c>
      <c r="Q914" s="3"/>
    </row>
    <row r="915" spans="1:17" hidden="1" x14ac:dyDescent="0.3">
      <c r="A915" s="2">
        <v>43009</v>
      </c>
      <c r="B915" s="3" t="s">
        <v>12</v>
      </c>
      <c r="C915" s="3" t="s">
        <v>19</v>
      </c>
      <c r="D915" s="3" t="s">
        <v>26</v>
      </c>
      <c r="E915" s="3" t="s">
        <v>27</v>
      </c>
      <c r="F915" s="3">
        <v>68.38</v>
      </c>
      <c r="G915" s="3" t="s">
        <v>28</v>
      </c>
      <c r="H915" s="3" t="s">
        <v>29</v>
      </c>
      <c r="I915" s="3">
        <f>IF(C915="India",1,IF(C915="USA",INDEX('Currency Master'!B:B,MATCH(DATE(N915,MONTH(DATEVALUE(O915&amp;" 1")),1),'Currency Master'!A:A,0)),IF(C915="Australia",INDEX('Currency Master'!T:T,MATCH(DATE(N915,MONTH(DATEVALUE(O915&amp;" 1")),1),'Currency Master'!A:A,0)),"")))</f>
        <v>65.071886000000006</v>
      </c>
      <c r="J915" s="3">
        <f t="shared" si="56"/>
        <v>34923</v>
      </c>
      <c r="K915" s="3" t="str">
        <f t="shared" si="57"/>
        <v>₹/Candy</v>
      </c>
      <c r="L915" s="3">
        <v>-1.0133178922987899E-2</v>
      </c>
      <c r="M915" s="3"/>
      <c r="N915" s="3">
        <f t="shared" si="58"/>
        <v>2017</v>
      </c>
      <c r="O915" s="3" t="str">
        <f t="shared" si="59"/>
        <v>October</v>
      </c>
      <c r="P915" s="3" t="s">
        <v>30</v>
      </c>
      <c r="Q915" s="3"/>
    </row>
    <row r="916" spans="1:17" hidden="1" x14ac:dyDescent="0.3">
      <c r="A916" s="2">
        <v>42979</v>
      </c>
      <c r="B916" s="3" t="s">
        <v>12</v>
      </c>
      <c r="C916" s="3" t="s">
        <v>19</v>
      </c>
      <c r="D916" s="3" t="s">
        <v>26</v>
      </c>
      <c r="E916" s="3" t="s">
        <v>27</v>
      </c>
      <c r="F916" s="3">
        <v>69.08</v>
      </c>
      <c r="G916" s="3" t="s">
        <v>28</v>
      </c>
      <c r="H916" s="3" t="s">
        <v>29</v>
      </c>
      <c r="I916" s="3">
        <f>IF(C916="India",1,IF(C916="USA",INDEX('Currency Master'!B:B,MATCH(DATE(N916,MONTH(DATEVALUE(O916&amp;" 1")),1),'Currency Master'!A:A,0)),IF(C916="Australia",INDEX('Currency Master'!T:T,MATCH(DATE(N916,MONTH(DATEVALUE(O916&amp;" 1")),1),'Currency Master'!A:A,0)),"")))</f>
        <v>64.462391999999994</v>
      </c>
      <c r="J916" s="3">
        <f t="shared" si="56"/>
        <v>34950</v>
      </c>
      <c r="K916" s="3" t="str">
        <f t="shared" si="57"/>
        <v>₹/Candy</v>
      </c>
      <c r="L916" s="3">
        <v>-3.3575825405707901E-2</v>
      </c>
      <c r="M916" s="3"/>
      <c r="N916" s="3">
        <f t="shared" si="58"/>
        <v>2017</v>
      </c>
      <c r="O916" s="3" t="str">
        <f t="shared" si="59"/>
        <v>September</v>
      </c>
      <c r="P916" s="3" t="s">
        <v>30</v>
      </c>
      <c r="Q916" s="3"/>
    </row>
    <row r="917" spans="1:17" hidden="1" x14ac:dyDescent="0.3">
      <c r="A917" s="2">
        <v>42948</v>
      </c>
      <c r="B917" s="3" t="s">
        <v>12</v>
      </c>
      <c r="C917" s="3" t="s">
        <v>19</v>
      </c>
      <c r="D917" s="3" t="s">
        <v>26</v>
      </c>
      <c r="E917" s="3" t="s">
        <v>27</v>
      </c>
      <c r="F917" s="3">
        <v>71.48</v>
      </c>
      <c r="G917" s="3" t="s">
        <v>28</v>
      </c>
      <c r="H917" s="3" t="s">
        <v>29</v>
      </c>
      <c r="I917" s="3">
        <f>IF(C917="India",1,IF(C917="USA",INDEX('Currency Master'!B:B,MATCH(DATE(N917,MONTH(DATEVALUE(O917&amp;" 1")),1),'Currency Master'!A:A,0)),IF(C917="Australia",INDEX('Currency Master'!T:T,MATCH(DATE(N917,MONTH(DATEVALUE(O917&amp;" 1")),1),'Currency Master'!A:A,0)),"")))</f>
        <v>63.987231000000001</v>
      </c>
      <c r="J917" s="3">
        <f t="shared" si="56"/>
        <v>35897</v>
      </c>
      <c r="K917" s="3" t="str">
        <f t="shared" si="57"/>
        <v>₹/Candy</v>
      </c>
      <c r="L917" s="3">
        <v>1.39007092198582E-2</v>
      </c>
      <c r="M917" s="3"/>
      <c r="N917" s="3">
        <f t="shared" si="58"/>
        <v>2017</v>
      </c>
      <c r="O917" s="3" t="str">
        <f t="shared" si="59"/>
        <v>August</v>
      </c>
      <c r="P917" s="3" t="s">
        <v>30</v>
      </c>
      <c r="Q917" s="3"/>
    </row>
    <row r="918" spans="1:17" hidden="1" x14ac:dyDescent="0.3">
      <c r="A918" s="2">
        <v>42917</v>
      </c>
      <c r="B918" s="3" t="s">
        <v>12</v>
      </c>
      <c r="C918" s="3" t="s">
        <v>19</v>
      </c>
      <c r="D918" s="3" t="s">
        <v>26</v>
      </c>
      <c r="E918" s="3" t="s">
        <v>27</v>
      </c>
      <c r="F918" s="3">
        <v>70.5</v>
      </c>
      <c r="G918" s="3" t="s">
        <v>28</v>
      </c>
      <c r="H918" s="3" t="s">
        <v>29</v>
      </c>
      <c r="I918" s="3">
        <f>IF(C918="India",1,IF(C918="USA",INDEX('Currency Master'!B:B,MATCH(DATE(N918,MONTH(DATEVALUE(O918&amp;" 1")),1),'Currency Master'!A:A,0)),IF(C918="Australia",INDEX('Currency Master'!T:T,MATCH(DATE(N918,MONTH(DATEVALUE(O918&amp;" 1")),1),'Currency Master'!A:A,0)),"")))</f>
        <v>64.456379999999996</v>
      </c>
      <c r="J918" s="3">
        <f t="shared" si="56"/>
        <v>35665</v>
      </c>
      <c r="K918" s="3" t="str">
        <f t="shared" si="57"/>
        <v>₹/Candy</v>
      </c>
      <c r="L918" s="3">
        <v>-6.3869340061080901E-2</v>
      </c>
      <c r="M918" s="3"/>
      <c r="N918" s="3">
        <f t="shared" si="58"/>
        <v>2017</v>
      </c>
      <c r="O918" s="3" t="str">
        <f t="shared" si="59"/>
        <v>July</v>
      </c>
      <c r="P918" s="3" t="s">
        <v>30</v>
      </c>
      <c r="Q918" s="3"/>
    </row>
    <row r="919" spans="1:17" hidden="1" x14ac:dyDescent="0.3">
      <c r="A919" s="2">
        <v>42887</v>
      </c>
      <c r="B919" s="3" t="s">
        <v>12</v>
      </c>
      <c r="C919" s="3" t="s">
        <v>19</v>
      </c>
      <c r="D919" s="3" t="s">
        <v>26</v>
      </c>
      <c r="E919" s="3" t="s">
        <v>27</v>
      </c>
      <c r="F919" s="3">
        <v>75.31</v>
      </c>
      <c r="G919" s="3" t="s">
        <v>28</v>
      </c>
      <c r="H919" s="3" t="s">
        <v>29</v>
      </c>
      <c r="I919" s="3">
        <f>IF(C919="India",1,IF(C919="USA",INDEX('Currency Master'!B:B,MATCH(DATE(N919,MONTH(DATEVALUE(O919&amp;" 1")),1),'Currency Master'!A:A,0)),IF(C919="Australia",INDEX('Currency Master'!T:T,MATCH(DATE(N919,MONTH(DATEVALUE(O919&amp;" 1")),1),'Currency Master'!A:A,0)),"")))</f>
        <v>64.455022999999997</v>
      </c>
      <c r="J919" s="3">
        <f t="shared" si="56"/>
        <v>38097</v>
      </c>
      <c r="K919" s="3" t="str">
        <f t="shared" si="57"/>
        <v>₹/Candy</v>
      </c>
      <c r="L919" s="3">
        <v>-2.1693946479605101E-2</v>
      </c>
      <c r="M919" s="3"/>
      <c r="N919" s="3">
        <f t="shared" si="58"/>
        <v>2017</v>
      </c>
      <c r="O919" s="3" t="str">
        <f t="shared" si="59"/>
        <v>June</v>
      </c>
      <c r="P919" s="3" t="s">
        <v>30</v>
      </c>
      <c r="Q919" s="3"/>
    </row>
    <row r="920" spans="1:17" hidden="1" x14ac:dyDescent="0.3">
      <c r="A920" s="2">
        <v>42856</v>
      </c>
      <c r="B920" s="3" t="s">
        <v>12</v>
      </c>
      <c r="C920" s="3" t="s">
        <v>19</v>
      </c>
      <c r="D920" s="3" t="s">
        <v>26</v>
      </c>
      <c r="E920" s="3" t="s">
        <v>27</v>
      </c>
      <c r="F920" s="3">
        <v>76.98</v>
      </c>
      <c r="G920" s="3" t="s">
        <v>28</v>
      </c>
      <c r="H920" s="3" t="s">
        <v>29</v>
      </c>
      <c r="I920" s="3">
        <f>IF(C920="India",1,IF(C920="USA",INDEX('Currency Master'!B:B,MATCH(DATE(N920,MONTH(DATEVALUE(O920&amp;" 1")),1),'Currency Master'!A:A,0)),IF(C920="Australia",INDEX('Currency Master'!T:T,MATCH(DATE(N920,MONTH(DATEVALUE(O920&amp;" 1")),1),'Currency Master'!A:A,0)),"")))</f>
        <v>64.450710999999998</v>
      </c>
      <c r="J920" s="3">
        <f t="shared" si="56"/>
        <v>38939</v>
      </c>
      <c r="K920" s="3" t="str">
        <f t="shared" si="57"/>
        <v>₹/Candy</v>
      </c>
      <c r="L920" s="3">
        <v>-4.0508537953384001E-2</v>
      </c>
      <c r="M920" s="3"/>
      <c r="N920" s="3">
        <f t="shared" si="58"/>
        <v>2017</v>
      </c>
      <c r="O920" s="3" t="str">
        <f t="shared" si="59"/>
        <v>May</v>
      </c>
      <c r="P920" s="3" t="s">
        <v>30</v>
      </c>
      <c r="Q920" s="3"/>
    </row>
    <row r="921" spans="1:17" hidden="1" x14ac:dyDescent="0.3">
      <c r="A921" s="2">
        <v>42826</v>
      </c>
      <c r="B921" s="3" t="s">
        <v>12</v>
      </c>
      <c r="C921" s="3" t="s">
        <v>19</v>
      </c>
      <c r="D921" s="3" t="s">
        <v>26</v>
      </c>
      <c r="E921" s="3" t="s">
        <v>27</v>
      </c>
      <c r="F921" s="3">
        <v>80.23</v>
      </c>
      <c r="G921" s="3" t="s">
        <v>28</v>
      </c>
      <c r="H921" s="3" t="s">
        <v>29</v>
      </c>
      <c r="I921" s="3">
        <f>IF(C921="India",1,IF(C921="USA",INDEX('Currency Master'!B:B,MATCH(DATE(N921,MONTH(DATEVALUE(O921&amp;" 1")),1),'Currency Master'!A:A,0)),IF(C921="Australia",INDEX('Currency Master'!T:T,MATCH(DATE(N921,MONTH(DATEVALUE(O921&amp;" 1")),1),'Currency Master'!A:A,0)),"")))</f>
        <v>64.539287999999999</v>
      </c>
      <c r="J921" s="3">
        <f t="shared" si="56"/>
        <v>40639</v>
      </c>
      <c r="K921" s="3" t="str">
        <f t="shared" si="57"/>
        <v>₹/Candy</v>
      </c>
      <c r="L921" s="3">
        <v>3.7501616448985003E-2</v>
      </c>
      <c r="M921" s="3"/>
      <c r="N921" s="3">
        <f t="shared" si="58"/>
        <v>2017</v>
      </c>
      <c r="O921" s="3" t="str">
        <f t="shared" si="59"/>
        <v>April</v>
      </c>
      <c r="P921" s="3" t="s">
        <v>30</v>
      </c>
      <c r="Q921" s="3"/>
    </row>
    <row r="922" spans="1:17" hidden="1" x14ac:dyDescent="0.3">
      <c r="A922" s="2">
        <v>42795</v>
      </c>
      <c r="B922" s="3" t="s">
        <v>12</v>
      </c>
      <c r="C922" s="3" t="s">
        <v>19</v>
      </c>
      <c r="D922" s="3" t="s">
        <v>26</v>
      </c>
      <c r="E922" s="3" t="s">
        <v>27</v>
      </c>
      <c r="F922" s="3">
        <v>77.33</v>
      </c>
      <c r="G922" s="3" t="s">
        <v>28</v>
      </c>
      <c r="H922" s="3" t="s">
        <v>29</v>
      </c>
      <c r="I922" s="3">
        <f>IF(C922="India",1,IF(C922="USA",INDEX('Currency Master'!B:B,MATCH(DATE(N922,MONTH(DATEVALUE(O922&amp;" 1")),1),'Currency Master'!A:A,0)),IF(C922="Australia",INDEX('Currency Master'!T:T,MATCH(DATE(N922,MONTH(DATEVALUE(O922&amp;" 1")),1),'Currency Master'!A:A,0)),"")))</f>
        <v>65.823712999999998</v>
      </c>
      <c r="J922" s="3">
        <f t="shared" si="56"/>
        <v>39950</v>
      </c>
      <c r="K922" s="3" t="str">
        <f t="shared" si="57"/>
        <v>₹/Candy</v>
      </c>
      <c r="L922" s="3">
        <v>2.6549847338377799E-2</v>
      </c>
      <c r="M922" s="3"/>
      <c r="N922" s="3">
        <f t="shared" si="58"/>
        <v>2017</v>
      </c>
      <c r="O922" s="3" t="str">
        <f t="shared" si="59"/>
        <v>March</v>
      </c>
      <c r="P922" s="3" t="s">
        <v>30</v>
      </c>
      <c r="Q922" s="3"/>
    </row>
    <row r="923" spans="1:17" hidden="1" x14ac:dyDescent="0.3">
      <c r="A923" s="2">
        <v>42767</v>
      </c>
      <c r="B923" s="3" t="s">
        <v>12</v>
      </c>
      <c r="C923" s="3" t="s">
        <v>19</v>
      </c>
      <c r="D923" s="3" t="s">
        <v>26</v>
      </c>
      <c r="E923" s="3" t="s">
        <v>27</v>
      </c>
      <c r="F923" s="3">
        <v>75.33</v>
      </c>
      <c r="G923" s="3" t="s">
        <v>28</v>
      </c>
      <c r="H923" s="3" t="s">
        <v>29</v>
      </c>
      <c r="I923" s="3">
        <f>IF(C923="India",1,IF(C923="USA",INDEX('Currency Master'!B:B,MATCH(DATE(N923,MONTH(DATEVALUE(O923&amp;" 1")),1),'Currency Master'!A:A,0)),IF(C923="Australia",INDEX('Currency Master'!T:T,MATCH(DATE(N923,MONTH(DATEVALUE(O923&amp;" 1")),1),'Currency Master'!A:A,0)),"")))</f>
        <v>66.984848</v>
      </c>
      <c r="J923" s="3">
        <f t="shared" si="56"/>
        <v>39603</v>
      </c>
      <c r="K923" s="3" t="str">
        <f t="shared" si="57"/>
        <v>₹/Candy</v>
      </c>
      <c r="L923" s="3">
        <v>5.2041633306645404E-3</v>
      </c>
      <c r="M923" s="3"/>
      <c r="N923" s="3">
        <f t="shared" si="58"/>
        <v>2017</v>
      </c>
      <c r="O923" s="3" t="str">
        <f t="shared" si="59"/>
        <v>February</v>
      </c>
      <c r="P923" s="3" t="s">
        <v>30</v>
      </c>
      <c r="Q923" s="3"/>
    </row>
    <row r="924" spans="1:17" hidden="1" x14ac:dyDescent="0.3">
      <c r="A924" s="2">
        <v>42736</v>
      </c>
      <c r="B924" s="3" t="s">
        <v>12</v>
      </c>
      <c r="C924" s="3" t="s">
        <v>19</v>
      </c>
      <c r="D924" s="3" t="s">
        <v>26</v>
      </c>
      <c r="E924" s="3" t="s">
        <v>27</v>
      </c>
      <c r="F924" s="3">
        <v>74.94</v>
      </c>
      <c r="G924" s="3" t="s">
        <v>28</v>
      </c>
      <c r="H924" s="3" t="s">
        <v>29</v>
      </c>
      <c r="I924" s="3">
        <f>IF(C924="India",1,IF(C924="USA",INDEX('Currency Master'!B:B,MATCH(DATE(N924,MONTH(DATEVALUE(O924&amp;" 1")),1),'Currency Master'!A:A,0)),IF(C924="Australia",INDEX('Currency Master'!T:T,MATCH(DATE(N924,MONTH(DATEVALUE(O924&amp;" 1")),1),'Currency Master'!A:A,0)),"")))</f>
        <v>68.098877000000002</v>
      </c>
      <c r="J924" s="3">
        <f t="shared" si="56"/>
        <v>40053</v>
      </c>
      <c r="K924" s="3" t="str">
        <f t="shared" si="57"/>
        <v>₹/Candy</v>
      </c>
      <c r="L924" s="3">
        <v>6.0721868365180502E-2</v>
      </c>
      <c r="M924" s="3"/>
      <c r="N924" s="3">
        <f t="shared" si="58"/>
        <v>2017</v>
      </c>
      <c r="O924" s="3" t="str">
        <f t="shared" si="59"/>
        <v>January</v>
      </c>
      <c r="P924" s="3" t="s">
        <v>30</v>
      </c>
      <c r="Q924" s="3"/>
    </row>
    <row r="925" spans="1:17" hidden="1" x14ac:dyDescent="0.3">
      <c r="A925" s="2">
        <v>42705</v>
      </c>
      <c r="B925" s="3" t="s">
        <v>12</v>
      </c>
      <c r="C925" s="3" t="s">
        <v>19</v>
      </c>
      <c r="D925" s="3" t="s">
        <v>26</v>
      </c>
      <c r="E925" s="3" t="s">
        <v>27</v>
      </c>
      <c r="F925" s="3">
        <v>70.650000000000006</v>
      </c>
      <c r="G925" s="3" t="s">
        <v>28</v>
      </c>
      <c r="H925" s="3" t="s">
        <v>29</v>
      </c>
      <c r="I925" s="3">
        <f>IF(C925="India",1,IF(C925="USA",INDEX('Currency Master'!B:B,MATCH(DATE(N925,MONTH(DATEVALUE(O925&amp;" 1")),1),'Currency Master'!A:A,0)),IF(C925="Australia",INDEX('Currency Master'!T:T,MATCH(DATE(N925,MONTH(DATEVALUE(O925&amp;" 1")),1),'Currency Master'!A:A,0)),"")))</f>
        <v>67.856139999999996</v>
      </c>
      <c r="J925" s="3">
        <f t="shared" si="56"/>
        <v>37626</v>
      </c>
      <c r="K925" s="3" t="str">
        <f t="shared" si="57"/>
        <v>₹/Candy</v>
      </c>
      <c r="L925" s="3">
        <v>-2.4979298923543902E-2</v>
      </c>
      <c r="M925" s="3"/>
      <c r="N925" s="3">
        <f t="shared" si="58"/>
        <v>2016</v>
      </c>
      <c r="O925" s="3" t="str">
        <f t="shared" si="59"/>
        <v>December</v>
      </c>
      <c r="P925" s="3" t="s">
        <v>30</v>
      </c>
      <c r="Q925" s="3"/>
    </row>
    <row r="926" spans="1:17" hidden="1" x14ac:dyDescent="0.3">
      <c r="A926" s="2">
        <v>42675</v>
      </c>
      <c r="B926" s="3" t="s">
        <v>12</v>
      </c>
      <c r="C926" s="3" t="s">
        <v>19</v>
      </c>
      <c r="D926" s="3" t="s">
        <v>26</v>
      </c>
      <c r="E926" s="3" t="s">
        <v>27</v>
      </c>
      <c r="F926" s="3">
        <v>72.459999999999994</v>
      </c>
      <c r="G926" s="3" t="s">
        <v>28</v>
      </c>
      <c r="H926" s="3" t="s">
        <v>29</v>
      </c>
      <c r="I926" s="3">
        <f>IF(C926="India",1,IF(C926="USA",INDEX('Currency Master'!B:B,MATCH(DATE(N926,MONTH(DATEVALUE(O926&amp;" 1")),1),'Currency Master'!A:A,0)),IF(C926="Australia",INDEX('Currency Master'!T:T,MATCH(DATE(N926,MONTH(DATEVALUE(O926&amp;" 1")),1),'Currency Master'!A:A,0)),"")))</f>
        <v>67.664608000000001</v>
      </c>
      <c r="J926" s="3">
        <f t="shared" si="56"/>
        <v>38481</v>
      </c>
      <c r="K926" s="3" t="str">
        <f t="shared" si="57"/>
        <v>₹/Candy</v>
      </c>
      <c r="L926" s="3">
        <v>5.2279988382224703E-2</v>
      </c>
      <c r="M926" s="3"/>
      <c r="N926" s="3">
        <f t="shared" si="58"/>
        <v>2016</v>
      </c>
      <c r="O926" s="3" t="str">
        <f t="shared" si="59"/>
        <v>November</v>
      </c>
      <c r="P926" s="3" t="s">
        <v>30</v>
      </c>
      <c r="Q926" s="3"/>
    </row>
    <row r="927" spans="1:17" hidden="1" x14ac:dyDescent="0.3">
      <c r="A927" s="2">
        <v>42644</v>
      </c>
      <c r="B927" s="3" t="s">
        <v>12</v>
      </c>
      <c r="C927" s="3" t="s">
        <v>19</v>
      </c>
      <c r="D927" s="3" t="s">
        <v>26</v>
      </c>
      <c r="E927" s="3" t="s">
        <v>27</v>
      </c>
      <c r="F927" s="3">
        <v>68.86</v>
      </c>
      <c r="G927" s="3" t="s">
        <v>28</v>
      </c>
      <c r="H927" s="3" t="s">
        <v>29</v>
      </c>
      <c r="I927" s="3">
        <f>IF(C927="India",1,IF(C927="USA",INDEX('Currency Master'!B:B,MATCH(DATE(N927,MONTH(DATEVALUE(O927&amp;" 1")),1),'Currency Master'!A:A,0)),IF(C927="Australia",INDEX('Currency Master'!T:T,MATCH(DATE(N927,MONTH(DATEVALUE(O927&amp;" 1")),1),'Currency Master'!A:A,0)),"")))</f>
        <v>66.731599000000003</v>
      </c>
      <c r="J927" s="3">
        <f t="shared" si="56"/>
        <v>36065</v>
      </c>
      <c r="K927" s="3" t="str">
        <f t="shared" si="57"/>
        <v>₹/Candy</v>
      </c>
      <c r="L927" s="3">
        <v>8.3467564797188292E-3</v>
      </c>
      <c r="M927" s="3"/>
      <c r="N927" s="3">
        <f t="shared" si="58"/>
        <v>2016</v>
      </c>
      <c r="O927" s="3" t="str">
        <f t="shared" si="59"/>
        <v>October</v>
      </c>
      <c r="P927" s="3" t="s">
        <v>30</v>
      </c>
      <c r="Q927" s="3"/>
    </row>
    <row r="928" spans="1:17" hidden="1" x14ac:dyDescent="0.3">
      <c r="A928" s="2">
        <v>42614</v>
      </c>
      <c r="B928" s="3" t="s">
        <v>12</v>
      </c>
      <c r="C928" s="3" t="s">
        <v>19</v>
      </c>
      <c r="D928" s="3" t="s">
        <v>26</v>
      </c>
      <c r="E928" s="3" t="s">
        <v>27</v>
      </c>
      <c r="F928" s="3">
        <v>68.290000000000006</v>
      </c>
      <c r="G928" s="3" t="s">
        <v>28</v>
      </c>
      <c r="H928" s="3" t="s">
        <v>29</v>
      </c>
      <c r="I928" s="3">
        <f>IF(C928="India",1,IF(C928="USA",INDEX('Currency Master'!B:B,MATCH(DATE(N928,MONTH(DATEVALUE(O928&amp;" 1")),1),'Currency Master'!A:A,0)),IF(C928="Australia",INDEX('Currency Master'!T:T,MATCH(DATE(N928,MONTH(DATEVALUE(O928&amp;" 1")),1),'Currency Master'!A:A,0)),"")))</f>
        <v>66.733506000000006</v>
      </c>
      <c r="J928" s="3">
        <f t="shared" si="56"/>
        <v>35767</v>
      </c>
      <c r="K928" s="3" t="str">
        <f t="shared" si="57"/>
        <v>₹/Candy</v>
      </c>
      <c r="L928" s="3">
        <v>4.54684629516229E-2</v>
      </c>
      <c r="M928" s="3"/>
      <c r="N928" s="3">
        <f t="shared" si="58"/>
        <v>2016</v>
      </c>
      <c r="O928" s="3" t="str">
        <f t="shared" si="59"/>
        <v>September</v>
      </c>
      <c r="P928" s="3" t="s">
        <v>30</v>
      </c>
      <c r="Q928" s="3"/>
    </row>
    <row r="929" spans="1:17" hidden="1" x14ac:dyDescent="0.3">
      <c r="A929" s="2">
        <v>42583</v>
      </c>
      <c r="B929" s="3" t="s">
        <v>12</v>
      </c>
      <c r="C929" s="3" t="s">
        <v>19</v>
      </c>
      <c r="D929" s="3" t="s">
        <v>26</v>
      </c>
      <c r="E929" s="3" t="s">
        <v>27</v>
      </c>
      <c r="F929" s="3">
        <v>65.319999999999993</v>
      </c>
      <c r="G929" s="3" t="s">
        <v>28</v>
      </c>
      <c r="H929" s="3" t="s">
        <v>29</v>
      </c>
      <c r="I929" s="3">
        <f>IF(C929="India",1,IF(C929="USA",INDEX('Currency Master'!B:B,MATCH(DATE(N929,MONTH(DATEVALUE(O929&amp;" 1")),1),'Currency Master'!A:A,0)),IF(C929="Australia",INDEX('Currency Master'!T:T,MATCH(DATE(N929,MONTH(DATEVALUE(O929&amp;" 1")),1),'Currency Master'!A:A,0)),"")))</f>
        <v>66.920762999999994</v>
      </c>
      <c r="J929" s="3">
        <f t="shared" si="56"/>
        <v>34308</v>
      </c>
      <c r="K929" s="3" t="str">
        <f t="shared" si="57"/>
        <v>₹/Candy</v>
      </c>
      <c r="L929" s="3">
        <v>-0.119201725997843</v>
      </c>
      <c r="M929" s="3"/>
      <c r="N929" s="3">
        <f t="shared" si="58"/>
        <v>2016</v>
      </c>
      <c r="O929" s="3" t="str">
        <f t="shared" si="59"/>
        <v>August</v>
      </c>
      <c r="P929" s="3" t="s">
        <v>30</v>
      </c>
      <c r="Q929" s="3"/>
    </row>
    <row r="930" spans="1:17" hidden="1" x14ac:dyDescent="0.3">
      <c r="A930" s="2">
        <v>42552</v>
      </c>
      <c r="B930" s="3" t="s">
        <v>12</v>
      </c>
      <c r="C930" s="3" t="s">
        <v>19</v>
      </c>
      <c r="D930" s="3" t="s">
        <v>26</v>
      </c>
      <c r="E930" s="3" t="s">
        <v>27</v>
      </c>
      <c r="F930" s="3">
        <v>74.16</v>
      </c>
      <c r="G930" s="3" t="s">
        <v>28</v>
      </c>
      <c r="H930" s="3" t="s">
        <v>29</v>
      </c>
      <c r="I930" s="3">
        <f>IF(C930="India",1,IF(C930="USA",INDEX('Currency Master'!B:B,MATCH(DATE(N930,MONTH(DATEVALUE(O930&amp;" 1")),1),'Currency Master'!A:A,0)),IF(C930="Australia",INDEX('Currency Master'!T:T,MATCH(DATE(N930,MONTH(DATEVALUE(O930&amp;" 1")),1),'Currency Master'!A:A,0)),"")))</f>
        <v>67.194143999999994</v>
      </c>
      <c r="J930" s="3">
        <f t="shared" si="56"/>
        <v>39110</v>
      </c>
      <c r="K930" s="3" t="str">
        <f t="shared" si="57"/>
        <v>₹/Candy</v>
      </c>
      <c r="L930" s="3">
        <v>0.180515759312321</v>
      </c>
      <c r="M930" s="3"/>
      <c r="N930" s="3">
        <f t="shared" si="58"/>
        <v>2016</v>
      </c>
      <c r="O930" s="3" t="str">
        <f t="shared" si="59"/>
        <v>July</v>
      </c>
      <c r="P930" s="3" t="s">
        <v>30</v>
      </c>
      <c r="Q930" s="3"/>
    </row>
    <row r="931" spans="1:17" hidden="1" x14ac:dyDescent="0.3">
      <c r="A931" s="2">
        <v>42522</v>
      </c>
      <c r="B931" s="3" t="s">
        <v>12</v>
      </c>
      <c r="C931" s="3" t="s">
        <v>19</v>
      </c>
      <c r="D931" s="3" t="s">
        <v>26</v>
      </c>
      <c r="E931" s="3" t="s">
        <v>27</v>
      </c>
      <c r="F931" s="3">
        <v>62.82</v>
      </c>
      <c r="G931" s="3" t="s">
        <v>28</v>
      </c>
      <c r="H931" s="3" t="s">
        <v>29</v>
      </c>
      <c r="I931" s="3">
        <f>IF(C931="India",1,IF(C931="USA",INDEX('Currency Master'!B:B,MATCH(DATE(N931,MONTH(DATEVALUE(O931&amp;" 1")),1),'Currency Master'!A:A,0)),IF(C931="Australia",INDEX('Currency Master'!T:T,MATCH(DATE(N931,MONTH(DATEVALUE(O931&amp;" 1")),1),'Currency Master'!A:A,0)),"")))</f>
        <v>67.292874999999995</v>
      </c>
      <c r="J931" s="3">
        <f t="shared" si="56"/>
        <v>33178</v>
      </c>
      <c r="K931" s="3" t="str">
        <f t="shared" si="57"/>
        <v>₹/Candy</v>
      </c>
      <c r="L931" s="3">
        <v>-1.75164216452924E-2</v>
      </c>
      <c r="M931" s="3"/>
      <c r="N931" s="3">
        <f t="shared" si="58"/>
        <v>2016</v>
      </c>
      <c r="O931" s="3" t="str">
        <f t="shared" si="59"/>
        <v>June</v>
      </c>
      <c r="P931" s="3" t="s">
        <v>30</v>
      </c>
      <c r="Q931" s="3"/>
    </row>
    <row r="932" spans="1:17" hidden="1" x14ac:dyDescent="0.3">
      <c r="A932" s="2">
        <v>42491</v>
      </c>
      <c r="B932" s="3" t="s">
        <v>12</v>
      </c>
      <c r="C932" s="3" t="s">
        <v>19</v>
      </c>
      <c r="D932" s="3" t="s">
        <v>26</v>
      </c>
      <c r="E932" s="3" t="s">
        <v>27</v>
      </c>
      <c r="F932" s="3">
        <v>63.94</v>
      </c>
      <c r="G932" s="3" t="s">
        <v>28</v>
      </c>
      <c r="H932" s="3" t="s">
        <v>29</v>
      </c>
      <c r="I932" s="3">
        <f>IF(C932="India",1,IF(C932="USA",INDEX('Currency Master'!B:B,MATCH(DATE(N932,MONTH(DATEVALUE(O932&amp;" 1")),1),'Currency Master'!A:A,0)),IF(C932="Australia",INDEX('Currency Master'!T:T,MATCH(DATE(N932,MONTH(DATEVALUE(O932&amp;" 1")),1),'Currency Master'!A:A,0)),"")))</f>
        <v>66.930688000000004</v>
      </c>
      <c r="J932" s="3">
        <f t="shared" si="56"/>
        <v>33588</v>
      </c>
      <c r="K932" s="3" t="str">
        <f t="shared" si="57"/>
        <v>₹/Candy</v>
      </c>
      <c r="L932" s="3">
        <v>2.82308657465502E-3</v>
      </c>
      <c r="M932" s="3"/>
      <c r="N932" s="3">
        <f t="shared" si="58"/>
        <v>2016</v>
      </c>
      <c r="O932" s="3" t="str">
        <f t="shared" si="59"/>
        <v>May</v>
      </c>
      <c r="P932" s="3" t="s">
        <v>30</v>
      </c>
      <c r="Q932" s="3"/>
    </row>
    <row r="933" spans="1:17" hidden="1" x14ac:dyDescent="0.3">
      <c r="A933" s="2">
        <v>42461</v>
      </c>
      <c r="B933" s="3" t="s">
        <v>12</v>
      </c>
      <c r="C933" s="3" t="s">
        <v>19</v>
      </c>
      <c r="D933" s="3" t="s">
        <v>26</v>
      </c>
      <c r="E933" s="3" t="s">
        <v>27</v>
      </c>
      <c r="F933" s="3">
        <v>63.76</v>
      </c>
      <c r="G933" s="3" t="s">
        <v>28</v>
      </c>
      <c r="H933" s="3" t="s">
        <v>29</v>
      </c>
      <c r="I933" s="3">
        <f>IF(C933="India",1,IF(C933="USA",INDEX('Currency Master'!B:B,MATCH(DATE(N933,MONTH(DATEVALUE(O933&amp;" 1")),1),'Currency Master'!A:A,0)),IF(C933="Australia",INDEX('Currency Master'!T:T,MATCH(DATE(N933,MONTH(DATEVALUE(O933&amp;" 1")),1),'Currency Master'!A:A,0)),"")))</f>
        <v>66.479806999999994</v>
      </c>
      <c r="J933" s="3">
        <f t="shared" si="56"/>
        <v>33268</v>
      </c>
      <c r="K933" s="3" t="str">
        <f t="shared" si="57"/>
        <v>₹/Candy</v>
      </c>
      <c r="L933" s="3">
        <v>9.1033538672142394E-2</v>
      </c>
      <c r="M933" s="3"/>
      <c r="N933" s="3">
        <f t="shared" si="58"/>
        <v>2016</v>
      </c>
      <c r="O933" s="3" t="str">
        <f t="shared" si="59"/>
        <v>April</v>
      </c>
      <c r="P933" s="3" t="s">
        <v>30</v>
      </c>
      <c r="Q933" s="3"/>
    </row>
    <row r="934" spans="1:17" hidden="1" x14ac:dyDescent="0.3">
      <c r="A934" s="2">
        <v>42430</v>
      </c>
      <c r="B934" s="3" t="s">
        <v>12</v>
      </c>
      <c r="C934" s="3" t="s">
        <v>19</v>
      </c>
      <c r="D934" s="3" t="s">
        <v>26</v>
      </c>
      <c r="E934" s="3" t="s">
        <v>27</v>
      </c>
      <c r="F934" s="3">
        <v>58.44</v>
      </c>
      <c r="G934" s="3" t="s">
        <v>28</v>
      </c>
      <c r="H934" s="3" t="s">
        <v>29</v>
      </c>
      <c r="I934" s="3">
        <f>IF(C934="India",1,IF(C934="USA",INDEX('Currency Master'!B:B,MATCH(DATE(N934,MONTH(DATEVALUE(O934&amp;" 1")),1),'Currency Master'!A:A,0)),IF(C934="Australia",INDEX('Currency Master'!T:T,MATCH(DATE(N934,MONTH(DATEVALUE(O934&amp;" 1")),1),'Currency Master'!A:A,0)),"")))</f>
        <v>66.945571999999999</v>
      </c>
      <c r="J934" s="3">
        <f t="shared" si="56"/>
        <v>30706</v>
      </c>
      <c r="K934" s="3" t="str">
        <f t="shared" si="57"/>
        <v>₹/Candy</v>
      </c>
      <c r="L934" s="3">
        <v>7.4125150836061903E-3</v>
      </c>
      <c r="M934" s="3"/>
      <c r="N934" s="3">
        <f t="shared" si="58"/>
        <v>2016</v>
      </c>
      <c r="O934" s="3" t="str">
        <f t="shared" si="59"/>
        <v>March</v>
      </c>
      <c r="P934" s="3" t="s">
        <v>30</v>
      </c>
      <c r="Q934" s="3"/>
    </row>
    <row r="935" spans="1:17" hidden="1" x14ac:dyDescent="0.3">
      <c r="A935" s="2">
        <v>42401</v>
      </c>
      <c r="B935" s="3" t="s">
        <v>12</v>
      </c>
      <c r="C935" s="3" t="s">
        <v>19</v>
      </c>
      <c r="D935" s="3" t="s">
        <v>26</v>
      </c>
      <c r="E935" s="3" t="s">
        <v>27</v>
      </c>
      <c r="F935" s="3">
        <v>58.01</v>
      </c>
      <c r="G935" s="3" t="s">
        <v>28</v>
      </c>
      <c r="H935" s="3" t="s">
        <v>29</v>
      </c>
      <c r="I935" s="3">
        <f>IF(C935="India",1,IF(C935="USA",INDEX('Currency Master'!B:B,MATCH(DATE(N935,MONTH(DATEVALUE(O935&amp;" 1")),1),'Currency Master'!A:A,0)),IF(C935="Australia",INDEX('Currency Master'!T:T,MATCH(DATE(N935,MONTH(DATEVALUE(O935&amp;" 1")),1),'Currency Master'!A:A,0)),"")))</f>
        <v>68.257846000000001</v>
      </c>
      <c r="J935" s="3">
        <f t="shared" si="56"/>
        <v>31077</v>
      </c>
      <c r="K935" s="3" t="str">
        <f t="shared" si="57"/>
        <v>₹/Candy</v>
      </c>
      <c r="L935" s="3">
        <v>-5.1038769834778397E-2</v>
      </c>
      <c r="M935" s="3"/>
      <c r="N935" s="3">
        <f t="shared" si="58"/>
        <v>2016</v>
      </c>
      <c r="O935" s="3" t="str">
        <f t="shared" si="59"/>
        <v>February</v>
      </c>
      <c r="P935" s="3" t="s">
        <v>30</v>
      </c>
      <c r="Q935" s="3"/>
    </row>
    <row r="936" spans="1:17" hidden="1" x14ac:dyDescent="0.3">
      <c r="A936" s="2">
        <v>42370</v>
      </c>
      <c r="B936" s="3" t="s">
        <v>12</v>
      </c>
      <c r="C936" s="3" t="s">
        <v>19</v>
      </c>
      <c r="D936" s="3" t="s">
        <v>26</v>
      </c>
      <c r="E936" s="3" t="s">
        <v>27</v>
      </c>
      <c r="F936" s="3">
        <v>61.13</v>
      </c>
      <c r="G936" s="3" t="s">
        <v>28</v>
      </c>
      <c r="H936" s="3" t="s">
        <v>29</v>
      </c>
      <c r="I936" s="3">
        <f>IF(C936="India",1,IF(C936="USA",INDEX('Currency Master'!B:B,MATCH(DATE(N936,MONTH(DATEVALUE(O936&amp;" 1")),1),'Currency Master'!A:A,0)),IF(C936="Australia",INDEX('Currency Master'!T:T,MATCH(DATE(N936,MONTH(DATEVALUE(O936&amp;" 1")),1),'Currency Master'!A:A,0)),"")))</f>
        <v>67.407629</v>
      </c>
      <c r="J936" s="3">
        <f t="shared" si="56"/>
        <v>32341</v>
      </c>
      <c r="K936" s="3" t="str">
        <f t="shared" si="57"/>
        <v>₹/Candy</v>
      </c>
      <c r="L936" s="3">
        <v>-3.39759797724399E-2</v>
      </c>
      <c r="M936" s="3"/>
      <c r="N936" s="3">
        <f t="shared" si="58"/>
        <v>2016</v>
      </c>
      <c r="O936" s="3" t="str">
        <f t="shared" si="59"/>
        <v>January</v>
      </c>
      <c r="P936" s="3" t="s">
        <v>30</v>
      </c>
      <c r="Q936" s="3"/>
    </row>
    <row r="937" spans="1:17" hidden="1" x14ac:dyDescent="0.3">
      <c r="A937" s="2">
        <v>42339</v>
      </c>
      <c r="B937" s="3" t="s">
        <v>12</v>
      </c>
      <c r="C937" s="3" t="s">
        <v>19</v>
      </c>
      <c r="D937" s="3" t="s">
        <v>26</v>
      </c>
      <c r="E937" s="3" t="s">
        <v>27</v>
      </c>
      <c r="F937" s="3">
        <v>63.28</v>
      </c>
      <c r="G937" s="3" t="s">
        <v>28</v>
      </c>
      <c r="H937" s="3" t="s">
        <v>29</v>
      </c>
      <c r="I937" s="3">
        <f>IF(C937="India",1,IF(C937="USA",INDEX('Currency Master'!B:B,MATCH(DATE(N937,MONTH(DATEVALUE(O937&amp;" 1")),1),'Currency Master'!A:A,0)),IF(C937="Australia",INDEX('Currency Master'!T:T,MATCH(DATE(N937,MONTH(DATEVALUE(O937&amp;" 1")),1),'Currency Master'!A:A,0)),"")))</f>
        <v>66.547421</v>
      </c>
      <c r="J937" s="3">
        <f t="shared" si="56"/>
        <v>33051</v>
      </c>
      <c r="K937" s="3" t="str">
        <f t="shared" si="57"/>
        <v>₹/Candy</v>
      </c>
      <c r="L937" s="3">
        <v>3.23001631321371E-2</v>
      </c>
      <c r="M937" s="3"/>
      <c r="N937" s="3">
        <f t="shared" si="58"/>
        <v>2015</v>
      </c>
      <c r="O937" s="3" t="str">
        <f t="shared" si="59"/>
        <v>December</v>
      </c>
      <c r="P937" s="3" t="s">
        <v>30</v>
      </c>
      <c r="Q937" s="3"/>
    </row>
    <row r="938" spans="1:17" hidden="1" x14ac:dyDescent="0.3">
      <c r="A938" s="2">
        <v>42309</v>
      </c>
      <c r="B938" s="3" t="s">
        <v>12</v>
      </c>
      <c r="C938" s="3" t="s">
        <v>19</v>
      </c>
      <c r="D938" s="3" t="s">
        <v>26</v>
      </c>
      <c r="E938" s="3" t="s">
        <v>27</v>
      </c>
      <c r="F938" s="3">
        <v>61.3</v>
      </c>
      <c r="G938" s="3" t="s">
        <v>28</v>
      </c>
      <c r="H938" s="3" t="s">
        <v>29</v>
      </c>
      <c r="I938" s="3">
        <f>IF(C938="India",1,IF(C938="USA",INDEX('Currency Master'!B:B,MATCH(DATE(N938,MONTH(DATEVALUE(O938&amp;" 1")),1),'Currency Master'!A:A,0)),IF(C938="Australia",INDEX('Currency Master'!T:T,MATCH(DATE(N938,MONTH(DATEVALUE(O938&amp;" 1")),1),'Currency Master'!A:A,0)),"")))</f>
        <v>66.173863999999995</v>
      </c>
      <c r="J938" s="3">
        <f t="shared" si="56"/>
        <v>31837</v>
      </c>
      <c r="K938" s="3" t="str">
        <f t="shared" si="57"/>
        <v>₹/Candy</v>
      </c>
      <c r="L938" s="3">
        <v>-3.1901452937460599E-2</v>
      </c>
      <c r="M938" s="3"/>
      <c r="N938" s="3">
        <f t="shared" si="58"/>
        <v>2015</v>
      </c>
      <c r="O938" s="3" t="str">
        <f t="shared" si="59"/>
        <v>November</v>
      </c>
      <c r="P938" s="3" t="s">
        <v>30</v>
      </c>
      <c r="Q938" s="3"/>
    </row>
    <row r="939" spans="1:17" hidden="1" x14ac:dyDescent="0.3">
      <c r="A939" s="2">
        <v>42278</v>
      </c>
      <c r="B939" s="3" t="s">
        <v>12</v>
      </c>
      <c r="C939" s="3" t="s">
        <v>19</v>
      </c>
      <c r="D939" s="3" t="s">
        <v>26</v>
      </c>
      <c r="E939" s="3" t="s">
        <v>27</v>
      </c>
      <c r="F939" s="3">
        <v>63.32</v>
      </c>
      <c r="G939" s="3" t="s">
        <v>28</v>
      </c>
      <c r="H939" s="3" t="s">
        <v>29</v>
      </c>
      <c r="I939" s="3">
        <f>IF(C939="India",1,IF(C939="USA",INDEX('Currency Master'!B:B,MATCH(DATE(N939,MONTH(DATEVALUE(O939&amp;" 1")),1),'Currency Master'!A:A,0)),IF(C939="Australia",INDEX('Currency Master'!T:T,MATCH(DATE(N939,MONTH(DATEVALUE(O939&amp;" 1")),1),'Currency Master'!A:A,0)),"")))</f>
        <v>65.075531999999995</v>
      </c>
      <c r="J939" s="3">
        <f t="shared" si="56"/>
        <v>32340</v>
      </c>
      <c r="K939" s="3" t="str">
        <f t="shared" si="57"/>
        <v>₹/Candy</v>
      </c>
      <c r="L939" s="3">
        <v>6.4380568162716298E-2</v>
      </c>
      <c r="M939" s="3"/>
      <c r="N939" s="3">
        <f t="shared" si="58"/>
        <v>2015</v>
      </c>
      <c r="O939" s="3" t="str">
        <f t="shared" si="59"/>
        <v>October</v>
      </c>
      <c r="P939" s="3" t="s">
        <v>30</v>
      </c>
      <c r="Q939" s="3"/>
    </row>
    <row r="940" spans="1:17" hidden="1" x14ac:dyDescent="0.3">
      <c r="A940" s="2">
        <v>42248</v>
      </c>
      <c r="B940" s="3" t="s">
        <v>12</v>
      </c>
      <c r="C940" s="3" t="s">
        <v>19</v>
      </c>
      <c r="D940" s="3" t="s">
        <v>26</v>
      </c>
      <c r="E940" s="3" t="s">
        <v>27</v>
      </c>
      <c r="F940" s="3">
        <v>59.49</v>
      </c>
      <c r="G940" s="3" t="s">
        <v>28</v>
      </c>
      <c r="H940" s="3" t="s">
        <v>29</v>
      </c>
      <c r="I940" s="3">
        <f>IF(C940="India",1,IF(C940="USA",INDEX('Currency Master'!B:B,MATCH(DATE(N940,MONTH(DATEVALUE(O940&amp;" 1")),1),'Currency Master'!A:A,0)),IF(C940="Australia",INDEX('Currency Master'!T:T,MATCH(DATE(N940,MONTH(DATEVALUE(O940&amp;" 1")),1),'Currency Master'!A:A,0)),"")))</f>
        <v>66.213695999999999</v>
      </c>
      <c r="J940" s="3">
        <f t="shared" si="56"/>
        <v>30916</v>
      </c>
      <c r="K940" s="3" t="str">
        <f t="shared" si="57"/>
        <v>₹/Candy</v>
      </c>
      <c r="L940" s="3">
        <v>-6.6677125823658603E-2</v>
      </c>
      <c r="M940" s="3"/>
      <c r="N940" s="3">
        <f t="shared" si="58"/>
        <v>2015</v>
      </c>
      <c r="O940" s="3" t="str">
        <f t="shared" si="59"/>
        <v>September</v>
      </c>
      <c r="P940" s="3" t="s">
        <v>30</v>
      </c>
      <c r="Q940" s="3"/>
    </row>
    <row r="941" spans="1:17" hidden="1" x14ac:dyDescent="0.3">
      <c r="A941" s="2">
        <v>42217</v>
      </c>
      <c r="B941" s="3" t="s">
        <v>12</v>
      </c>
      <c r="C941" s="3" t="s">
        <v>19</v>
      </c>
      <c r="D941" s="3" t="s">
        <v>26</v>
      </c>
      <c r="E941" s="3" t="s">
        <v>27</v>
      </c>
      <c r="F941" s="3">
        <v>63.74</v>
      </c>
      <c r="G941" s="3" t="s">
        <v>28</v>
      </c>
      <c r="H941" s="3" t="s">
        <v>29</v>
      </c>
      <c r="I941" s="3">
        <f>IF(C941="India",1,IF(C941="USA",INDEX('Currency Master'!B:B,MATCH(DATE(N941,MONTH(DATEVALUE(O941&amp;" 1")),1),'Currency Master'!A:A,0)),IF(C941="Australia",INDEX('Currency Master'!T:T,MATCH(DATE(N941,MONTH(DATEVALUE(O941&amp;" 1")),1),'Currency Master'!A:A,0)),"")))</f>
        <v>65.104408000000006</v>
      </c>
      <c r="J941" s="3">
        <f t="shared" si="56"/>
        <v>32569</v>
      </c>
      <c r="K941" s="3" t="str">
        <f t="shared" si="57"/>
        <v>₹/Candy</v>
      </c>
      <c r="L941" s="3">
        <v>-4.2180909232932802E-3</v>
      </c>
      <c r="M941" s="3"/>
      <c r="N941" s="3">
        <f t="shared" si="58"/>
        <v>2015</v>
      </c>
      <c r="O941" s="3" t="str">
        <f t="shared" si="59"/>
        <v>August</v>
      </c>
      <c r="P941" s="3" t="s">
        <v>30</v>
      </c>
      <c r="Q941" s="3"/>
    </row>
    <row r="942" spans="1:17" hidden="1" x14ac:dyDescent="0.3">
      <c r="A942" s="2">
        <v>42186</v>
      </c>
      <c r="B942" s="3" t="s">
        <v>12</v>
      </c>
      <c r="C942" s="3" t="s">
        <v>19</v>
      </c>
      <c r="D942" s="3" t="s">
        <v>26</v>
      </c>
      <c r="E942" s="3" t="s">
        <v>27</v>
      </c>
      <c r="F942" s="3">
        <v>64.010000000000005</v>
      </c>
      <c r="G942" s="3" t="s">
        <v>28</v>
      </c>
      <c r="H942" s="3" t="s">
        <v>29</v>
      </c>
      <c r="I942" s="3">
        <f>IF(C942="India",1,IF(C942="USA",INDEX('Currency Master'!B:B,MATCH(DATE(N942,MONTH(DATEVALUE(O942&amp;" 1")),1),'Currency Master'!A:A,0)),IF(C942="Australia",INDEX('Currency Master'!T:T,MATCH(DATE(N942,MONTH(DATEVALUE(O942&amp;" 1")),1),'Currency Master'!A:A,0)),"")))</f>
        <v>63.657459000000003</v>
      </c>
      <c r="J942" s="3">
        <f t="shared" si="56"/>
        <v>31980</v>
      </c>
      <c r="K942" s="3" t="str">
        <f t="shared" si="57"/>
        <v>₹/Candy</v>
      </c>
      <c r="L942" s="3">
        <v>-5.1844171233891297E-2</v>
      </c>
      <c r="M942" s="3"/>
      <c r="N942" s="3">
        <f t="shared" si="58"/>
        <v>2015</v>
      </c>
      <c r="O942" s="3" t="str">
        <f t="shared" si="59"/>
        <v>July</v>
      </c>
      <c r="P942" s="3" t="s">
        <v>30</v>
      </c>
      <c r="Q942" s="3"/>
    </row>
    <row r="943" spans="1:17" hidden="1" x14ac:dyDescent="0.3">
      <c r="A943" s="2">
        <v>42156</v>
      </c>
      <c r="B943" s="3" t="s">
        <v>12</v>
      </c>
      <c r="C943" s="3" t="s">
        <v>19</v>
      </c>
      <c r="D943" s="3" t="s">
        <v>26</v>
      </c>
      <c r="E943" s="3" t="s">
        <v>27</v>
      </c>
      <c r="F943" s="3">
        <v>67.510000000000005</v>
      </c>
      <c r="G943" s="3" t="s">
        <v>28</v>
      </c>
      <c r="H943" s="3" t="s">
        <v>29</v>
      </c>
      <c r="I943" s="3">
        <f>IF(C943="India",1,IF(C943="USA",INDEX('Currency Master'!B:B,MATCH(DATE(N943,MONTH(DATEVALUE(O943&amp;" 1")),1),'Currency Master'!A:A,0)),IF(C943="Australia",INDEX('Currency Master'!T:T,MATCH(DATE(N943,MONTH(DATEVALUE(O943&amp;" 1")),1),'Currency Master'!A:A,0)),"")))</f>
        <v>63.841814999999997</v>
      </c>
      <c r="J943" s="3">
        <f t="shared" si="56"/>
        <v>33827</v>
      </c>
      <c r="K943" s="3" t="str">
        <f t="shared" si="57"/>
        <v>₹/Candy</v>
      </c>
      <c r="L943" s="3">
        <v>4.91064491064492E-2</v>
      </c>
      <c r="M943" s="3"/>
      <c r="N943" s="3">
        <f t="shared" si="58"/>
        <v>2015</v>
      </c>
      <c r="O943" s="3" t="str">
        <f t="shared" si="59"/>
        <v>June</v>
      </c>
      <c r="P943" s="3" t="s">
        <v>30</v>
      </c>
      <c r="Q943" s="3"/>
    </row>
    <row r="944" spans="1:17" hidden="1" x14ac:dyDescent="0.3">
      <c r="A944" s="2">
        <v>42125</v>
      </c>
      <c r="B944" s="3" t="s">
        <v>12</v>
      </c>
      <c r="C944" s="3" t="s">
        <v>19</v>
      </c>
      <c r="D944" s="3" t="s">
        <v>26</v>
      </c>
      <c r="E944" s="3" t="s">
        <v>27</v>
      </c>
      <c r="F944" s="3">
        <v>64.349999999999994</v>
      </c>
      <c r="G944" s="3" t="s">
        <v>28</v>
      </c>
      <c r="H944" s="3" t="s">
        <v>29</v>
      </c>
      <c r="I944" s="3">
        <f>IF(C944="India",1,IF(C944="USA",INDEX('Currency Master'!B:B,MATCH(DATE(N944,MONTH(DATEVALUE(O944&amp;" 1")),1),'Currency Master'!A:A,0)),IF(C944="Australia",INDEX('Currency Master'!T:T,MATCH(DATE(N944,MONTH(DATEVALUE(O944&amp;" 1")),1),'Currency Master'!A:A,0)),"")))</f>
        <v>63.783290000000001</v>
      </c>
      <c r="J944" s="3">
        <f t="shared" si="56"/>
        <v>32214</v>
      </c>
      <c r="K944" s="3" t="str">
        <f t="shared" si="57"/>
        <v>₹/Candy</v>
      </c>
      <c r="L944" s="3">
        <v>-5.5343511450381903E-2</v>
      </c>
      <c r="M944" s="3"/>
      <c r="N944" s="3">
        <f t="shared" si="58"/>
        <v>2015</v>
      </c>
      <c r="O944" s="3" t="str">
        <f t="shared" si="59"/>
        <v>May</v>
      </c>
      <c r="P944" s="3" t="s">
        <v>30</v>
      </c>
      <c r="Q944" s="3"/>
    </row>
    <row r="945" spans="1:17" hidden="1" x14ac:dyDescent="0.3">
      <c r="A945" s="2">
        <v>42095</v>
      </c>
      <c r="B945" s="3" t="s">
        <v>12</v>
      </c>
      <c r="C945" s="3" t="s">
        <v>19</v>
      </c>
      <c r="D945" s="3" t="s">
        <v>26</v>
      </c>
      <c r="E945" s="3" t="s">
        <v>27</v>
      </c>
      <c r="F945" s="3">
        <v>68.12</v>
      </c>
      <c r="G945" s="3" t="s">
        <v>28</v>
      </c>
      <c r="H945" s="3" t="s">
        <v>29</v>
      </c>
      <c r="I945" s="3">
        <f>IF(C945="India",1,IF(C945="USA",INDEX('Currency Master'!B:B,MATCH(DATE(N945,MONTH(DATEVALUE(O945&amp;" 1")),1),'Currency Master'!A:A,0)),IF(C945="Australia",INDEX('Currency Master'!T:T,MATCH(DATE(N945,MONTH(DATEVALUE(O945&amp;" 1")),1),'Currency Master'!A:A,0)),"")))</f>
        <v>62.749088</v>
      </c>
      <c r="J945" s="3">
        <f t="shared" si="56"/>
        <v>33548</v>
      </c>
      <c r="K945" s="3" t="str">
        <f t="shared" si="57"/>
        <v>₹/Candy</v>
      </c>
      <c r="L945" s="3">
        <v>7.9556259904912899E-2</v>
      </c>
      <c r="M945" s="3"/>
      <c r="N945" s="3">
        <f t="shared" si="58"/>
        <v>2015</v>
      </c>
      <c r="O945" s="3" t="str">
        <f t="shared" si="59"/>
        <v>April</v>
      </c>
      <c r="P945" s="3" t="s">
        <v>30</v>
      </c>
      <c r="Q945" s="3"/>
    </row>
    <row r="946" spans="1:17" hidden="1" x14ac:dyDescent="0.3">
      <c r="A946" s="2">
        <v>42064</v>
      </c>
      <c r="B946" s="3" t="s">
        <v>12</v>
      </c>
      <c r="C946" s="3" t="s">
        <v>19</v>
      </c>
      <c r="D946" s="3" t="s">
        <v>26</v>
      </c>
      <c r="E946" s="3" t="s">
        <v>27</v>
      </c>
      <c r="F946" s="3">
        <v>63.1</v>
      </c>
      <c r="G946" s="3" t="s">
        <v>28</v>
      </c>
      <c r="H946" s="3" t="s">
        <v>29</v>
      </c>
      <c r="I946" s="3">
        <f>IF(C946="India",1,IF(C946="USA",INDEX('Currency Master'!B:B,MATCH(DATE(N946,MONTH(DATEVALUE(O946&amp;" 1")),1),'Currency Master'!A:A,0)),IF(C946="Australia",INDEX('Currency Master'!T:T,MATCH(DATE(N946,MONTH(DATEVALUE(O946&amp;" 1")),1),'Currency Master'!A:A,0)),"")))</f>
        <v>62.507221999999999</v>
      </c>
      <c r="J946" s="3">
        <f t="shared" si="56"/>
        <v>30956</v>
      </c>
      <c r="K946" s="3" t="str">
        <f t="shared" si="57"/>
        <v>₹/Candy</v>
      </c>
      <c r="L946" s="3">
        <v>-2.51815232504249E-2</v>
      </c>
      <c r="M946" s="3"/>
      <c r="N946" s="3">
        <f t="shared" si="58"/>
        <v>2015</v>
      </c>
      <c r="O946" s="3" t="str">
        <f t="shared" si="59"/>
        <v>March</v>
      </c>
      <c r="P946" s="3" t="s">
        <v>30</v>
      </c>
      <c r="Q946" s="3"/>
    </row>
    <row r="947" spans="1:17" hidden="1" x14ac:dyDescent="0.3">
      <c r="A947" s="2">
        <v>42036</v>
      </c>
      <c r="B947" s="3" t="s">
        <v>12</v>
      </c>
      <c r="C947" s="3" t="s">
        <v>19</v>
      </c>
      <c r="D947" s="3" t="s">
        <v>26</v>
      </c>
      <c r="E947" s="3" t="s">
        <v>27</v>
      </c>
      <c r="F947" s="3">
        <v>64.73</v>
      </c>
      <c r="G947" s="3" t="s">
        <v>28</v>
      </c>
      <c r="H947" s="3" t="s">
        <v>29</v>
      </c>
      <c r="I947" s="3">
        <f>IF(C947="India",1,IF(C947="USA",INDEX('Currency Master'!B:B,MATCH(DATE(N947,MONTH(DATEVALUE(O947&amp;" 1")),1),'Currency Master'!A:A,0)),IF(C947="Australia",INDEX('Currency Master'!T:T,MATCH(DATE(N947,MONTH(DATEVALUE(O947&amp;" 1")),1),'Currency Master'!A:A,0)),"")))</f>
        <v>62.060003000000002</v>
      </c>
      <c r="J947" s="3">
        <f t="shared" si="56"/>
        <v>31528</v>
      </c>
      <c r="K947" s="3" t="str">
        <f t="shared" si="57"/>
        <v>₹/Candy</v>
      </c>
      <c r="L947" s="3">
        <v>9.0464959568733197E-2</v>
      </c>
      <c r="M947" s="3"/>
      <c r="N947" s="3">
        <f t="shared" si="58"/>
        <v>2015</v>
      </c>
      <c r="O947" s="3" t="str">
        <f t="shared" si="59"/>
        <v>February</v>
      </c>
      <c r="P947" s="3" t="s">
        <v>30</v>
      </c>
      <c r="Q947" s="3"/>
    </row>
    <row r="948" spans="1:17" hidden="1" x14ac:dyDescent="0.3">
      <c r="A948" s="2">
        <v>42005</v>
      </c>
      <c r="B948" s="3" t="s">
        <v>12</v>
      </c>
      <c r="C948" s="3" t="s">
        <v>19</v>
      </c>
      <c r="D948" s="3" t="s">
        <v>26</v>
      </c>
      <c r="E948" s="3" t="s">
        <v>27</v>
      </c>
      <c r="F948" s="3">
        <v>59.36</v>
      </c>
      <c r="G948" s="3" t="s">
        <v>28</v>
      </c>
      <c r="H948" s="3" t="s">
        <v>29</v>
      </c>
      <c r="I948" s="3">
        <f>IF(C948="India",1,IF(C948="USA",INDEX('Currency Master'!B:B,MATCH(DATE(N948,MONTH(DATEVALUE(O948&amp;" 1")),1),'Currency Master'!A:A,0)),IF(C948="Australia",INDEX('Currency Master'!T:T,MATCH(DATE(N948,MONTH(DATEVALUE(O948&amp;" 1")),1),'Currency Master'!A:A,0)),"")))</f>
        <v>62.127985000000002</v>
      </c>
      <c r="J948" s="3">
        <f t="shared" si="56"/>
        <v>28944</v>
      </c>
      <c r="K948" s="3" t="str">
        <f t="shared" si="57"/>
        <v>₹/Candy</v>
      </c>
      <c r="L948" s="3">
        <v>-1.50987224157957E-2</v>
      </c>
      <c r="M948" s="3"/>
      <c r="N948" s="3">
        <f t="shared" si="58"/>
        <v>2015</v>
      </c>
      <c r="O948" s="3" t="str">
        <f t="shared" si="59"/>
        <v>January</v>
      </c>
      <c r="P948" s="3" t="s">
        <v>30</v>
      </c>
      <c r="Q948" s="3"/>
    </row>
    <row r="949" spans="1:17" hidden="1" x14ac:dyDescent="0.3">
      <c r="A949" s="2">
        <v>41974</v>
      </c>
      <c r="B949" s="3" t="s">
        <v>12</v>
      </c>
      <c r="C949" s="3" t="s">
        <v>19</v>
      </c>
      <c r="D949" s="3" t="s">
        <v>26</v>
      </c>
      <c r="E949" s="3" t="s">
        <v>27</v>
      </c>
      <c r="F949" s="3">
        <v>60.27</v>
      </c>
      <c r="G949" s="3" t="s">
        <v>28</v>
      </c>
      <c r="H949" s="3" t="s">
        <v>29</v>
      </c>
      <c r="I949" s="3">
        <f>IF(C949="India",1,IF(C949="USA",INDEX('Currency Master'!B:B,MATCH(DATE(N949,MONTH(DATEVALUE(O949&amp;" 1")),1),'Currency Master'!A:A,0)),IF(C949="Australia",INDEX('Currency Master'!T:T,MATCH(DATE(N949,MONTH(DATEVALUE(O949&amp;" 1")),1),'Currency Master'!A:A,0)),"")))</f>
        <v>62.750776999999999</v>
      </c>
      <c r="J949" s="3">
        <f t="shared" si="56"/>
        <v>29683</v>
      </c>
      <c r="K949" s="3" t="str">
        <f t="shared" si="57"/>
        <v>₹/Candy</v>
      </c>
      <c r="L949" s="3">
        <v>-1.1318897637795301E-2</v>
      </c>
      <c r="M949" s="3"/>
      <c r="N949" s="3">
        <f t="shared" si="58"/>
        <v>2014</v>
      </c>
      <c r="O949" s="3" t="str">
        <f t="shared" si="59"/>
        <v>December</v>
      </c>
      <c r="P949" s="3" t="s">
        <v>30</v>
      </c>
      <c r="Q949" s="3"/>
    </row>
    <row r="950" spans="1:17" hidden="1" x14ac:dyDescent="0.3">
      <c r="A950" s="2">
        <v>41944</v>
      </c>
      <c r="B950" s="3" t="s">
        <v>12</v>
      </c>
      <c r="C950" s="3" t="s">
        <v>19</v>
      </c>
      <c r="D950" s="3" t="s">
        <v>26</v>
      </c>
      <c r="E950" s="3" t="s">
        <v>27</v>
      </c>
      <c r="F950" s="3">
        <v>60.96</v>
      </c>
      <c r="G950" s="3" t="s">
        <v>28</v>
      </c>
      <c r="H950" s="3" t="s">
        <v>29</v>
      </c>
      <c r="I950" s="3">
        <f>IF(C950="India",1,IF(C950="USA",INDEX('Currency Master'!B:B,MATCH(DATE(N950,MONTH(DATEVALUE(O950&amp;" 1")),1),'Currency Master'!A:A,0)),IF(C950="Australia",INDEX('Currency Master'!T:T,MATCH(DATE(N950,MONTH(DATEVALUE(O950&amp;" 1")),1),'Currency Master'!A:A,0)),"")))</f>
        <v>61.702491999999999</v>
      </c>
      <c r="J950" s="3">
        <f t="shared" si="56"/>
        <v>29521</v>
      </c>
      <c r="K950" s="3" t="str">
        <f t="shared" si="57"/>
        <v>₹/Candy</v>
      </c>
      <c r="L950" s="3">
        <v>-5.4150504266873602E-2</v>
      </c>
      <c r="M950" s="3"/>
      <c r="N950" s="3">
        <f t="shared" si="58"/>
        <v>2014</v>
      </c>
      <c r="O950" s="3" t="str">
        <f t="shared" si="59"/>
        <v>November</v>
      </c>
      <c r="P950" s="3" t="s">
        <v>30</v>
      </c>
      <c r="Q950" s="3"/>
    </row>
    <row r="951" spans="1:17" hidden="1" x14ac:dyDescent="0.3">
      <c r="A951" s="2">
        <v>41913</v>
      </c>
      <c r="B951" s="3" t="s">
        <v>12</v>
      </c>
      <c r="C951" s="3" t="s">
        <v>19</v>
      </c>
      <c r="D951" s="3" t="s">
        <v>26</v>
      </c>
      <c r="E951" s="3" t="s">
        <v>27</v>
      </c>
      <c r="F951" s="3">
        <v>64.45</v>
      </c>
      <c r="G951" s="3" t="s">
        <v>28</v>
      </c>
      <c r="H951" s="3" t="s">
        <v>29</v>
      </c>
      <c r="I951" s="3">
        <f>IF(C951="India",1,IF(C951="USA",INDEX('Currency Master'!B:B,MATCH(DATE(N951,MONTH(DATEVALUE(O951&amp;" 1")),1),'Currency Master'!A:A,0)),IF(C951="Australia",INDEX('Currency Master'!T:T,MATCH(DATE(N951,MONTH(DATEVALUE(O951&amp;" 1")),1),'Currency Master'!A:A,0)),"")))</f>
        <v>61.383819000000003</v>
      </c>
      <c r="J951" s="3">
        <f t="shared" si="56"/>
        <v>31050</v>
      </c>
      <c r="K951" s="3" t="str">
        <f t="shared" si="57"/>
        <v>₹/Candy</v>
      </c>
      <c r="L951" s="3">
        <v>4.0187217559716E-2</v>
      </c>
      <c r="M951" s="3"/>
      <c r="N951" s="3">
        <f t="shared" si="58"/>
        <v>2014</v>
      </c>
      <c r="O951" s="3" t="str">
        <f t="shared" si="59"/>
        <v>October</v>
      </c>
      <c r="P951" s="3" t="s">
        <v>30</v>
      </c>
      <c r="Q951" s="3"/>
    </row>
    <row r="952" spans="1:17" hidden="1" x14ac:dyDescent="0.3">
      <c r="A952" s="2">
        <v>41883</v>
      </c>
      <c r="B952" s="3" t="s">
        <v>12</v>
      </c>
      <c r="C952" s="3" t="s">
        <v>19</v>
      </c>
      <c r="D952" s="3" t="s">
        <v>26</v>
      </c>
      <c r="E952" s="3" t="s">
        <v>27</v>
      </c>
      <c r="F952" s="3">
        <v>61.96</v>
      </c>
      <c r="G952" s="3" t="s">
        <v>28</v>
      </c>
      <c r="H952" s="3" t="s">
        <v>29</v>
      </c>
      <c r="I952" s="3">
        <f>IF(C952="India",1,IF(C952="USA",INDEX('Currency Master'!B:B,MATCH(DATE(N952,MONTH(DATEVALUE(O952&amp;" 1")),1),'Currency Master'!A:A,0)),IF(C952="Australia",INDEX('Currency Master'!T:T,MATCH(DATE(N952,MONTH(DATEVALUE(O952&amp;" 1")),1),'Currency Master'!A:A,0)),"")))</f>
        <v>60.902123000000003</v>
      </c>
      <c r="J952" s="3">
        <f t="shared" si="56"/>
        <v>29616</v>
      </c>
      <c r="K952" s="3" t="str">
        <f t="shared" si="57"/>
        <v>₹/Candy</v>
      </c>
      <c r="L952" s="3">
        <v>-8.3431952662721895E-2</v>
      </c>
      <c r="M952" s="3"/>
      <c r="N952" s="3">
        <f t="shared" si="58"/>
        <v>2014</v>
      </c>
      <c r="O952" s="3" t="str">
        <f t="shared" si="59"/>
        <v>September</v>
      </c>
      <c r="P952" s="3" t="s">
        <v>30</v>
      </c>
      <c r="Q952" s="3"/>
    </row>
    <row r="953" spans="1:17" hidden="1" x14ac:dyDescent="0.3">
      <c r="A953" s="2">
        <v>41852</v>
      </c>
      <c r="B953" s="3" t="s">
        <v>12</v>
      </c>
      <c r="C953" s="3" t="s">
        <v>19</v>
      </c>
      <c r="D953" s="3" t="s">
        <v>26</v>
      </c>
      <c r="E953" s="3" t="s">
        <v>27</v>
      </c>
      <c r="F953" s="3">
        <v>67.599999999999994</v>
      </c>
      <c r="G953" s="3" t="s">
        <v>28</v>
      </c>
      <c r="H953" s="3" t="s">
        <v>29</v>
      </c>
      <c r="I953" s="3">
        <f>IF(C953="India",1,IF(C953="USA",INDEX('Currency Master'!B:B,MATCH(DATE(N953,MONTH(DATEVALUE(O953&amp;" 1")),1),'Currency Master'!A:A,0)),IF(C953="Australia",INDEX('Currency Master'!T:T,MATCH(DATE(N953,MONTH(DATEVALUE(O953&amp;" 1")),1),'Currency Master'!A:A,0)),"")))</f>
        <v>60.880533999999997</v>
      </c>
      <c r="J953" s="3">
        <f t="shared" si="56"/>
        <v>32301</v>
      </c>
      <c r="K953" s="3" t="str">
        <f t="shared" si="57"/>
        <v>₹/Candy</v>
      </c>
      <c r="L953" s="3">
        <v>8.8742148494121306E-2</v>
      </c>
      <c r="M953" s="3"/>
      <c r="N953" s="3">
        <f t="shared" si="58"/>
        <v>2014</v>
      </c>
      <c r="O953" s="3" t="str">
        <f t="shared" si="59"/>
        <v>August</v>
      </c>
      <c r="P953" s="3" t="s">
        <v>30</v>
      </c>
      <c r="Q953" s="3"/>
    </row>
    <row r="954" spans="1:17" hidden="1" x14ac:dyDescent="0.3">
      <c r="A954" s="2">
        <v>41821</v>
      </c>
      <c r="B954" s="3" t="s">
        <v>12</v>
      </c>
      <c r="C954" s="3" t="s">
        <v>19</v>
      </c>
      <c r="D954" s="3" t="s">
        <v>26</v>
      </c>
      <c r="E954" s="3" t="s">
        <v>27</v>
      </c>
      <c r="F954" s="3">
        <v>62.09</v>
      </c>
      <c r="G954" s="3" t="s">
        <v>28</v>
      </c>
      <c r="H954" s="3" t="s">
        <v>29</v>
      </c>
      <c r="I954" s="3">
        <f>IF(C954="India",1,IF(C954="USA",INDEX('Currency Master'!B:B,MATCH(DATE(N954,MONTH(DATEVALUE(O954&amp;" 1")),1),'Currency Master'!A:A,0)),IF(C954="Australia",INDEX('Currency Master'!T:T,MATCH(DATE(N954,MONTH(DATEVALUE(O954&amp;" 1")),1),'Currency Master'!A:A,0)),"")))</f>
        <v>60.053117999999998</v>
      </c>
      <c r="J954" s="3">
        <f t="shared" si="56"/>
        <v>29265</v>
      </c>
      <c r="K954" s="3" t="str">
        <f t="shared" si="57"/>
        <v>₹/Candy</v>
      </c>
      <c r="L954" s="3">
        <v>-0.21613432647392999</v>
      </c>
      <c r="M954" s="3"/>
      <c r="N954" s="3">
        <f t="shared" si="58"/>
        <v>2014</v>
      </c>
      <c r="O954" s="3" t="str">
        <f t="shared" si="59"/>
        <v>July</v>
      </c>
      <c r="P954" s="3" t="s">
        <v>30</v>
      </c>
      <c r="Q954" s="3"/>
    </row>
    <row r="955" spans="1:17" hidden="1" x14ac:dyDescent="0.3">
      <c r="A955" s="2">
        <v>41791</v>
      </c>
      <c r="B955" s="3" t="s">
        <v>12</v>
      </c>
      <c r="C955" s="3" t="s">
        <v>19</v>
      </c>
      <c r="D955" s="3" t="s">
        <v>26</v>
      </c>
      <c r="E955" s="3" t="s">
        <v>27</v>
      </c>
      <c r="F955" s="3">
        <v>79.209999999999994</v>
      </c>
      <c r="G955" s="3" t="s">
        <v>28</v>
      </c>
      <c r="H955" s="3" t="s">
        <v>29</v>
      </c>
      <c r="I955" s="3">
        <f>IF(C955="India",1,IF(C955="USA",INDEX('Currency Master'!B:B,MATCH(DATE(N955,MONTH(DATEVALUE(O955&amp;" 1")),1),'Currency Master'!A:A,0)),IF(C955="Australia",INDEX('Currency Master'!T:T,MATCH(DATE(N955,MONTH(DATEVALUE(O955&amp;" 1")),1),'Currency Master'!A:A,0)),"")))</f>
        <v>59.742615999999998</v>
      </c>
      <c r="J955" s="3">
        <f t="shared" si="56"/>
        <v>37141</v>
      </c>
      <c r="K955" s="3" t="str">
        <f t="shared" si="57"/>
        <v>₹/Candy</v>
      </c>
      <c r="L955" s="3">
        <v>-8.18360959777443E-2</v>
      </c>
      <c r="M955" s="3"/>
      <c r="N955" s="3">
        <f t="shared" si="58"/>
        <v>2014</v>
      </c>
      <c r="O955" s="3" t="str">
        <f t="shared" si="59"/>
        <v>June</v>
      </c>
      <c r="P955" s="3" t="s">
        <v>30</v>
      </c>
      <c r="Q955" s="3"/>
    </row>
    <row r="956" spans="1:17" hidden="1" x14ac:dyDescent="0.3">
      <c r="A956" s="2">
        <v>41760</v>
      </c>
      <c r="B956" s="3" t="s">
        <v>12</v>
      </c>
      <c r="C956" s="3" t="s">
        <v>19</v>
      </c>
      <c r="D956" s="3" t="s">
        <v>26</v>
      </c>
      <c r="E956" s="3" t="s">
        <v>27</v>
      </c>
      <c r="F956" s="3">
        <v>86.27</v>
      </c>
      <c r="G956" s="3" t="s">
        <v>28</v>
      </c>
      <c r="H956" s="3" t="s">
        <v>29</v>
      </c>
      <c r="I956" s="3">
        <f>IF(C956="India",1,IF(C956="USA",INDEX('Currency Master'!B:B,MATCH(DATE(N956,MONTH(DATEVALUE(O956&amp;" 1")),1),'Currency Master'!A:A,0)),IF(C956="Australia",INDEX('Currency Master'!T:T,MATCH(DATE(N956,MONTH(DATEVALUE(O956&amp;" 1")),1),'Currency Master'!A:A,0)),"")))</f>
        <v>59.296067999999998</v>
      </c>
      <c r="J956" s="3">
        <f t="shared" si="56"/>
        <v>40149</v>
      </c>
      <c r="K956" s="3" t="str">
        <f t="shared" si="57"/>
        <v>₹/Candy</v>
      </c>
      <c r="L956" s="3">
        <v>-8.3598895262375197E-2</v>
      </c>
      <c r="M956" s="3"/>
      <c r="N956" s="3">
        <f t="shared" si="58"/>
        <v>2014</v>
      </c>
      <c r="O956" s="3" t="str">
        <f t="shared" si="59"/>
        <v>May</v>
      </c>
      <c r="P956" s="3" t="s">
        <v>30</v>
      </c>
      <c r="Q956" s="3"/>
    </row>
    <row r="957" spans="1:17" hidden="1" x14ac:dyDescent="0.3">
      <c r="A957" s="2">
        <v>41730</v>
      </c>
      <c r="B957" s="3" t="s">
        <v>12</v>
      </c>
      <c r="C957" s="3" t="s">
        <v>19</v>
      </c>
      <c r="D957" s="3" t="s">
        <v>26</v>
      </c>
      <c r="E957" s="3" t="s">
        <v>27</v>
      </c>
      <c r="F957" s="3">
        <v>94.14</v>
      </c>
      <c r="G957" s="3" t="s">
        <v>28</v>
      </c>
      <c r="H957" s="3" t="s">
        <v>29</v>
      </c>
      <c r="I957" s="3">
        <f>IF(C957="India",1,IF(C957="USA",INDEX('Currency Master'!B:B,MATCH(DATE(N957,MONTH(DATEVALUE(O957&amp;" 1")),1),'Currency Master'!A:A,0)),IF(C957="Australia",INDEX('Currency Master'!T:T,MATCH(DATE(N957,MONTH(DATEVALUE(O957&amp;" 1")),1),'Currency Master'!A:A,0)),"")))</f>
        <v>60.352524000000003</v>
      </c>
      <c r="J957" s="3">
        <f t="shared" si="56"/>
        <v>44592</v>
      </c>
      <c r="K957" s="3" t="str">
        <f t="shared" si="57"/>
        <v>₹/Candy</v>
      </c>
      <c r="L957" s="3">
        <v>6.62959794696327E-3</v>
      </c>
      <c r="M957" s="3"/>
      <c r="N957" s="3">
        <f t="shared" si="58"/>
        <v>2014</v>
      </c>
      <c r="O957" s="3" t="str">
        <f t="shared" si="59"/>
        <v>April</v>
      </c>
      <c r="P957" s="3" t="s">
        <v>30</v>
      </c>
      <c r="Q957" s="3"/>
    </row>
    <row r="958" spans="1:17" hidden="1" x14ac:dyDescent="0.3">
      <c r="A958" s="2">
        <v>41699</v>
      </c>
      <c r="B958" s="3" t="s">
        <v>12</v>
      </c>
      <c r="C958" s="3" t="s">
        <v>19</v>
      </c>
      <c r="D958" s="3" t="s">
        <v>26</v>
      </c>
      <c r="E958" s="3" t="s">
        <v>27</v>
      </c>
      <c r="F958" s="3">
        <v>93.52</v>
      </c>
      <c r="G958" s="3" t="s">
        <v>28</v>
      </c>
      <c r="H958" s="3" t="s">
        <v>29</v>
      </c>
      <c r="I958" s="3">
        <f>IF(C958="India",1,IF(C958="USA",INDEX('Currency Master'!B:B,MATCH(DATE(N958,MONTH(DATEVALUE(O958&amp;" 1")),1),'Currency Master'!A:A,0)),IF(C958="Australia",INDEX('Currency Master'!T:T,MATCH(DATE(N958,MONTH(DATEVALUE(O958&amp;" 1")),1),'Currency Master'!A:A,0)),"")))</f>
        <v>60.986502999999999</v>
      </c>
      <c r="J958" s="3">
        <f t="shared" si="56"/>
        <v>44763</v>
      </c>
      <c r="K958" s="3" t="str">
        <f t="shared" si="57"/>
        <v>₹/Candy</v>
      </c>
      <c r="L958" s="3">
        <v>8.0032336297493997E-2</v>
      </c>
      <c r="M958" s="3"/>
      <c r="N958" s="3">
        <f t="shared" si="58"/>
        <v>2014</v>
      </c>
      <c r="O958" s="3" t="str">
        <f t="shared" si="59"/>
        <v>March</v>
      </c>
      <c r="P958" s="3" t="s">
        <v>30</v>
      </c>
      <c r="Q958" s="3"/>
    </row>
    <row r="959" spans="1:17" hidden="1" x14ac:dyDescent="0.3">
      <c r="A959" s="2">
        <v>41671</v>
      </c>
      <c r="B959" s="3" t="s">
        <v>12</v>
      </c>
      <c r="C959" s="3" t="s">
        <v>19</v>
      </c>
      <c r="D959" s="3" t="s">
        <v>26</v>
      </c>
      <c r="E959" s="3" t="s">
        <v>27</v>
      </c>
      <c r="F959" s="3">
        <v>86.59</v>
      </c>
      <c r="G959" s="3" t="s">
        <v>28</v>
      </c>
      <c r="H959" s="3" t="s">
        <v>29</v>
      </c>
      <c r="I959" s="3">
        <f>IF(C959="India",1,IF(C959="USA",INDEX('Currency Master'!B:B,MATCH(DATE(N959,MONTH(DATEVALUE(O959&amp;" 1")),1),'Currency Master'!A:A,0)),IF(C959="Australia",INDEX('Currency Master'!T:T,MATCH(DATE(N959,MONTH(DATEVALUE(O959&amp;" 1")),1),'Currency Master'!A:A,0)),"")))</f>
        <v>62.197125999999997</v>
      </c>
      <c r="J959" s="3">
        <f t="shared" si="56"/>
        <v>42269</v>
      </c>
      <c r="K959" s="3" t="str">
        <f t="shared" si="57"/>
        <v>₹/Candy</v>
      </c>
      <c r="L959" s="3">
        <v>8.8547128043807693E-3</v>
      </c>
      <c r="M959" s="3"/>
      <c r="N959" s="3">
        <f t="shared" si="58"/>
        <v>2014</v>
      </c>
      <c r="O959" s="3" t="str">
        <f t="shared" si="59"/>
        <v>February</v>
      </c>
      <c r="P959" s="3" t="s">
        <v>30</v>
      </c>
      <c r="Q959" s="3"/>
    </row>
    <row r="960" spans="1:17" hidden="1" x14ac:dyDescent="0.3">
      <c r="A960" s="2">
        <v>41640</v>
      </c>
      <c r="B960" s="3" t="s">
        <v>12</v>
      </c>
      <c r="C960" s="3" t="s">
        <v>19</v>
      </c>
      <c r="D960" s="3" t="s">
        <v>26</v>
      </c>
      <c r="E960" s="3" t="s">
        <v>27</v>
      </c>
      <c r="F960" s="3">
        <v>85.83</v>
      </c>
      <c r="G960" s="3" t="s">
        <v>28</v>
      </c>
      <c r="H960" s="3" t="s">
        <v>29</v>
      </c>
      <c r="I960" s="3">
        <f>IF(C960="India",1,IF(C960="USA",INDEX('Currency Master'!B:B,MATCH(DATE(N960,MONTH(DATEVALUE(O960&amp;" 1")),1),'Currency Master'!A:A,0)),IF(C960="Australia",INDEX('Currency Master'!T:T,MATCH(DATE(N960,MONTH(DATEVALUE(O960&amp;" 1")),1),'Currency Master'!A:A,0)),"")))</f>
        <v>62.092844999999997</v>
      </c>
      <c r="J960" s="3">
        <f t="shared" si="56"/>
        <v>41828</v>
      </c>
      <c r="K960" s="3" t="str">
        <f t="shared" si="57"/>
        <v>₹/Candy</v>
      </c>
      <c r="L960" s="3">
        <v>1.40595463137996E-2</v>
      </c>
      <c r="M960" s="3"/>
      <c r="N960" s="3">
        <f t="shared" si="58"/>
        <v>2014</v>
      </c>
      <c r="O960" s="3" t="str">
        <f t="shared" si="59"/>
        <v>January</v>
      </c>
      <c r="P960" s="3" t="s">
        <v>30</v>
      </c>
      <c r="Q960" s="3"/>
    </row>
    <row r="961" spans="1:17" hidden="1" x14ac:dyDescent="0.3">
      <c r="A961" s="2">
        <v>41609</v>
      </c>
      <c r="B961" s="3" t="s">
        <v>12</v>
      </c>
      <c r="C961" s="3" t="s">
        <v>19</v>
      </c>
      <c r="D961" s="3" t="s">
        <v>26</v>
      </c>
      <c r="E961" s="3" t="s">
        <v>27</v>
      </c>
      <c r="F961" s="3">
        <v>84.64</v>
      </c>
      <c r="G961" s="3" t="s">
        <v>28</v>
      </c>
      <c r="H961" s="3" t="s">
        <v>29</v>
      </c>
      <c r="I961" s="3">
        <f>IF(C961="India",1,IF(C961="USA",INDEX('Currency Master'!B:B,MATCH(DATE(N961,MONTH(DATEVALUE(O961&amp;" 1")),1),'Currency Master'!A:A,0)),IF(C961="Australia",INDEX('Currency Master'!T:T,MATCH(DATE(N961,MONTH(DATEVALUE(O961&amp;" 1")),1),'Currency Master'!A:A,0)),"")))</f>
        <v>61.855358000000003</v>
      </c>
      <c r="J961" s="3">
        <f t="shared" si="56"/>
        <v>41090</v>
      </c>
      <c r="K961" s="3" t="str">
        <f t="shared" si="57"/>
        <v>₹/Candy</v>
      </c>
      <c r="L961" s="3">
        <v>8.3184028666496004E-2</v>
      </c>
      <c r="M961" s="3"/>
      <c r="N961" s="3">
        <f t="shared" si="58"/>
        <v>2013</v>
      </c>
      <c r="O961" s="3" t="str">
        <f t="shared" si="59"/>
        <v>December</v>
      </c>
      <c r="P961" s="3" t="s">
        <v>30</v>
      </c>
      <c r="Q961" s="3"/>
    </row>
    <row r="962" spans="1:17" hidden="1" x14ac:dyDescent="0.3">
      <c r="A962" s="2">
        <v>41579</v>
      </c>
      <c r="B962" s="3" t="s">
        <v>12</v>
      </c>
      <c r="C962" s="3" t="s">
        <v>19</v>
      </c>
      <c r="D962" s="3" t="s">
        <v>26</v>
      </c>
      <c r="E962" s="3" t="s">
        <v>27</v>
      </c>
      <c r="F962" s="3">
        <v>78.14</v>
      </c>
      <c r="G962" s="3" t="s">
        <v>28</v>
      </c>
      <c r="H962" s="3" t="s">
        <v>29</v>
      </c>
      <c r="I962" s="3">
        <f>IF(C962="India",1,IF(C962="USA",INDEX('Currency Master'!B:B,MATCH(DATE(N962,MONTH(DATEVALUE(O962&amp;" 1")),1),'Currency Master'!A:A,0)),IF(C962="Australia",INDEX('Currency Master'!T:T,MATCH(DATE(N962,MONTH(DATEVALUE(O962&amp;" 1")),1),'Currency Master'!A:A,0)),"")))</f>
        <v>62.626136000000002</v>
      </c>
      <c r="J962" s="3">
        <f t="shared" si="56"/>
        <v>38407</v>
      </c>
      <c r="K962" s="3" t="str">
        <f t="shared" si="57"/>
        <v>₹/Candy</v>
      </c>
      <c r="L962" s="3">
        <v>1.2438455558434701E-2</v>
      </c>
      <c r="M962" s="3"/>
      <c r="N962" s="3">
        <f t="shared" si="58"/>
        <v>2013</v>
      </c>
      <c r="O962" s="3" t="str">
        <f t="shared" si="59"/>
        <v>November</v>
      </c>
      <c r="P962" s="3" t="s">
        <v>30</v>
      </c>
      <c r="Q962" s="3"/>
    </row>
    <row r="963" spans="1:17" hidden="1" x14ac:dyDescent="0.3">
      <c r="A963" s="2">
        <v>41548</v>
      </c>
      <c r="B963" s="3" t="s">
        <v>12</v>
      </c>
      <c r="C963" s="3" t="s">
        <v>19</v>
      </c>
      <c r="D963" s="3" t="s">
        <v>26</v>
      </c>
      <c r="E963" s="3" t="s">
        <v>27</v>
      </c>
      <c r="F963" s="3">
        <v>77.180000000000007</v>
      </c>
      <c r="G963" s="3" t="s">
        <v>28</v>
      </c>
      <c r="H963" s="3" t="s">
        <v>29</v>
      </c>
      <c r="I963" s="3">
        <f>IF(C963="India",1,IF(C963="USA",INDEX('Currency Master'!B:B,MATCH(DATE(N963,MONTH(DATEVALUE(O963&amp;" 1")),1),'Currency Master'!A:A,0)),IF(C963="Australia",INDEX('Currency Master'!T:T,MATCH(DATE(N963,MONTH(DATEVALUE(O963&amp;" 1")),1),'Currency Master'!A:A,0)),"")))</f>
        <v>61.612586999999998</v>
      </c>
      <c r="J963" s="3">
        <f t="shared" ref="J963:J1026" si="60">IF(C963="India",F963,IF(C963="USA",IF(G963="US Cents/Lb",ROUND(((F963/100)/0.453592)*I963*356,0),F963),IF(C963="Australia",IF(G963="AUc/kg",ROUND((F963/100)*I963,2),F963),"")))</f>
        <v>37321</v>
      </c>
      <c r="K963" s="3" t="str">
        <f t="shared" ref="K963:K1026" si="61">IF(C963="India",G963,IF(C963="USA","₹/Candy",IF(C963="Australia","₹/Kg","")))</f>
        <v>₹/Candy</v>
      </c>
      <c r="L963" s="3">
        <v>-0.103704563929857</v>
      </c>
      <c r="M963" s="3"/>
      <c r="N963" s="3">
        <f t="shared" ref="N963:N1026" si="62">YEAR(A963)</f>
        <v>2013</v>
      </c>
      <c r="O963" s="3" t="str">
        <f t="shared" ref="O963:O1026" si="63">TEXT(A963,"mmmm")</f>
        <v>October</v>
      </c>
      <c r="P963" s="3" t="s">
        <v>30</v>
      </c>
      <c r="Q963" s="3"/>
    </row>
    <row r="964" spans="1:17" hidden="1" x14ac:dyDescent="0.3">
      <c r="A964" s="2">
        <v>41518</v>
      </c>
      <c r="B964" s="3" t="s">
        <v>12</v>
      </c>
      <c r="C964" s="3" t="s">
        <v>19</v>
      </c>
      <c r="D964" s="3" t="s">
        <v>26</v>
      </c>
      <c r="E964" s="3" t="s">
        <v>27</v>
      </c>
      <c r="F964" s="3">
        <v>86.11</v>
      </c>
      <c r="G964" s="3" t="s">
        <v>28</v>
      </c>
      <c r="H964" s="3" t="s">
        <v>29</v>
      </c>
      <c r="I964" s="3">
        <f>IF(C964="India",1,IF(C964="USA",INDEX('Currency Master'!B:B,MATCH(DATE(N964,MONTH(DATEVALUE(O964&amp;" 1")),1),'Currency Master'!A:A,0)),IF(C964="Australia",INDEX('Currency Master'!T:T,MATCH(DATE(N964,MONTH(DATEVALUE(O964&amp;" 1")),1),'Currency Master'!A:A,0)),"")))</f>
        <v>63.896438000000003</v>
      </c>
      <c r="J964" s="3">
        <f t="shared" si="60"/>
        <v>43183</v>
      </c>
      <c r="K964" s="3" t="str">
        <f t="shared" si="61"/>
        <v>₹/Candy</v>
      </c>
      <c r="L964" s="3">
        <v>2.87933094384707E-2</v>
      </c>
      <c r="M964" s="3"/>
      <c r="N964" s="3">
        <f t="shared" si="62"/>
        <v>2013</v>
      </c>
      <c r="O964" s="3" t="str">
        <f t="shared" si="63"/>
        <v>September</v>
      </c>
      <c r="P964" s="3" t="s">
        <v>30</v>
      </c>
      <c r="Q964" s="3"/>
    </row>
    <row r="965" spans="1:17" hidden="1" x14ac:dyDescent="0.3">
      <c r="A965" s="2">
        <v>41487</v>
      </c>
      <c r="B965" s="3" t="s">
        <v>12</v>
      </c>
      <c r="C965" s="3" t="s">
        <v>19</v>
      </c>
      <c r="D965" s="3" t="s">
        <v>26</v>
      </c>
      <c r="E965" s="3" t="s">
        <v>27</v>
      </c>
      <c r="F965" s="3">
        <v>83.7</v>
      </c>
      <c r="G965" s="3" t="s">
        <v>28</v>
      </c>
      <c r="H965" s="3" t="s">
        <v>29</v>
      </c>
      <c r="I965" s="3">
        <f>IF(C965="India",1,IF(C965="USA",INDEX('Currency Master'!B:B,MATCH(DATE(N965,MONTH(DATEVALUE(O965&amp;" 1")),1),'Currency Master'!A:A,0)),IF(C965="Australia",INDEX('Currency Master'!T:T,MATCH(DATE(N965,MONTH(DATEVALUE(O965&amp;" 1")),1),'Currency Master'!A:A,0)),"")))</f>
        <v>63.071268000000003</v>
      </c>
      <c r="J965" s="3">
        <f t="shared" si="60"/>
        <v>41433</v>
      </c>
      <c r="K965" s="3" t="str">
        <f t="shared" si="61"/>
        <v>₹/Candy</v>
      </c>
      <c r="L965" s="3">
        <v>-2.25388298493517E-2</v>
      </c>
      <c r="M965" s="3"/>
      <c r="N965" s="3">
        <f t="shared" si="62"/>
        <v>2013</v>
      </c>
      <c r="O965" s="3" t="str">
        <f t="shared" si="63"/>
        <v>August</v>
      </c>
      <c r="P965" s="3" t="s">
        <v>30</v>
      </c>
      <c r="Q965" s="3"/>
    </row>
    <row r="966" spans="1:17" hidden="1" x14ac:dyDescent="0.3">
      <c r="A966" s="2">
        <v>41456</v>
      </c>
      <c r="B966" s="3" t="s">
        <v>12</v>
      </c>
      <c r="C966" s="3" t="s">
        <v>19</v>
      </c>
      <c r="D966" s="3" t="s">
        <v>26</v>
      </c>
      <c r="E966" s="3" t="s">
        <v>27</v>
      </c>
      <c r="F966" s="3">
        <v>85.63</v>
      </c>
      <c r="G966" s="3" t="s">
        <v>28</v>
      </c>
      <c r="H966" s="3" t="s">
        <v>29</v>
      </c>
      <c r="I966" s="3">
        <f>IF(C966="India",1,IF(C966="USA",INDEX('Currency Master'!B:B,MATCH(DATE(N966,MONTH(DATEVALUE(O966&amp;" 1")),1),'Currency Master'!A:A,0)),IF(C966="Australia",INDEX('Currency Master'!T:T,MATCH(DATE(N966,MONTH(DATEVALUE(O966&amp;" 1")),1),'Currency Master'!A:A,0)),"")))</f>
        <v>59.769353000000002</v>
      </c>
      <c r="J966" s="3">
        <f t="shared" si="60"/>
        <v>40169</v>
      </c>
      <c r="K966" s="3" t="str">
        <f t="shared" si="61"/>
        <v>₹/Candy</v>
      </c>
      <c r="L966" s="3">
        <v>3.53040744770887E-2</v>
      </c>
      <c r="M966" s="3"/>
      <c r="N966" s="3">
        <f t="shared" si="62"/>
        <v>2013</v>
      </c>
      <c r="O966" s="3" t="str">
        <f t="shared" si="63"/>
        <v>July</v>
      </c>
      <c r="P966" s="3" t="s">
        <v>30</v>
      </c>
      <c r="Q966" s="3"/>
    </row>
    <row r="967" spans="1:17" hidden="1" x14ac:dyDescent="0.3">
      <c r="A967" s="2">
        <v>41426</v>
      </c>
      <c r="B967" s="3" t="s">
        <v>12</v>
      </c>
      <c r="C967" s="3" t="s">
        <v>19</v>
      </c>
      <c r="D967" s="3" t="s">
        <v>26</v>
      </c>
      <c r="E967" s="3" t="s">
        <v>27</v>
      </c>
      <c r="F967" s="3">
        <v>82.71</v>
      </c>
      <c r="G967" s="3" t="s">
        <v>28</v>
      </c>
      <c r="H967" s="3" t="s">
        <v>29</v>
      </c>
      <c r="I967" s="3">
        <f>IF(C967="India",1,IF(C967="USA",INDEX('Currency Master'!B:B,MATCH(DATE(N967,MONTH(DATEVALUE(O967&amp;" 1")),1),'Currency Master'!A:A,0)),IF(C967="Australia",INDEX('Currency Master'!T:T,MATCH(DATE(N967,MONTH(DATEVALUE(O967&amp;" 1")),1),'Currency Master'!A:A,0)),"")))</f>
        <v>58.406112999999998</v>
      </c>
      <c r="J967" s="3">
        <f t="shared" si="60"/>
        <v>37914</v>
      </c>
      <c r="K967" s="3" t="str">
        <f t="shared" si="61"/>
        <v>₹/Candy</v>
      </c>
      <c r="L967" s="3">
        <v>4.2212701612903199E-2</v>
      </c>
      <c r="M967" s="3"/>
      <c r="N967" s="3">
        <f t="shared" si="62"/>
        <v>2013</v>
      </c>
      <c r="O967" s="3" t="str">
        <f t="shared" si="63"/>
        <v>June</v>
      </c>
      <c r="P967" s="3" t="s">
        <v>30</v>
      </c>
      <c r="Q967" s="3"/>
    </row>
    <row r="968" spans="1:17" hidden="1" x14ac:dyDescent="0.3">
      <c r="A968" s="2">
        <v>41395</v>
      </c>
      <c r="B968" s="3" t="s">
        <v>12</v>
      </c>
      <c r="C968" s="3" t="s">
        <v>19</v>
      </c>
      <c r="D968" s="3" t="s">
        <v>26</v>
      </c>
      <c r="E968" s="3" t="s">
        <v>27</v>
      </c>
      <c r="F968" s="3">
        <v>79.36</v>
      </c>
      <c r="G968" s="3" t="s">
        <v>28</v>
      </c>
      <c r="H968" s="3" t="s">
        <v>29</v>
      </c>
      <c r="I968" s="3">
        <f>IF(C968="India",1,IF(C968="USA",INDEX('Currency Master'!B:B,MATCH(DATE(N968,MONTH(DATEVALUE(O968&amp;" 1")),1),'Currency Master'!A:A,0)),IF(C968="Australia",INDEX('Currency Master'!T:T,MATCH(DATE(N968,MONTH(DATEVALUE(O968&amp;" 1")),1),'Currency Master'!A:A,0)),"")))</f>
        <v>55.061478999999999</v>
      </c>
      <c r="J968" s="3">
        <f t="shared" si="60"/>
        <v>34295</v>
      </c>
      <c r="K968" s="3" t="str">
        <f t="shared" si="61"/>
        <v>₹/Candy</v>
      </c>
      <c r="L968" s="3">
        <v>-7.2138430959897096E-2</v>
      </c>
      <c r="M968" s="3"/>
      <c r="N968" s="3">
        <f t="shared" si="62"/>
        <v>2013</v>
      </c>
      <c r="O968" s="3" t="str">
        <f t="shared" si="63"/>
        <v>May</v>
      </c>
      <c r="P968" s="3" t="s">
        <v>30</v>
      </c>
      <c r="Q968" s="3"/>
    </row>
    <row r="969" spans="1:17" hidden="1" x14ac:dyDescent="0.3">
      <c r="A969" s="2">
        <v>41365</v>
      </c>
      <c r="B969" s="3" t="s">
        <v>12</v>
      </c>
      <c r="C969" s="3" t="s">
        <v>19</v>
      </c>
      <c r="D969" s="3" t="s">
        <v>26</v>
      </c>
      <c r="E969" s="3" t="s">
        <v>27</v>
      </c>
      <c r="F969" s="3">
        <v>85.53</v>
      </c>
      <c r="G969" s="3" t="s">
        <v>28</v>
      </c>
      <c r="H969" s="3" t="s">
        <v>29</v>
      </c>
      <c r="I969" s="3">
        <f>IF(C969="India",1,IF(C969="USA",INDEX('Currency Master'!B:B,MATCH(DATE(N969,MONTH(DATEVALUE(O969&amp;" 1")),1),'Currency Master'!A:A,0)),IF(C969="Australia",INDEX('Currency Master'!T:T,MATCH(DATE(N969,MONTH(DATEVALUE(O969&amp;" 1")),1),'Currency Master'!A:A,0)),"")))</f>
        <v>54.333561000000003</v>
      </c>
      <c r="J969" s="3">
        <f t="shared" si="60"/>
        <v>36473</v>
      </c>
      <c r="K969" s="3" t="str">
        <f t="shared" si="61"/>
        <v>₹/Candy</v>
      </c>
      <c r="L969" s="3">
        <v>-3.3122315170698503E-2</v>
      </c>
      <c r="M969" s="3"/>
      <c r="N969" s="3">
        <f t="shared" si="62"/>
        <v>2013</v>
      </c>
      <c r="O969" s="3" t="str">
        <f t="shared" si="63"/>
        <v>April</v>
      </c>
      <c r="P969" s="3" t="s">
        <v>30</v>
      </c>
      <c r="Q969" s="3"/>
    </row>
    <row r="970" spans="1:17" hidden="1" x14ac:dyDescent="0.3">
      <c r="A970" s="2">
        <v>41334</v>
      </c>
      <c r="B970" s="3" t="s">
        <v>12</v>
      </c>
      <c r="C970" s="3" t="s">
        <v>19</v>
      </c>
      <c r="D970" s="3" t="s">
        <v>26</v>
      </c>
      <c r="E970" s="3" t="s">
        <v>27</v>
      </c>
      <c r="F970" s="3">
        <v>88.46</v>
      </c>
      <c r="G970" s="3" t="s">
        <v>28</v>
      </c>
      <c r="H970" s="3" t="s">
        <v>29</v>
      </c>
      <c r="I970" s="3">
        <f>IF(C970="India",1,IF(C970="USA",INDEX('Currency Master'!B:B,MATCH(DATE(N970,MONTH(DATEVALUE(O970&amp;" 1")),1),'Currency Master'!A:A,0)),IF(C970="Australia",INDEX('Currency Master'!T:T,MATCH(DATE(N970,MONTH(DATEVALUE(O970&amp;" 1")),1),'Currency Master'!A:A,0)),"")))</f>
        <v>54.427458999999999</v>
      </c>
      <c r="J970" s="3">
        <f t="shared" si="60"/>
        <v>37788</v>
      </c>
      <c r="K970" s="3" t="str">
        <f t="shared" si="61"/>
        <v>₹/Candy</v>
      </c>
      <c r="L970" s="3">
        <v>5.8640497845859202E-2</v>
      </c>
      <c r="M970" s="3"/>
      <c r="N970" s="3">
        <f t="shared" si="62"/>
        <v>2013</v>
      </c>
      <c r="O970" s="3" t="str">
        <f t="shared" si="63"/>
        <v>March</v>
      </c>
      <c r="P970" s="3" t="s">
        <v>30</v>
      </c>
      <c r="Q970" s="3"/>
    </row>
    <row r="971" spans="1:17" hidden="1" x14ac:dyDescent="0.3">
      <c r="A971" s="2">
        <v>41306</v>
      </c>
      <c r="B971" s="3" t="s">
        <v>12</v>
      </c>
      <c r="C971" s="3" t="s">
        <v>19</v>
      </c>
      <c r="D971" s="3" t="s">
        <v>26</v>
      </c>
      <c r="E971" s="3" t="s">
        <v>27</v>
      </c>
      <c r="F971" s="3">
        <v>83.56</v>
      </c>
      <c r="G971" s="3" t="s">
        <v>28</v>
      </c>
      <c r="H971" s="3" t="s">
        <v>29</v>
      </c>
      <c r="I971" s="3">
        <f>IF(C971="India",1,IF(C971="USA",INDEX('Currency Master'!B:B,MATCH(DATE(N971,MONTH(DATEVALUE(O971&amp;" 1")),1),'Currency Master'!A:A,0)),IF(C971="Australia",INDEX('Currency Master'!T:T,MATCH(DATE(N971,MONTH(DATEVALUE(O971&amp;" 1")),1),'Currency Master'!A:A,0)),"")))</f>
        <v>53.850726999999999</v>
      </c>
      <c r="J971" s="3">
        <f t="shared" si="60"/>
        <v>35316</v>
      </c>
      <c r="K971" s="3" t="str">
        <f t="shared" si="61"/>
        <v>₹/Candy</v>
      </c>
      <c r="L971" s="3">
        <v>4.9308478653036199E-3</v>
      </c>
      <c r="M971" s="3"/>
      <c r="N971" s="3">
        <f t="shared" si="62"/>
        <v>2013</v>
      </c>
      <c r="O971" s="3" t="str">
        <f t="shared" si="63"/>
        <v>February</v>
      </c>
      <c r="P971" s="3" t="s">
        <v>30</v>
      </c>
      <c r="Q971" s="3"/>
    </row>
    <row r="972" spans="1:17" hidden="1" x14ac:dyDescent="0.3">
      <c r="A972" s="2">
        <v>41275</v>
      </c>
      <c r="B972" s="3" t="s">
        <v>12</v>
      </c>
      <c r="C972" s="3" t="s">
        <v>19</v>
      </c>
      <c r="D972" s="3" t="s">
        <v>26</v>
      </c>
      <c r="E972" s="3" t="s">
        <v>27</v>
      </c>
      <c r="F972" s="3">
        <v>83.15</v>
      </c>
      <c r="G972" s="3" t="s">
        <v>28</v>
      </c>
      <c r="H972" s="3" t="s">
        <v>29</v>
      </c>
      <c r="I972" s="3">
        <f>IF(C972="India",1,IF(C972="USA",INDEX('Currency Master'!B:B,MATCH(DATE(N972,MONTH(DATEVALUE(O972&amp;" 1")),1),'Currency Master'!A:A,0)),IF(C972="Australia",INDEX('Currency Master'!T:T,MATCH(DATE(N972,MONTH(DATEVALUE(O972&amp;" 1")),1),'Currency Master'!A:A,0)),"")))</f>
        <v>54.243630000000003</v>
      </c>
      <c r="J972" s="3">
        <f t="shared" si="60"/>
        <v>35399</v>
      </c>
      <c r="K972" s="3" t="str">
        <f t="shared" si="61"/>
        <v>₹/Candy</v>
      </c>
      <c r="L972" s="3">
        <v>9.6098075402056393E-2</v>
      </c>
      <c r="M972" s="3"/>
      <c r="N972" s="3">
        <f t="shared" si="62"/>
        <v>2013</v>
      </c>
      <c r="O972" s="3" t="str">
        <f t="shared" si="63"/>
        <v>January</v>
      </c>
      <c r="P972" s="3" t="s">
        <v>30</v>
      </c>
      <c r="Q972" s="3"/>
    </row>
    <row r="973" spans="1:17" hidden="1" x14ac:dyDescent="0.3">
      <c r="A973" s="2">
        <v>41244</v>
      </c>
      <c r="B973" s="3" t="s">
        <v>12</v>
      </c>
      <c r="C973" s="3" t="s">
        <v>19</v>
      </c>
      <c r="D973" s="3" t="s">
        <v>26</v>
      </c>
      <c r="E973" s="3" t="s">
        <v>27</v>
      </c>
      <c r="F973" s="3">
        <v>75.86</v>
      </c>
      <c r="G973" s="3" t="s">
        <v>28</v>
      </c>
      <c r="H973" s="3" t="s">
        <v>29</v>
      </c>
      <c r="I973" s="3">
        <f>IF(C973="India",1,IF(C973="USA",INDEX('Currency Master'!B:B,MATCH(DATE(N973,MONTH(DATEVALUE(O973&amp;" 1")),1),'Currency Master'!A:A,0)),IF(C973="Australia",INDEX('Currency Master'!T:T,MATCH(DATE(N973,MONTH(DATEVALUE(O973&amp;" 1")),1),'Currency Master'!A:A,0)),"")))</f>
        <v>54.646414</v>
      </c>
      <c r="J973" s="3">
        <f t="shared" si="60"/>
        <v>32536</v>
      </c>
      <c r="K973" s="3" t="str">
        <f t="shared" si="61"/>
        <v>₹/Candy</v>
      </c>
      <c r="L973" s="3">
        <v>2.6383439318089501E-2</v>
      </c>
      <c r="M973" s="3"/>
      <c r="N973" s="3">
        <f t="shared" si="62"/>
        <v>2012</v>
      </c>
      <c r="O973" s="3" t="str">
        <f t="shared" si="63"/>
        <v>December</v>
      </c>
      <c r="P973" s="3" t="s">
        <v>30</v>
      </c>
      <c r="Q973" s="3"/>
    </row>
    <row r="974" spans="1:17" hidden="1" x14ac:dyDescent="0.3">
      <c r="A974" s="2">
        <v>41214</v>
      </c>
      <c r="B974" s="3" t="s">
        <v>12</v>
      </c>
      <c r="C974" s="3" t="s">
        <v>19</v>
      </c>
      <c r="D974" s="3" t="s">
        <v>26</v>
      </c>
      <c r="E974" s="3" t="s">
        <v>27</v>
      </c>
      <c r="F974" s="3">
        <v>73.91</v>
      </c>
      <c r="G974" s="3" t="s">
        <v>28</v>
      </c>
      <c r="H974" s="3" t="s">
        <v>29</v>
      </c>
      <c r="I974" s="3">
        <f>IF(C974="India",1,IF(C974="USA",INDEX('Currency Master'!B:B,MATCH(DATE(N974,MONTH(DATEVALUE(O974&amp;" 1")),1),'Currency Master'!A:A,0)),IF(C974="Australia",INDEX('Currency Master'!T:T,MATCH(DATE(N974,MONTH(DATEVALUE(O974&amp;" 1")),1),'Currency Master'!A:A,0)),"")))</f>
        <v>54.822263</v>
      </c>
      <c r="J974" s="3">
        <f t="shared" si="60"/>
        <v>31801</v>
      </c>
      <c r="K974" s="3" t="str">
        <f t="shared" si="61"/>
        <v>₹/Candy</v>
      </c>
      <c r="L974" s="3">
        <v>3.5299061493206302E-2</v>
      </c>
      <c r="M974" s="3"/>
      <c r="N974" s="3">
        <f t="shared" si="62"/>
        <v>2012</v>
      </c>
      <c r="O974" s="3" t="str">
        <f t="shared" si="63"/>
        <v>November</v>
      </c>
      <c r="P974" s="3" t="s">
        <v>30</v>
      </c>
      <c r="Q974" s="3"/>
    </row>
    <row r="975" spans="1:17" hidden="1" x14ac:dyDescent="0.3">
      <c r="A975" s="2">
        <v>41183</v>
      </c>
      <c r="B975" s="3" t="s">
        <v>12</v>
      </c>
      <c r="C975" s="3" t="s">
        <v>19</v>
      </c>
      <c r="D975" s="3" t="s">
        <v>26</v>
      </c>
      <c r="E975" s="3" t="s">
        <v>27</v>
      </c>
      <c r="F975" s="3">
        <v>71.39</v>
      </c>
      <c r="G975" s="3" t="s">
        <v>28</v>
      </c>
      <c r="H975" s="3" t="s">
        <v>29</v>
      </c>
      <c r="I975" s="3">
        <f>IF(C975="India",1,IF(C975="USA",INDEX('Currency Master'!B:B,MATCH(DATE(N975,MONTH(DATEVALUE(O975&amp;" 1")),1),'Currency Master'!A:A,0)),IF(C975="Australia",INDEX('Currency Master'!T:T,MATCH(DATE(N975,MONTH(DATEVALUE(O975&amp;" 1")),1),'Currency Master'!A:A,0)),"")))</f>
        <v>53.073239999999998</v>
      </c>
      <c r="J975" s="3">
        <f t="shared" si="60"/>
        <v>29737</v>
      </c>
      <c r="K975" s="3" t="str">
        <f t="shared" si="61"/>
        <v>₹/Candy</v>
      </c>
      <c r="L975" s="3">
        <v>1.0474168435951701E-2</v>
      </c>
      <c r="M975" s="3"/>
      <c r="N975" s="3">
        <f t="shared" si="62"/>
        <v>2012</v>
      </c>
      <c r="O975" s="3" t="str">
        <f t="shared" si="63"/>
        <v>October</v>
      </c>
      <c r="P975" s="3" t="s">
        <v>30</v>
      </c>
      <c r="Q975" s="3"/>
    </row>
    <row r="976" spans="1:17" hidden="1" x14ac:dyDescent="0.3">
      <c r="A976" s="2">
        <v>41153</v>
      </c>
      <c r="B976" s="3" t="s">
        <v>12</v>
      </c>
      <c r="C976" s="3" t="s">
        <v>19</v>
      </c>
      <c r="D976" s="3" t="s">
        <v>26</v>
      </c>
      <c r="E976" s="3" t="s">
        <v>27</v>
      </c>
      <c r="F976" s="3">
        <v>70.650000000000006</v>
      </c>
      <c r="G976" s="3" t="s">
        <v>28</v>
      </c>
      <c r="H976" s="3" t="s">
        <v>29</v>
      </c>
      <c r="I976" s="3">
        <f>IF(C976="India",1,IF(C976="USA",INDEX('Currency Master'!B:B,MATCH(DATE(N976,MONTH(DATEVALUE(O976&amp;" 1")),1),'Currency Master'!A:A,0)),IF(C976="Australia",INDEX('Currency Master'!T:T,MATCH(DATE(N976,MONTH(DATEVALUE(O976&amp;" 1")),1),'Currency Master'!A:A,0)),"")))</f>
        <v>54.494210000000002</v>
      </c>
      <c r="J976" s="3">
        <f t="shared" si="60"/>
        <v>30217</v>
      </c>
      <c r="K976" s="3" t="str">
        <f t="shared" si="61"/>
        <v>₹/Candy</v>
      </c>
      <c r="L976" s="3">
        <v>-8.5555267926482007E-2</v>
      </c>
      <c r="M976" s="3"/>
      <c r="N976" s="3">
        <f t="shared" si="62"/>
        <v>2012</v>
      </c>
      <c r="O976" s="3" t="str">
        <f t="shared" si="63"/>
        <v>September</v>
      </c>
      <c r="P976" s="3" t="s">
        <v>30</v>
      </c>
      <c r="Q976" s="3"/>
    </row>
    <row r="977" spans="1:17" hidden="1" x14ac:dyDescent="0.3">
      <c r="A977" s="2">
        <v>41122</v>
      </c>
      <c r="B977" s="3" t="s">
        <v>12</v>
      </c>
      <c r="C977" s="3" t="s">
        <v>19</v>
      </c>
      <c r="D977" s="3" t="s">
        <v>26</v>
      </c>
      <c r="E977" s="3" t="s">
        <v>27</v>
      </c>
      <c r="F977" s="3">
        <v>77.260000000000005</v>
      </c>
      <c r="G977" s="3" t="s">
        <v>28</v>
      </c>
      <c r="H977" s="3" t="s">
        <v>29</v>
      </c>
      <c r="I977" s="3">
        <f>IF(C977="India",1,IF(C977="USA",INDEX('Currency Master'!B:B,MATCH(DATE(N977,MONTH(DATEVALUE(O977&amp;" 1")),1),'Currency Master'!A:A,0)),IF(C977="Australia",INDEX('Currency Master'!T:T,MATCH(DATE(N977,MONTH(DATEVALUE(O977&amp;" 1")),1),'Currency Master'!A:A,0)),"")))</f>
        <v>55.535195000000002</v>
      </c>
      <c r="J977" s="3">
        <f t="shared" si="60"/>
        <v>33675</v>
      </c>
      <c r="K977" s="3" t="str">
        <f t="shared" si="61"/>
        <v>₹/Candy</v>
      </c>
      <c r="L977" s="3">
        <v>8.2982898794505197E-2</v>
      </c>
      <c r="M977" s="3"/>
      <c r="N977" s="3">
        <f t="shared" si="62"/>
        <v>2012</v>
      </c>
      <c r="O977" s="3" t="str">
        <f t="shared" si="63"/>
        <v>August</v>
      </c>
      <c r="P977" s="3" t="s">
        <v>30</v>
      </c>
      <c r="Q977" s="3"/>
    </row>
    <row r="978" spans="1:17" hidden="1" x14ac:dyDescent="0.3">
      <c r="A978" s="2">
        <v>41091</v>
      </c>
      <c r="B978" s="3" t="s">
        <v>12</v>
      </c>
      <c r="C978" s="3" t="s">
        <v>19</v>
      </c>
      <c r="D978" s="3" t="s">
        <v>26</v>
      </c>
      <c r="E978" s="3" t="s">
        <v>27</v>
      </c>
      <c r="F978" s="3">
        <v>71.34</v>
      </c>
      <c r="G978" s="3" t="s">
        <v>28</v>
      </c>
      <c r="H978" s="3" t="s">
        <v>29</v>
      </c>
      <c r="I978" s="3">
        <f>IF(C978="India",1,IF(C978="USA",INDEX('Currency Master'!B:B,MATCH(DATE(N978,MONTH(DATEVALUE(O978&amp;" 1")),1),'Currency Master'!A:A,0)),IF(C978="Australia",INDEX('Currency Master'!T:T,MATCH(DATE(N978,MONTH(DATEVALUE(O978&amp;" 1")),1),'Currency Master'!A:A,0)),"")))</f>
        <v>55.426468999999997</v>
      </c>
      <c r="J978" s="3">
        <f t="shared" si="60"/>
        <v>31034</v>
      </c>
      <c r="K978" s="3" t="str">
        <f t="shared" si="61"/>
        <v>₹/Candy</v>
      </c>
      <c r="L978" s="3">
        <v>-3.2136369987423299E-3</v>
      </c>
      <c r="M978" s="3"/>
      <c r="N978" s="3">
        <f t="shared" si="62"/>
        <v>2012</v>
      </c>
      <c r="O978" s="3" t="str">
        <f t="shared" si="63"/>
        <v>July</v>
      </c>
      <c r="P978" s="3" t="s">
        <v>30</v>
      </c>
      <c r="Q978" s="3"/>
    </row>
    <row r="979" spans="1:17" hidden="1" x14ac:dyDescent="0.3">
      <c r="A979" s="2">
        <v>41061</v>
      </c>
      <c r="B979" s="3" t="s">
        <v>12</v>
      </c>
      <c r="C979" s="3" t="s">
        <v>19</v>
      </c>
      <c r="D979" s="3" t="s">
        <v>26</v>
      </c>
      <c r="E979" s="3" t="s">
        <v>27</v>
      </c>
      <c r="F979" s="3">
        <v>71.569999999999993</v>
      </c>
      <c r="G979" s="3" t="s">
        <v>28</v>
      </c>
      <c r="H979" s="3" t="s">
        <v>29</v>
      </c>
      <c r="I979" s="3">
        <f>IF(C979="India",1,IF(C979="USA",INDEX('Currency Master'!B:B,MATCH(DATE(N979,MONTH(DATEVALUE(O979&amp;" 1")),1),'Currency Master'!A:A,0)),IF(C979="Australia",INDEX('Currency Master'!T:T,MATCH(DATE(N979,MONTH(DATEVALUE(O979&amp;" 1")),1),'Currency Master'!A:A,0)),"")))</f>
        <v>56.016390000000001</v>
      </c>
      <c r="J979" s="3">
        <f t="shared" si="60"/>
        <v>31465</v>
      </c>
      <c r="K979" s="3" t="str">
        <f t="shared" si="61"/>
        <v>₹/Candy</v>
      </c>
      <c r="L979" s="3">
        <v>2.7952480782666999E-4</v>
      </c>
      <c r="M979" s="3"/>
      <c r="N979" s="3">
        <f t="shared" si="62"/>
        <v>2012</v>
      </c>
      <c r="O979" s="3" t="str">
        <f t="shared" si="63"/>
        <v>June</v>
      </c>
      <c r="P979" s="3" t="s">
        <v>30</v>
      </c>
      <c r="Q979" s="3"/>
    </row>
    <row r="980" spans="1:17" hidden="1" x14ac:dyDescent="0.3">
      <c r="A980" s="2">
        <v>41030</v>
      </c>
      <c r="B980" s="3" t="s">
        <v>12</v>
      </c>
      <c r="C980" s="3" t="s">
        <v>19</v>
      </c>
      <c r="D980" s="3" t="s">
        <v>26</v>
      </c>
      <c r="E980" s="3" t="s">
        <v>27</v>
      </c>
      <c r="F980" s="3">
        <v>71.55</v>
      </c>
      <c r="G980" s="3" t="s">
        <v>28</v>
      </c>
      <c r="H980" s="3" t="s">
        <v>29</v>
      </c>
      <c r="I980" s="3">
        <f>IF(C980="India",1,IF(C980="USA",INDEX('Currency Master'!B:B,MATCH(DATE(N980,MONTH(DATEVALUE(O980&amp;" 1")),1),'Currency Master'!A:A,0)),IF(C980="Australia",INDEX('Currency Master'!T:T,MATCH(DATE(N980,MONTH(DATEVALUE(O980&amp;" 1")),1),'Currency Master'!A:A,0)),"")))</f>
        <v>54.471380000000003</v>
      </c>
      <c r="J980" s="3">
        <f t="shared" si="60"/>
        <v>30589</v>
      </c>
      <c r="K980" s="3" t="str">
        <f t="shared" si="61"/>
        <v>₹/Candy</v>
      </c>
      <c r="L980" s="3">
        <v>-0.179942693409742</v>
      </c>
      <c r="M980" s="3"/>
      <c r="N980" s="3">
        <f t="shared" si="62"/>
        <v>2012</v>
      </c>
      <c r="O980" s="3" t="str">
        <f t="shared" si="63"/>
        <v>May</v>
      </c>
      <c r="P980" s="3" t="s">
        <v>30</v>
      </c>
      <c r="Q980" s="3"/>
    </row>
    <row r="981" spans="1:17" hidden="1" x14ac:dyDescent="0.3">
      <c r="A981" s="2">
        <v>41000</v>
      </c>
      <c r="B981" s="3" t="s">
        <v>12</v>
      </c>
      <c r="C981" s="3" t="s">
        <v>19</v>
      </c>
      <c r="D981" s="3" t="s">
        <v>26</v>
      </c>
      <c r="E981" s="3" t="s">
        <v>27</v>
      </c>
      <c r="F981" s="3">
        <v>87.25</v>
      </c>
      <c r="G981" s="3" t="s">
        <v>28</v>
      </c>
      <c r="H981" s="3" t="s">
        <v>29</v>
      </c>
      <c r="I981" s="3">
        <f>IF(C981="India",1,IF(C981="USA",INDEX('Currency Master'!B:B,MATCH(DATE(N981,MONTH(DATEVALUE(O981&amp;" 1")),1),'Currency Master'!A:A,0)),IF(C981="Australia",INDEX('Currency Master'!T:T,MATCH(DATE(N981,MONTH(DATEVALUE(O981&amp;" 1")),1),'Currency Master'!A:A,0)),"")))</f>
        <v>51.812474000000002</v>
      </c>
      <c r="J981" s="3">
        <f t="shared" si="60"/>
        <v>35480</v>
      </c>
      <c r="K981" s="3" t="str">
        <f t="shared" si="61"/>
        <v>₹/Candy</v>
      </c>
      <c r="L981" s="3">
        <v>-6.7044482463644098E-2</v>
      </c>
      <c r="M981" s="3"/>
      <c r="N981" s="3">
        <f t="shared" si="62"/>
        <v>2012</v>
      </c>
      <c r="O981" s="3" t="str">
        <f t="shared" si="63"/>
        <v>April</v>
      </c>
      <c r="P981" s="3" t="s">
        <v>30</v>
      </c>
      <c r="Q981" s="3"/>
    </row>
    <row r="982" spans="1:17" hidden="1" x14ac:dyDescent="0.3">
      <c r="A982" s="2">
        <v>40969</v>
      </c>
      <c r="B982" s="3" t="s">
        <v>12</v>
      </c>
      <c r="C982" s="3" t="s">
        <v>19</v>
      </c>
      <c r="D982" s="3" t="s">
        <v>26</v>
      </c>
      <c r="E982" s="3" t="s">
        <v>27</v>
      </c>
      <c r="F982" s="3">
        <v>93.52</v>
      </c>
      <c r="G982" s="3" t="s">
        <v>28</v>
      </c>
      <c r="H982" s="3" t="s">
        <v>29</v>
      </c>
      <c r="I982" s="3">
        <f>IF(C982="India",1,IF(C982="USA",INDEX('Currency Master'!B:B,MATCH(DATE(N982,MONTH(DATEVALUE(O982&amp;" 1")),1),'Currency Master'!A:A,0)),IF(C982="Australia",INDEX('Currency Master'!T:T,MATCH(DATE(N982,MONTH(DATEVALUE(O982&amp;" 1")),1),'Currency Master'!A:A,0)),"")))</f>
        <v>50.403962</v>
      </c>
      <c r="J982" s="3">
        <f t="shared" si="60"/>
        <v>36996</v>
      </c>
      <c r="K982" s="3" t="str">
        <f t="shared" si="61"/>
        <v>₹/Candy</v>
      </c>
      <c r="L982" s="3">
        <v>4.0730024482528403E-2</v>
      </c>
      <c r="M982" s="3"/>
      <c r="N982" s="3">
        <f t="shared" si="62"/>
        <v>2012</v>
      </c>
      <c r="O982" s="3" t="str">
        <f t="shared" si="63"/>
        <v>March</v>
      </c>
      <c r="P982" s="3" t="s">
        <v>30</v>
      </c>
      <c r="Q982" s="3"/>
    </row>
    <row r="983" spans="1:17" hidden="1" x14ac:dyDescent="0.3">
      <c r="A983" s="2">
        <v>40940</v>
      </c>
      <c r="B983" s="3" t="s">
        <v>12</v>
      </c>
      <c r="C983" s="3" t="s">
        <v>19</v>
      </c>
      <c r="D983" s="3" t="s">
        <v>26</v>
      </c>
      <c r="E983" s="3" t="s">
        <v>27</v>
      </c>
      <c r="F983" s="3">
        <v>89.86</v>
      </c>
      <c r="G983" s="3" t="s">
        <v>28</v>
      </c>
      <c r="H983" s="3" t="s">
        <v>29</v>
      </c>
      <c r="I983" s="3">
        <f>IF(C983="India",1,IF(C983="USA",INDEX('Currency Master'!B:B,MATCH(DATE(N983,MONTH(DATEVALUE(O983&amp;" 1")),1),'Currency Master'!A:A,0)),IF(C983="Australia",INDEX('Currency Master'!T:T,MATCH(DATE(N983,MONTH(DATEVALUE(O983&amp;" 1")),1),'Currency Master'!A:A,0)),"")))</f>
        <v>49.197800000000001</v>
      </c>
      <c r="J983" s="3">
        <f t="shared" si="60"/>
        <v>34697</v>
      </c>
      <c r="K983" s="3" t="str">
        <f t="shared" si="61"/>
        <v>₹/Candy</v>
      </c>
      <c r="L983" s="3">
        <v>-3.6353887399463797E-2</v>
      </c>
      <c r="M983" s="3"/>
      <c r="N983" s="3">
        <f t="shared" si="62"/>
        <v>2012</v>
      </c>
      <c r="O983" s="3" t="str">
        <f t="shared" si="63"/>
        <v>February</v>
      </c>
      <c r="P983" s="3" t="s">
        <v>30</v>
      </c>
      <c r="Q983" s="3"/>
    </row>
    <row r="984" spans="1:17" hidden="1" x14ac:dyDescent="0.3">
      <c r="A984" s="2">
        <v>40909</v>
      </c>
      <c r="B984" s="3" t="s">
        <v>12</v>
      </c>
      <c r="C984" s="3" t="s">
        <v>19</v>
      </c>
      <c r="D984" s="3" t="s">
        <v>26</v>
      </c>
      <c r="E984" s="3" t="s">
        <v>27</v>
      </c>
      <c r="F984" s="3">
        <v>93.25</v>
      </c>
      <c r="G984" s="3" t="s">
        <v>28</v>
      </c>
      <c r="H984" s="3" t="s">
        <v>29</v>
      </c>
      <c r="I984" s="3">
        <f>IF(C984="India",1,IF(C984="USA",INDEX('Currency Master'!B:B,MATCH(DATE(N984,MONTH(DATEVALUE(O984&amp;" 1")),1),'Currency Master'!A:A,0)),IF(C984="Australia",INDEX('Currency Master'!T:T,MATCH(DATE(N984,MONTH(DATEVALUE(O984&amp;" 1")),1),'Currency Master'!A:A,0)),"")))</f>
        <v>51.197583000000002</v>
      </c>
      <c r="J984" s="3">
        <f t="shared" si="60"/>
        <v>37470</v>
      </c>
      <c r="K984" s="3" t="str">
        <f t="shared" si="61"/>
        <v>₹/Candy</v>
      </c>
      <c r="L984" s="3">
        <v>1.5795206971677599E-2</v>
      </c>
      <c r="M984" s="3"/>
      <c r="N984" s="3">
        <f t="shared" si="62"/>
        <v>2012</v>
      </c>
      <c r="O984" s="3" t="str">
        <f t="shared" si="63"/>
        <v>January</v>
      </c>
      <c r="P984" s="3" t="s">
        <v>30</v>
      </c>
      <c r="Q984" s="3"/>
    </row>
    <row r="985" spans="1:17" hidden="1" x14ac:dyDescent="0.3">
      <c r="A985" s="2">
        <v>40878</v>
      </c>
      <c r="B985" s="3" t="s">
        <v>12</v>
      </c>
      <c r="C985" s="3" t="s">
        <v>19</v>
      </c>
      <c r="D985" s="3" t="s">
        <v>26</v>
      </c>
      <c r="E985" s="3" t="s">
        <v>27</v>
      </c>
      <c r="F985" s="3">
        <v>91.8</v>
      </c>
      <c r="G985" s="3" t="s">
        <v>28</v>
      </c>
      <c r="H985" s="3" t="s">
        <v>29</v>
      </c>
      <c r="I985" s="3">
        <f>IF(C985="India",1,IF(C985="USA",INDEX('Currency Master'!B:B,MATCH(DATE(N985,MONTH(DATEVALUE(O985&amp;" 1")),1),'Currency Master'!A:A,0)),IF(C985="Australia",INDEX('Currency Master'!T:T,MATCH(DATE(N985,MONTH(DATEVALUE(O985&amp;" 1")),1),'Currency Master'!A:A,0)),"")))</f>
        <v>52.522753000000002</v>
      </c>
      <c r="J985" s="3">
        <f t="shared" si="60"/>
        <v>37842</v>
      </c>
      <c r="K985" s="3" t="str">
        <f t="shared" si="61"/>
        <v>₹/Candy</v>
      </c>
      <c r="L985" s="3">
        <v>1.6498726608348901E-2</v>
      </c>
      <c r="M985" s="3"/>
      <c r="N985" s="3">
        <f t="shared" si="62"/>
        <v>2011</v>
      </c>
      <c r="O985" s="3" t="str">
        <f t="shared" si="63"/>
        <v>December</v>
      </c>
      <c r="P985" s="3" t="s">
        <v>30</v>
      </c>
      <c r="Q985" s="3"/>
    </row>
    <row r="986" spans="1:17" hidden="1" x14ac:dyDescent="0.3">
      <c r="A986" s="2">
        <v>40848</v>
      </c>
      <c r="B986" s="3" t="s">
        <v>12</v>
      </c>
      <c r="C986" s="3" t="s">
        <v>19</v>
      </c>
      <c r="D986" s="3" t="s">
        <v>26</v>
      </c>
      <c r="E986" s="3" t="s">
        <v>27</v>
      </c>
      <c r="F986" s="3">
        <v>90.31</v>
      </c>
      <c r="G986" s="3" t="s">
        <v>28</v>
      </c>
      <c r="H986" s="3" t="s">
        <v>29</v>
      </c>
      <c r="I986" s="3">
        <f>IF(C986="India",1,IF(C986="USA",INDEX('Currency Master'!B:B,MATCH(DATE(N986,MONTH(DATEVALUE(O986&amp;" 1")),1),'Currency Master'!A:A,0)),IF(C986="Australia",INDEX('Currency Master'!T:T,MATCH(DATE(N986,MONTH(DATEVALUE(O986&amp;" 1")),1),'Currency Master'!A:A,0)),"")))</f>
        <v>50.791083</v>
      </c>
      <c r="J986" s="3">
        <f t="shared" si="60"/>
        <v>36000</v>
      </c>
      <c r="K986" s="3" t="str">
        <f t="shared" si="61"/>
        <v>₹/Candy</v>
      </c>
      <c r="L986" s="3">
        <v>-0.117117997849252</v>
      </c>
      <c r="M986" s="3"/>
      <c r="N986" s="3">
        <f t="shared" si="62"/>
        <v>2011</v>
      </c>
      <c r="O986" s="3" t="str">
        <f t="shared" si="63"/>
        <v>November</v>
      </c>
      <c r="P986" s="3" t="s">
        <v>30</v>
      </c>
      <c r="Q986" s="3"/>
    </row>
    <row r="987" spans="1:17" hidden="1" x14ac:dyDescent="0.3">
      <c r="A987" s="2">
        <v>40817</v>
      </c>
      <c r="B987" s="3" t="s">
        <v>12</v>
      </c>
      <c r="C987" s="3" t="s">
        <v>19</v>
      </c>
      <c r="D987" s="3" t="s">
        <v>26</v>
      </c>
      <c r="E987" s="3" t="s">
        <v>27</v>
      </c>
      <c r="F987" s="3">
        <v>102.29</v>
      </c>
      <c r="G987" s="3" t="s">
        <v>28</v>
      </c>
      <c r="H987" s="3" t="s">
        <v>29</v>
      </c>
      <c r="I987" s="3">
        <f>IF(C987="India",1,IF(C987="USA",INDEX('Currency Master'!B:B,MATCH(DATE(N987,MONTH(DATEVALUE(O987&amp;" 1")),1),'Currency Master'!A:A,0)),IF(C987="Australia",INDEX('Currency Master'!T:T,MATCH(DATE(N987,MONTH(DATEVALUE(O987&amp;" 1")),1),'Currency Master'!A:A,0)),"")))</f>
        <v>49.285598</v>
      </c>
      <c r="J987" s="3">
        <f t="shared" si="60"/>
        <v>39567</v>
      </c>
      <c r="K987" s="3" t="str">
        <f t="shared" si="61"/>
        <v>₹/Candy</v>
      </c>
      <c r="L987" s="3">
        <v>3.6267855333806297E-2</v>
      </c>
      <c r="M987" s="3"/>
      <c r="N987" s="3">
        <f t="shared" si="62"/>
        <v>2011</v>
      </c>
      <c r="O987" s="3" t="str">
        <f t="shared" si="63"/>
        <v>October</v>
      </c>
      <c r="P987" s="3" t="s">
        <v>30</v>
      </c>
      <c r="Q987" s="3"/>
    </row>
    <row r="988" spans="1:17" hidden="1" x14ac:dyDescent="0.3">
      <c r="A988" s="2">
        <v>40787</v>
      </c>
      <c r="B988" s="3" t="s">
        <v>12</v>
      </c>
      <c r="C988" s="3" t="s">
        <v>19</v>
      </c>
      <c r="D988" s="3" t="s">
        <v>26</v>
      </c>
      <c r="E988" s="3" t="s">
        <v>27</v>
      </c>
      <c r="F988" s="3">
        <v>98.71</v>
      </c>
      <c r="G988" s="3" t="s">
        <v>28</v>
      </c>
      <c r="H988" s="3" t="s">
        <v>29</v>
      </c>
      <c r="I988" s="3">
        <f>IF(C988="India",1,IF(C988="USA",INDEX('Currency Master'!B:B,MATCH(DATE(N988,MONTH(DATEVALUE(O988&amp;" 1")),1),'Currency Master'!A:A,0)),IF(C988="Australia",INDEX('Currency Master'!T:T,MATCH(DATE(N988,MONTH(DATEVALUE(O988&amp;" 1")),1),'Currency Master'!A:A,0)),"")))</f>
        <v>47.658523000000002</v>
      </c>
      <c r="J988" s="3">
        <f t="shared" si="60"/>
        <v>36922</v>
      </c>
      <c r="K988" s="3" t="str">
        <f t="shared" si="61"/>
        <v>₹/Candy</v>
      </c>
      <c r="L988" s="3">
        <v>-6.7718171514922501E-2</v>
      </c>
      <c r="M988" s="3"/>
      <c r="N988" s="3">
        <f t="shared" si="62"/>
        <v>2011</v>
      </c>
      <c r="O988" s="3" t="str">
        <f t="shared" si="63"/>
        <v>September</v>
      </c>
      <c r="P988" s="3" t="s">
        <v>30</v>
      </c>
      <c r="Q988" s="3"/>
    </row>
    <row r="989" spans="1:17" hidden="1" x14ac:dyDescent="0.3">
      <c r="A989" s="2">
        <v>40756</v>
      </c>
      <c r="B989" s="3" t="s">
        <v>12</v>
      </c>
      <c r="C989" s="3" t="s">
        <v>19</v>
      </c>
      <c r="D989" s="3" t="s">
        <v>26</v>
      </c>
      <c r="E989" s="3" t="s">
        <v>27</v>
      </c>
      <c r="F989" s="3">
        <v>105.88</v>
      </c>
      <c r="G989" s="3" t="s">
        <v>28</v>
      </c>
      <c r="H989" s="3" t="s">
        <v>29</v>
      </c>
      <c r="I989" s="3">
        <f>IF(C989="India",1,IF(C989="USA",INDEX('Currency Master'!B:B,MATCH(DATE(N989,MONTH(DATEVALUE(O989&amp;" 1")),1),'Currency Master'!A:A,0)),IF(C989="Australia",INDEX('Currency Master'!T:T,MATCH(DATE(N989,MONTH(DATEVALUE(O989&amp;" 1")),1),'Currency Master'!A:A,0)),"")))</f>
        <v>45.364960000000004</v>
      </c>
      <c r="J989" s="3">
        <f t="shared" si="60"/>
        <v>37698</v>
      </c>
      <c r="K989" s="3" t="str">
        <f t="shared" si="61"/>
        <v>₹/Candy</v>
      </c>
      <c r="L989" s="3">
        <v>3.7225705329153598E-2</v>
      </c>
      <c r="M989" s="3"/>
      <c r="N989" s="3">
        <f t="shared" si="62"/>
        <v>2011</v>
      </c>
      <c r="O989" s="3" t="str">
        <f t="shared" si="63"/>
        <v>August</v>
      </c>
      <c r="P989" s="3" t="s">
        <v>30</v>
      </c>
      <c r="Q989" s="3"/>
    </row>
    <row r="990" spans="1:17" hidden="1" x14ac:dyDescent="0.3">
      <c r="A990" s="2">
        <v>40725</v>
      </c>
      <c r="B990" s="3" t="s">
        <v>12</v>
      </c>
      <c r="C990" s="3" t="s">
        <v>19</v>
      </c>
      <c r="D990" s="3" t="s">
        <v>26</v>
      </c>
      <c r="E990" s="3" t="s">
        <v>27</v>
      </c>
      <c r="F990" s="3">
        <v>102.08</v>
      </c>
      <c r="G990" s="3" t="s">
        <v>28</v>
      </c>
      <c r="H990" s="3" t="s">
        <v>29</v>
      </c>
      <c r="I990" s="3">
        <f>IF(C990="India",1,IF(C990="USA",INDEX('Currency Master'!B:B,MATCH(DATE(N990,MONTH(DATEVALUE(O990&amp;" 1")),1),'Currency Master'!A:A,0)),IF(C990="Australia",INDEX('Currency Master'!T:T,MATCH(DATE(N990,MONTH(DATEVALUE(O990&amp;" 1")),1),'Currency Master'!A:A,0)),"")))</f>
        <v>44.415067000000001</v>
      </c>
      <c r="J990" s="3">
        <f t="shared" si="60"/>
        <v>35584</v>
      </c>
      <c r="K990" s="3" t="str">
        <f t="shared" si="61"/>
        <v>₹/Candy</v>
      </c>
      <c r="L990" s="3">
        <v>-0.36116152450090699</v>
      </c>
      <c r="M990" s="3"/>
      <c r="N990" s="3">
        <f t="shared" si="62"/>
        <v>2011</v>
      </c>
      <c r="O990" s="3" t="str">
        <f t="shared" si="63"/>
        <v>July</v>
      </c>
      <c r="P990" s="3" t="s">
        <v>30</v>
      </c>
      <c r="Q990" s="3"/>
    </row>
    <row r="991" spans="1:17" hidden="1" x14ac:dyDescent="0.3">
      <c r="A991" s="2">
        <v>40695</v>
      </c>
      <c r="B991" s="3" t="s">
        <v>12</v>
      </c>
      <c r="C991" s="3" t="s">
        <v>19</v>
      </c>
      <c r="D991" s="3" t="s">
        <v>26</v>
      </c>
      <c r="E991" s="3" t="s">
        <v>27</v>
      </c>
      <c r="F991" s="3">
        <v>159.79</v>
      </c>
      <c r="G991" s="3" t="s">
        <v>28</v>
      </c>
      <c r="H991" s="3" t="s">
        <v>29</v>
      </c>
      <c r="I991" s="3">
        <f>IF(C991="India",1,IF(C991="USA",INDEX('Currency Master'!B:B,MATCH(DATE(N991,MONTH(DATEVALUE(O991&amp;" 1")),1),'Currency Master'!A:A,0)),IF(C991="Australia",INDEX('Currency Master'!T:T,MATCH(DATE(N991,MONTH(DATEVALUE(O991&amp;" 1")),1),'Currency Master'!A:A,0)),"")))</f>
        <v>44.842587000000002</v>
      </c>
      <c r="J991" s="3">
        <f t="shared" si="60"/>
        <v>56237</v>
      </c>
      <c r="K991" s="3" t="str">
        <f t="shared" si="61"/>
        <v>₹/Candy</v>
      </c>
      <c r="L991" s="3">
        <v>7.0586752379151498E-3</v>
      </c>
      <c r="M991" s="3"/>
      <c r="N991" s="3">
        <f t="shared" si="62"/>
        <v>2011</v>
      </c>
      <c r="O991" s="3" t="str">
        <f t="shared" si="63"/>
        <v>June</v>
      </c>
      <c r="P991" s="3" t="s">
        <v>30</v>
      </c>
      <c r="Q991" s="3"/>
    </row>
    <row r="992" spans="1:17" hidden="1" x14ac:dyDescent="0.3">
      <c r="A992" s="2">
        <v>40664</v>
      </c>
      <c r="B992" s="3" t="s">
        <v>12</v>
      </c>
      <c r="C992" s="3" t="s">
        <v>19</v>
      </c>
      <c r="D992" s="3" t="s">
        <v>26</v>
      </c>
      <c r="E992" s="3" t="s">
        <v>27</v>
      </c>
      <c r="F992" s="3">
        <v>158.66999999999999</v>
      </c>
      <c r="G992" s="3" t="s">
        <v>28</v>
      </c>
      <c r="H992" s="3" t="s">
        <v>29</v>
      </c>
      <c r="I992" s="3">
        <f>IF(C992="India",1,IF(C992="USA",INDEX('Currency Master'!B:B,MATCH(DATE(N992,MONTH(DATEVALUE(O992&amp;" 1")),1),'Currency Master'!A:A,0)),IF(C992="Australia",INDEX('Currency Master'!T:T,MATCH(DATE(N992,MONTH(DATEVALUE(O992&amp;" 1")),1),'Currency Master'!A:A,0)),"")))</f>
        <v>44.937699000000002</v>
      </c>
      <c r="J992" s="3">
        <f t="shared" si="60"/>
        <v>55962</v>
      </c>
      <c r="K992" s="3" t="str">
        <f t="shared" si="61"/>
        <v>₹/Candy</v>
      </c>
      <c r="L992" s="3">
        <v>-0.11248461796621601</v>
      </c>
      <c r="M992" s="3"/>
      <c r="N992" s="3">
        <f t="shared" si="62"/>
        <v>2011</v>
      </c>
      <c r="O992" s="3" t="str">
        <f t="shared" si="63"/>
        <v>May</v>
      </c>
      <c r="P992" s="3" t="s">
        <v>30</v>
      </c>
      <c r="Q992" s="3"/>
    </row>
    <row r="993" spans="1:17" hidden="1" x14ac:dyDescent="0.3">
      <c r="A993" s="2">
        <v>40634</v>
      </c>
      <c r="B993" s="3" t="s">
        <v>12</v>
      </c>
      <c r="C993" s="3" t="s">
        <v>19</v>
      </c>
      <c r="D993" s="3" t="s">
        <v>26</v>
      </c>
      <c r="E993" s="3" t="s">
        <v>27</v>
      </c>
      <c r="F993" s="3">
        <v>178.78</v>
      </c>
      <c r="G993" s="3" t="s">
        <v>28</v>
      </c>
      <c r="H993" s="3" t="s">
        <v>29</v>
      </c>
      <c r="I993" s="3">
        <f>IF(C993="India",1,IF(C993="USA",INDEX('Currency Master'!B:B,MATCH(DATE(N993,MONTH(DATEVALUE(O993&amp;" 1")),1),'Currency Master'!A:A,0)),IF(C993="Australia",INDEX('Currency Master'!T:T,MATCH(DATE(N993,MONTH(DATEVALUE(O993&amp;" 1")),1),'Currency Master'!A:A,0)),"")))</f>
        <v>44.394224999999999</v>
      </c>
      <c r="J993" s="3">
        <f t="shared" si="60"/>
        <v>62292</v>
      </c>
      <c r="K993" s="3" t="str">
        <f t="shared" si="61"/>
        <v>₹/Candy</v>
      </c>
      <c r="L993" s="3">
        <v>-0.107126804175198</v>
      </c>
      <c r="M993" s="3"/>
      <c r="N993" s="3">
        <f t="shared" si="62"/>
        <v>2011</v>
      </c>
      <c r="O993" s="3" t="str">
        <f t="shared" si="63"/>
        <v>April</v>
      </c>
      <c r="P993" s="3" t="s">
        <v>30</v>
      </c>
      <c r="Q993" s="3"/>
    </row>
    <row r="994" spans="1:17" hidden="1" x14ac:dyDescent="0.3">
      <c r="A994" s="2">
        <v>40603</v>
      </c>
      <c r="B994" s="3" t="s">
        <v>12</v>
      </c>
      <c r="C994" s="3" t="s">
        <v>19</v>
      </c>
      <c r="D994" s="3" t="s">
        <v>26</v>
      </c>
      <c r="E994" s="3" t="s">
        <v>27</v>
      </c>
      <c r="F994" s="3">
        <v>200.23</v>
      </c>
      <c r="G994" s="3" t="s">
        <v>28</v>
      </c>
      <c r="H994" s="3" t="s">
        <v>29</v>
      </c>
      <c r="I994" s="3">
        <f>IF(C994="India",1,IF(C994="USA",INDEX('Currency Master'!B:B,MATCH(DATE(N994,MONTH(DATEVALUE(O994&amp;" 1")),1),'Currency Master'!A:A,0)),IF(C994="Australia",INDEX('Currency Master'!T:T,MATCH(DATE(N994,MONTH(DATEVALUE(O994&amp;" 1")),1),'Currency Master'!A:A,0)),"")))</f>
        <v>44.971035999999998</v>
      </c>
      <c r="J994" s="3">
        <f t="shared" si="60"/>
        <v>70672</v>
      </c>
      <c r="K994" s="3" t="str">
        <f t="shared" si="61"/>
        <v>₹/Candy</v>
      </c>
      <c r="L994" s="3">
        <v>1.88784856503155E-2</v>
      </c>
      <c r="M994" s="3"/>
      <c r="N994" s="3">
        <f t="shared" si="62"/>
        <v>2011</v>
      </c>
      <c r="O994" s="3" t="str">
        <f t="shared" si="63"/>
        <v>March</v>
      </c>
      <c r="P994" s="3" t="s">
        <v>30</v>
      </c>
      <c r="Q994" s="3"/>
    </row>
    <row r="995" spans="1:17" hidden="1" x14ac:dyDescent="0.3">
      <c r="A995" s="2">
        <v>40575</v>
      </c>
      <c r="B995" s="3" t="s">
        <v>12</v>
      </c>
      <c r="C995" s="3" t="s">
        <v>19</v>
      </c>
      <c r="D995" s="3" t="s">
        <v>26</v>
      </c>
      <c r="E995" s="3" t="s">
        <v>27</v>
      </c>
      <c r="F995" s="3">
        <v>196.52</v>
      </c>
      <c r="G995" s="3" t="s">
        <v>28</v>
      </c>
      <c r="H995" s="3" t="s">
        <v>29</v>
      </c>
      <c r="I995" s="3">
        <f>IF(C995="India",1,IF(C995="USA",INDEX('Currency Master'!B:B,MATCH(DATE(N995,MONTH(DATEVALUE(O995&amp;" 1")),1),'Currency Master'!A:A,0)),IF(C995="Australia",INDEX('Currency Master'!T:T,MATCH(DATE(N995,MONTH(DATEVALUE(O995&amp;" 1")),1),'Currency Master'!A:A,0)),"")))</f>
        <v>45.435447000000003</v>
      </c>
      <c r="J995" s="3">
        <f t="shared" si="60"/>
        <v>70079</v>
      </c>
      <c r="K995" s="3" t="str">
        <f t="shared" si="61"/>
        <v>₹/Candy</v>
      </c>
      <c r="L995" s="3">
        <v>0.16670624554737601</v>
      </c>
      <c r="M995" s="3"/>
      <c r="N995" s="3">
        <f t="shared" si="62"/>
        <v>2011</v>
      </c>
      <c r="O995" s="3" t="str">
        <f t="shared" si="63"/>
        <v>February</v>
      </c>
      <c r="P995" s="3" t="s">
        <v>30</v>
      </c>
      <c r="Q995" s="3"/>
    </row>
    <row r="996" spans="1:17" hidden="1" x14ac:dyDescent="0.3">
      <c r="A996" s="2">
        <v>40544</v>
      </c>
      <c r="B996" s="3" t="s">
        <v>12</v>
      </c>
      <c r="C996" s="3" t="s">
        <v>19</v>
      </c>
      <c r="D996" s="3" t="s">
        <v>26</v>
      </c>
      <c r="E996" s="3" t="s">
        <v>27</v>
      </c>
      <c r="F996" s="3">
        <v>168.44</v>
      </c>
      <c r="G996" s="3" t="s">
        <v>28</v>
      </c>
      <c r="H996" s="3" t="s">
        <v>29</v>
      </c>
      <c r="I996" s="3">
        <f>IF(C996="India",1,IF(C996="USA",INDEX('Currency Master'!B:B,MATCH(DATE(N996,MONTH(DATEVALUE(O996&amp;" 1")),1),'Currency Master'!A:A,0)),IF(C996="Australia",INDEX('Currency Master'!T:T,MATCH(DATE(N996,MONTH(DATEVALUE(O996&amp;" 1")),1),'Currency Master'!A:A,0)),"")))</f>
        <v>45.444251999999999</v>
      </c>
      <c r="J996" s="3">
        <f t="shared" si="60"/>
        <v>60077</v>
      </c>
      <c r="K996" s="3" t="str">
        <f t="shared" si="61"/>
        <v>₹/Candy</v>
      </c>
      <c r="L996" s="3">
        <v>0.16317933844347801</v>
      </c>
      <c r="M996" s="3"/>
      <c r="N996" s="3">
        <f t="shared" si="62"/>
        <v>2011</v>
      </c>
      <c r="O996" s="3" t="str">
        <f t="shared" si="63"/>
        <v>January</v>
      </c>
      <c r="P996" s="3" t="s">
        <v>30</v>
      </c>
      <c r="Q996" s="3"/>
    </row>
    <row r="997" spans="1:17" hidden="1" x14ac:dyDescent="0.3">
      <c r="A997" s="2">
        <v>40513</v>
      </c>
      <c r="B997" s="3" t="s">
        <v>12</v>
      </c>
      <c r="C997" s="3" t="s">
        <v>19</v>
      </c>
      <c r="D997" s="3" t="s">
        <v>26</v>
      </c>
      <c r="E997" s="3" t="s">
        <v>27</v>
      </c>
      <c r="F997" s="3">
        <v>144.81</v>
      </c>
      <c r="G997" s="3" t="s">
        <v>28</v>
      </c>
      <c r="H997" s="3" t="s">
        <v>29</v>
      </c>
      <c r="I997" s="3">
        <f>IF(C997="India",1,IF(C997="USA",INDEX('Currency Master'!B:B,MATCH(DATE(N997,MONTH(DATEVALUE(O997&amp;" 1")),1),'Currency Master'!A:A,0)),IF(C997="Australia",INDEX('Currency Master'!T:T,MATCH(DATE(N997,MONTH(DATEVALUE(O997&amp;" 1")),1),'Currency Master'!A:A,0)),"")))</f>
        <v>45.119177999999998</v>
      </c>
      <c r="J997" s="3">
        <f t="shared" si="60"/>
        <v>51280</v>
      </c>
      <c r="K997" s="3" t="str">
        <f t="shared" si="61"/>
        <v>₹/Candy</v>
      </c>
      <c r="L997" s="3">
        <v>0.14719163431830801</v>
      </c>
      <c r="M997" s="3"/>
      <c r="N997" s="3">
        <f t="shared" si="62"/>
        <v>2010</v>
      </c>
      <c r="O997" s="3" t="str">
        <f t="shared" si="63"/>
        <v>December</v>
      </c>
      <c r="P997" s="3" t="s">
        <v>30</v>
      </c>
      <c r="Q997" s="3"/>
    </row>
    <row r="998" spans="1:17" hidden="1" x14ac:dyDescent="0.3">
      <c r="A998" s="2">
        <v>40483</v>
      </c>
      <c r="B998" s="3" t="s">
        <v>12</v>
      </c>
      <c r="C998" s="3" t="s">
        <v>19</v>
      </c>
      <c r="D998" s="3" t="s">
        <v>26</v>
      </c>
      <c r="E998" s="3" t="s">
        <v>27</v>
      </c>
      <c r="F998" s="3">
        <v>126.23</v>
      </c>
      <c r="G998" s="3" t="s">
        <v>28</v>
      </c>
      <c r="H998" s="3" t="s">
        <v>29</v>
      </c>
      <c r="I998" s="3">
        <f>IF(C998="India",1,IF(C998="USA",INDEX('Currency Master'!B:B,MATCH(DATE(N998,MONTH(DATEVALUE(O998&amp;" 1")),1),'Currency Master'!A:A,0)),IF(C998="Australia",INDEX('Currency Master'!T:T,MATCH(DATE(N998,MONTH(DATEVALUE(O998&amp;" 1")),1),'Currency Master'!A:A,0)),"")))</f>
        <v>44.998573999999998</v>
      </c>
      <c r="J998" s="3">
        <f t="shared" si="60"/>
        <v>44581</v>
      </c>
      <c r="K998" s="3" t="str">
        <f t="shared" si="61"/>
        <v>₹/Candy</v>
      </c>
      <c r="L998" s="3">
        <v>7.7438927031774404E-3</v>
      </c>
      <c r="M998" s="3"/>
      <c r="N998" s="3">
        <f t="shared" si="62"/>
        <v>2010</v>
      </c>
      <c r="O998" s="3" t="str">
        <f t="shared" si="63"/>
        <v>November</v>
      </c>
      <c r="P998" s="3" t="s">
        <v>30</v>
      </c>
      <c r="Q998" s="3"/>
    </row>
    <row r="999" spans="1:17" hidden="1" x14ac:dyDescent="0.3">
      <c r="A999" s="2">
        <v>40452</v>
      </c>
      <c r="B999" s="3" t="s">
        <v>12</v>
      </c>
      <c r="C999" s="3" t="s">
        <v>19</v>
      </c>
      <c r="D999" s="3" t="s">
        <v>26</v>
      </c>
      <c r="E999" s="3" t="s">
        <v>27</v>
      </c>
      <c r="F999" s="3">
        <v>125.26</v>
      </c>
      <c r="G999" s="3" t="s">
        <v>28</v>
      </c>
      <c r="H999" s="3" t="s">
        <v>29</v>
      </c>
      <c r="I999" s="3">
        <f>IF(C999="India",1,IF(C999="USA",INDEX('Currency Master'!B:B,MATCH(DATE(N999,MONTH(DATEVALUE(O999&amp;" 1")),1),'Currency Master'!A:A,0)),IF(C999="Australia",INDEX('Currency Master'!T:T,MATCH(DATE(N999,MONTH(DATEVALUE(O999&amp;" 1")),1),'Currency Master'!A:A,0)),"")))</f>
        <v>44.425030999999997</v>
      </c>
      <c r="J999" s="3">
        <f t="shared" si="60"/>
        <v>43674</v>
      </c>
      <c r="K999" s="3" t="str">
        <f t="shared" si="61"/>
        <v>₹/Candy</v>
      </c>
      <c r="L999" s="3">
        <v>0.20234210021117299</v>
      </c>
      <c r="M999" s="3"/>
      <c r="N999" s="3">
        <f t="shared" si="62"/>
        <v>2010</v>
      </c>
      <c r="O999" s="3" t="str">
        <f t="shared" si="63"/>
        <v>October</v>
      </c>
      <c r="P999" s="3" t="s">
        <v>30</v>
      </c>
      <c r="Q999" s="3"/>
    </row>
    <row r="1000" spans="1:17" hidden="1" x14ac:dyDescent="0.3">
      <c r="A1000" s="2">
        <v>40422</v>
      </c>
      <c r="B1000" s="3" t="s">
        <v>12</v>
      </c>
      <c r="C1000" s="3" t="s">
        <v>19</v>
      </c>
      <c r="D1000" s="3" t="s">
        <v>26</v>
      </c>
      <c r="E1000" s="3" t="s">
        <v>27</v>
      </c>
      <c r="F1000" s="3">
        <v>104.18</v>
      </c>
      <c r="G1000" s="3" t="s">
        <v>28</v>
      </c>
      <c r="H1000" s="3" t="s">
        <v>29</v>
      </c>
      <c r="I1000" s="3">
        <f>IF(C1000="India",1,IF(C1000="USA",INDEX('Currency Master'!B:B,MATCH(DATE(N1000,MONTH(DATEVALUE(O1000&amp;" 1")),1),'Currency Master'!A:A,0)),IF(C1000="Australia",INDEX('Currency Master'!T:T,MATCH(DATE(N1000,MONTH(DATEVALUE(O1000&amp;" 1")),1),'Currency Master'!A:A,0)),"")))</f>
        <v>45.990425999999999</v>
      </c>
      <c r="J1000" s="3">
        <f t="shared" si="60"/>
        <v>37604</v>
      </c>
      <c r="K1000" s="3" t="str">
        <f t="shared" si="61"/>
        <v>₹/Candy</v>
      </c>
      <c r="L1000" s="3">
        <v>0.16951055231252801</v>
      </c>
      <c r="M1000" s="3"/>
      <c r="N1000" s="3">
        <f t="shared" si="62"/>
        <v>2010</v>
      </c>
      <c r="O1000" s="3" t="str">
        <f t="shared" si="63"/>
        <v>September</v>
      </c>
      <c r="P1000" s="3" t="s">
        <v>30</v>
      </c>
      <c r="Q1000" s="3"/>
    </row>
    <row r="1001" spans="1:17" hidden="1" x14ac:dyDescent="0.3">
      <c r="A1001" s="2">
        <v>40391</v>
      </c>
      <c r="B1001" s="3" t="s">
        <v>12</v>
      </c>
      <c r="C1001" s="3" t="s">
        <v>19</v>
      </c>
      <c r="D1001" s="3" t="s">
        <v>26</v>
      </c>
      <c r="E1001" s="3" t="s">
        <v>27</v>
      </c>
      <c r="F1001" s="3">
        <v>89.08</v>
      </c>
      <c r="G1001" s="3" t="s">
        <v>28</v>
      </c>
      <c r="H1001" s="3" t="s">
        <v>29</v>
      </c>
      <c r="I1001" s="3">
        <f>IF(C1001="India",1,IF(C1001="USA",INDEX('Currency Master'!B:B,MATCH(DATE(N1001,MONTH(DATEVALUE(O1001&amp;" 1")),1),'Currency Master'!A:A,0)),IF(C1001="Australia",INDEX('Currency Master'!T:T,MATCH(DATE(N1001,MONTH(DATEVALUE(O1001&amp;" 1")),1),'Currency Master'!A:A,0)),"")))</f>
        <v>46.574164000000003</v>
      </c>
      <c r="J1001" s="3">
        <f t="shared" si="60"/>
        <v>32562</v>
      </c>
      <c r="K1001" s="3" t="str">
        <f t="shared" si="61"/>
        <v>₹/Candy</v>
      </c>
      <c r="L1001" s="3">
        <v>8.1593006313744401E-2</v>
      </c>
      <c r="M1001" s="3"/>
      <c r="N1001" s="3">
        <f t="shared" si="62"/>
        <v>2010</v>
      </c>
      <c r="O1001" s="3" t="str">
        <f t="shared" si="63"/>
        <v>August</v>
      </c>
      <c r="P1001" s="3" t="s">
        <v>30</v>
      </c>
      <c r="Q1001" s="3"/>
    </row>
    <row r="1002" spans="1:17" hidden="1" x14ac:dyDescent="0.3">
      <c r="A1002" s="2">
        <v>40360</v>
      </c>
      <c r="B1002" s="3" t="s">
        <v>12</v>
      </c>
      <c r="C1002" s="3" t="s">
        <v>19</v>
      </c>
      <c r="D1002" s="3" t="s">
        <v>26</v>
      </c>
      <c r="E1002" s="3" t="s">
        <v>27</v>
      </c>
      <c r="F1002" s="3">
        <v>82.36</v>
      </c>
      <c r="G1002" s="3" t="s">
        <v>28</v>
      </c>
      <c r="H1002" s="3" t="s">
        <v>29</v>
      </c>
      <c r="I1002" s="3">
        <f>IF(C1002="India",1,IF(C1002="USA",INDEX('Currency Master'!B:B,MATCH(DATE(N1002,MONTH(DATEVALUE(O1002&amp;" 1")),1),'Currency Master'!A:A,0)),IF(C1002="Australia",INDEX('Currency Master'!T:T,MATCH(DATE(N1002,MONTH(DATEVALUE(O1002&amp;" 1")),1),'Currency Master'!A:A,0)),"")))</f>
        <v>46.838614999999997</v>
      </c>
      <c r="J1002" s="3">
        <f t="shared" si="60"/>
        <v>30276</v>
      </c>
      <c r="K1002" s="3" t="str">
        <f t="shared" si="61"/>
        <v>₹/Candy</v>
      </c>
      <c r="L1002" s="3">
        <v>-2.9055690072639102E-3</v>
      </c>
      <c r="M1002" s="3"/>
      <c r="N1002" s="3">
        <f t="shared" si="62"/>
        <v>2010</v>
      </c>
      <c r="O1002" s="3" t="str">
        <f t="shared" si="63"/>
        <v>July</v>
      </c>
      <c r="P1002" s="3" t="s">
        <v>30</v>
      </c>
      <c r="Q1002" s="3"/>
    </row>
    <row r="1003" spans="1:17" hidden="1" x14ac:dyDescent="0.3">
      <c r="A1003" s="2">
        <v>40330</v>
      </c>
      <c r="B1003" s="3" t="s">
        <v>12</v>
      </c>
      <c r="C1003" s="3" t="s">
        <v>19</v>
      </c>
      <c r="D1003" s="3" t="s">
        <v>26</v>
      </c>
      <c r="E1003" s="3" t="s">
        <v>27</v>
      </c>
      <c r="F1003" s="3">
        <v>82.6</v>
      </c>
      <c r="G1003" s="3" t="s">
        <v>28</v>
      </c>
      <c r="H1003" s="3" t="s">
        <v>29</v>
      </c>
      <c r="I1003" s="3">
        <f>IF(C1003="India",1,IF(C1003="USA",INDEX('Currency Master'!B:B,MATCH(DATE(N1003,MONTH(DATEVALUE(O1003&amp;" 1")),1),'Currency Master'!A:A,0)),IF(C1003="Australia",INDEX('Currency Master'!T:T,MATCH(DATE(N1003,MONTH(DATEVALUE(O1003&amp;" 1")),1),'Currency Master'!A:A,0)),"")))</f>
        <v>46.563110999999999</v>
      </c>
      <c r="J1003" s="3">
        <f t="shared" si="60"/>
        <v>30186</v>
      </c>
      <c r="K1003" s="3" t="str">
        <f t="shared" si="61"/>
        <v>₹/Candy</v>
      </c>
      <c r="L1003" s="3">
        <v>3.1855090568394799E-2</v>
      </c>
      <c r="M1003" s="3"/>
      <c r="N1003" s="3">
        <f t="shared" si="62"/>
        <v>2010</v>
      </c>
      <c r="O1003" s="3" t="str">
        <f t="shared" si="63"/>
        <v>June</v>
      </c>
      <c r="P1003" s="3" t="s">
        <v>30</v>
      </c>
      <c r="Q1003" s="3"/>
    </row>
    <row r="1004" spans="1:17" hidden="1" x14ac:dyDescent="0.3">
      <c r="A1004" s="2">
        <v>40299</v>
      </c>
      <c r="B1004" s="3" t="s">
        <v>12</v>
      </c>
      <c r="C1004" s="3" t="s">
        <v>19</v>
      </c>
      <c r="D1004" s="3" t="s">
        <v>26</v>
      </c>
      <c r="E1004" s="3" t="s">
        <v>27</v>
      </c>
      <c r="F1004" s="3">
        <v>80.05</v>
      </c>
      <c r="G1004" s="3" t="s">
        <v>28</v>
      </c>
      <c r="H1004" s="3" t="s">
        <v>29</v>
      </c>
      <c r="I1004" s="3">
        <f>IF(C1004="India",1,IF(C1004="USA",INDEX('Currency Master'!B:B,MATCH(DATE(N1004,MONTH(DATEVALUE(O1004&amp;" 1")),1),'Currency Master'!A:A,0)),IF(C1004="Australia",INDEX('Currency Master'!T:T,MATCH(DATE(N1004,MONTH(DATEVALUE(O1004&amp;" 1")),1),'Currency Master'!A:A,0)),"")))</f>
        <v>45.882964999999999</v>
      </c>
      <c r="J1004" s="3">
        <f t="shared" si="60"/>
        <v>28827</v>
      </c>
      <c r="K1004" s="3" t="str">
        <f t="shared" si="61"/>
        <v>₹/Candy</v>
      </c>
      <c r="L1004" s="3">
        <v>-3.2745287578540401E-2</v>
      </c>
      <c r="M1004" s="3"/>
      <c r="N1004" s="3">
        <f t="shared" si="62"/>
        <v>2010</v>
      </c>
      <c r="O1004" s="3" t="str">
        <f t="shared" si="63"/>
        <v>May</v>
      </c>
      <c r="P1004" s="3" t="s">
        <v>30</v>
      </c>
      <c r="Q1004" s="3"/>
    </row>
    <row r="1005" spans="1:17" hidden="1" x14ac:dyDescent="0.3">
      <c r="A1005" s="2">
        <v>40269</v>
      </c>
      <c r="B1005" s="3" t="s">
        <v>12</v>
      </c>
      <c r="C1005" s="3" t="s">
        <v>19</v>
      </c>
      <c r="D1005" s="3" t="s">
        <v>26</v>
      </c>
      <c r="E1005" s="3" t="s">
        <v>27</v>
      </c>
      <c r="F1005" s="3">
        <v>82.76</v>
      </c>
      <c r="G1005" s="3" t="s">
        <v>28</v>
      </c>
      <c r="H1005" s="3" t="s">
        <v>29</v>
      </c>
      <c r="I1005" s="3">
        <f>IF(C1005="India",1,IF(C1005="USA",INDEX('Currency Master'!B:B,MATCH(DATE(N1005,MONTH(DATEVALUE(O1005&amp;" 1")),1),'Currency Master'!A:A,0)),IF(C1005="Australia",INDEX('Currency Master'!T:T,MATCH(DATE(N1005,MONTH(DATEVALUE(O1005&amp;" 1")),1),'Currency Master'!A:A,0)),"")))</f>
        <v>44.482931000000001</v>
      </c>
      <c r="J1005" s="3">
        <f t="shared" si="60"/>
        <v>28893</v>
      </c>
      <c r="K1005" s="3" t="str">
        <f t="shared" si="61"/>
        <v>₹/Candy</v>
      </c>
      <c r="L1005" s="3">
        <v>2.74363749224085E-2</v>
      </c>
      <c r="M1005" s="3"/>
      <c r="N1005" s="3">
        <f t="shared" si="62"/>
        <v>2010</v>
      </c>
      <c r="O1005" s="3" t="str">
        <f t="shared" si="63"/>
        <v>April</v>
      </c>
      <c r="P1005" s="3" t="s">
        <v>30</v>
      </c>
      <c r="Q1005" s="3"/>
    </row>
    <row r="1006" spans="1:17" hidden="1" x14ac:dyDescent="0.3">
      <c r="A1006" s="2">
        <v>40238</v>
      </c>
      <c r="B1006" s="3" t="s">
        <v>12</v>
      </c>
      <c r="C1006" s="3" t="s">
        <v>19</v>
      </c>
      <c r="D1006" s="3" t="s">
        <v>26</v>
      </c>
      <c r="E1006" s="3" t="s">
        <v>27</v>
      </c>
      <c r="F1006" s="3">
        <v>80.55</v>
      </c>
      <c r="G1006" s="3" t="s">
        <v>28</v>
      </c>
      <c r="H1006" s="3" t="s">
        <v>29</v>
      </c>
      <c r="I1006" s="3">
        <f>IF(C1006="India",1,IF(C1006="USA",INDEX('Currency Master'!B:B,MATCH(DATE(N1006,MONTH(DATEVALUE(O1006&amp;" 1")),1),'Currency Master'!A:A,0)),IF(C1006="Australia",INDEX('Currency Master'!T:T,MATCH(DATE(N1006,MONTH(DATEVALUE(O1006&amp;" 1")),1),'Currency Master'!A:A,0)),"")))</f>
        <v>45.481208000000002</v>
      </c>
      <c r="J1006" s="3">
        <f t="shared" si="60"/>
        <v>28753</v>
      </c>
      <c r="K1006" s="3" t="str">
        <f t="shared" si="61"/>
        <v>₹/Candy</v>
      </c>
      <c r="L1006" s="3">
        <v>-2.49364483718678E-2</v>
      </c>
      <c r="M1006" s="3"/>
      <c r="N1006" s="3">
        <f t="shared" si="62"/>
        <v>2010</v>
      </c>
      <c r="O1006" s="3" t="str">
        <f t="shared" si="63"/>
        <v>March</v>
      </c>
      <c r="P1006" s="3" t="s">
        <v>30</v>
      </c>
      <c r="Q1006" s="3"/>
    </row>
    <row r="1007" spans="1:17" hidden="1" x14ac:dyDescent="0.3">
      <c r="A1007" s="2">
        <v>40210</v>
      </c>
      <c r="B1007" s="3" t="s">
        <v>12</v>
      </c>
      <c r="C1007" s="3" t="s">
        <v>19</v>
      </c>
      <c r="D1007" s="3" t="s">
        <v>26</v>
      </c>
      <c r="E1007" s="3" t="s">
        <v>27</v>
      </c>
      <c r="F1007" s="3">
        <v>82.61</v>
      </c>
      <c r="G1007" s="3" t="s">
        <v>28</v>
      </c>
      <c r="H1007" s="3" t="s">
        <v>29</v>
      </c>
      <c r="I1007" s="3">
        <f>IF(C1007="India",1,IF(C1007="USA",INDEX('Currency Master'!B:B,MATCH(DATE(N1007,MONTH(DATEVALUE(O1007&amp;" 1")),1),'Currency Master'!A:A,0)),IF(C1007="Australia",INDEX('Currency Master'!T:T,MATCH(DATE(N1007,MONTH(DATEVALUE(O1007&amp;" 1")),1),'Currency Master'!A:A,0)),"")))</f>
        <v>46.333044000000001</v>
      </c>
      <c r="J1007" s="3">
        <f t="shared" si="60"/>
        <v>30041</v>
      </c>
      <c r="K1007" s="3" t="str">
        <f t="shared" si="61"/>
        <v>₹/Candy</v>
      </c>
      <c r="L1007" s="3">
        <v>0.196726061132841</v>
      </c>
      <c r="M1007" s="3"/>
      <c r="N1007" s="3">
        <f t="shared" si="62"/>
        <v>2010</v>
      </c>
      <c r="O1007" s="3" t="str">
        <f t="shared" si="63"/>
        <v>February</v>
      </c>
      <c r="P1007" s="3" t="s">
        <v>30</v>
      </c>
      <c r="Q1007" s="3"/>
    </row>
    <row r="1008" spans="1:17" hidden="1" x14ac:dyDescent="0.3">
      <c r="A1008" s="2">
        <v>40179</v>
      </c>
      <c r="B1008" s="3" t="s">
        <v>12</v>
      </c>
      <c r="C1008" s="3" t="s">
        <v>19</v>
      </c>
      <c r="D1008" s="3" t="s">
        <v>26</v>
      </c>
      <c r="E1008" s="3" t="s">
        <v>27</v>
      </c>
      <c r="F1008" s="3">
        <v>69.03</v>
      </c>
      <c r="G1008" s="3" t="s">
        <v>28</v>
      </c>
      <c r="H1008" s="3" t="s">
        <v>29</v>
      </c>
      <c r="I1008" s="3">
        <f>IF(C1008="India",1,IF(C1008="USA",INDEX('Currency Master'!B:B,MATCH(DATE(N1008,MONTH(DATEVALUE(O1008&amp;" 1")),1),'Currency Master'!A:A,0)),IF(C1008="Australia",INDEX('Currency Master'!T:T,MATCH(DATE(N1008,MONTH(DATEVALUE(O1008&amp;" 1")),1),'Currency Master'!A:A,0)),"")))</f>
        <v>45.932239000000003</v>
      </c>
      <c r="J1008" s="3">
        <f t="shared" si="60"/>
        <v>24885</v>
      </c>
      <c r="K1008" s="3" t="str">
        <f t="shared" si="61"/>
        <v>₹/Candy</v>
      </c>
      <c r="L1008" s="3">
        <v>-8.6904761904761804E-2</v>
      </c>
      <c r="M1008" s="3"/>
      <c r="N1008" s="3">
        <f t="shared" si="62"/>
        <v>2010</v>
      </c>
      <c r="O1008" s="3" t="str">
        <f t="shared" si="63"/>
        <v>January</v>
      </c>
      <c r="P1008" s="3" t="s">
        <v>30</v>
      </c>
      <c r="Q1008" s="3"/>
    </row>
    <row r="1009" spans="1:17" hidden="1" x14ac:dyDescent="0.3">
      <c r="A1009" s="2">
        <v>40148</v>
      </c>
      <c r="B1009" s="3" t="s">
        <v>12</v>
      </c>
      <c r="C1009" s="3" t="s">
        <v>19</v>
      </c>
      <c r="D1009" s="3" t="s">
        <v>26</v>
      </c>
      <c r="E1009" s="3" t="s">
        <v>27</v>
      </c>
      <c r="F1009" s="3">
        <v>75.599999999999994</v>
      </c>
      <c r="G1009" s="3" t="s">
        <v>28</v>
      </c>
      <c r="H1009" s="3" t="s">
        <v>29</v>
      </c>
      <c r="I1009" s="3">
        <f>IF(C1009="India",1,IF(C1009="USA",INDEX('Currency Master'!B:B,MATCH(DATE(N1009,MONTH(DATEVALUE(O1009&amp;" 1")),1),'Currency Master'!A:A,0)),IF(C1009="Australia",INDEX('Currency Master'!T:T,MATCH(DATE(N1009,MONTH(DATEVALUE(O1009&amp;" 1")),1),'Currency Master'!A:A,0)),"")))</f>
        <v>46.609853999999999</v>
      </c>
      <c r="J1009" s="3">
        <f t="shared" si="60"/>
        <v>27656</v>
      </c>
      <c r="K1009" s="3" t="str">
        <f t="shared" si="61"/>
        <v>₹/Candy</v>
      </c>
      <c r="L1009" s="3">
        <v>6.8551236749116604E-2</v>
      </c>
      <c r="M1009" s="3"/>
      <c r="N1009" s="3">
        <f t="shared" si="62"/>
        <v>2009</v>
      </c>
      <c r="O1009" s="3" t="str">
        <f t="shared" si="63"/>
        <v>December</v>
      </c>
      <c r="P1009" s="3" t="s">
        <v>30</v>
      </c>
      <c r="Q1009" s="3"/>
    </row>
    <row r="1010" spans="1:17" hidden="1" x14ac:dyDescent="0.3">
      <c r="A1010" s="2">
        <v>40118</v>
      </c>
      <c r="B1010" s="3" t="s">
        <v>12</v>
      </c>
      <c r="C1010" s="3" t="s">
        <v>19</v>
      </c>
      <c r="D1010" s="3" t="s">
        <v>26</v>
      </c>
      <c r="E1010" s="3" t="s">
        <v>27</v>
      </c>
      <c r="F1010" s="3">
        <v>70.75</v>
      </c>
      <c r="G1010" s="3" t="s">
        <v>28</v>
      </c>
      <c r="H1010" s="3" t="s">
        <v>29</v>
      </c>
      <c r="I1010" s="3">
        <f>IF(C1010="India",1,IF(C1010="USA",INDEX('Currency Master'!B:B,MATCH(DATE(N1010,MONTH(DATEVALUE(O1010&amp;" 1")),1),'Currency Master'!A:A,0)),IF(C1010="Australia",INDEX('Currency Master'!T:T,MATCH(DATE(N1010,MONTH(DATEVALUE(O1010&amp;" 1")),1),'Currency Master'!A:A,0)),"")))</f>
        <v>46.588317000000004</v>
      </c>
      <c r="J1010" s="3">
        <f t="shared" si="60"/>
        <v>25870</v>
      </c>
      <c r="K1010" s="3" t="str">
        <f t="shared" si="61"/>
        <v>₹/Candy</v>
      </c>
      <c r="L1010" s="3">
        <v>4.5978710821998899E-2</v>
      </c>
      <c r="M1010" s="3"/>
      <c r="N1010" s="3">
        <f t="shared" si="62"/>
        <v>2009</v>
      </c>
      <c r="O1010" s="3" t="str">
        <f t="shared" si="63"/>
        <v>November</v>
      </c>
      <c r="P1010" s="3" t="s">
        <v>30</v>
      </c>
      <c r="Q1010" s="3"/>
    </row>
    <row r="1011" spans="1:17" hidden="1" x14ac:dyDescent="0.3">
      <c r="A1011" s="2">
        <v>40087</v>
      </c>
      <c r="B1011" s="3" t="s">
        <v>12</v>
      </c>
      <c r="C1011" s="3" t="s">
        <v>19</v>
      </c>
      <c r="D1011" s="3" t="s">
        <v>26</v>
      </c>
      <c r="E1011" s="3" t="s">
        <v>27</v>
      </c>
      <c r="F1011" s="3">
        <v>67.64</v>
      </c>
      <c r="G1011" s="3" t="s">
        <v>28</v>
      </c>
      <c r="H1011" s="3" t="s">
        <v>29</v>
      </c>
      <c r="I1011" s="3">
        <f>IF(C1011="India",1,IF(C1011="USA",INDEX('Currency Master'!B:B,MATCH(DATE(N1011,MONTH(DATEVALUE(O1011&amp;" 1")),1),'Currency Master'!A:A,0)),IF(C1011="Australia",INDEX('Currency Master'!T:T,MATCH(DATE(N1011,MONTH(DATEVALUE(O1011&amp;" 1")),1),'Currency Master'!A:A,0)),"")))</f>
        <v>46.698188999999999</v>
      </c>
      <c r="J1011" s="3">
        <f t="shared" si="60"/>
        <v>24791</v>
      </c>
      <c r="K1011" s="3" t="str">
        <f t="shared" si="61"/>
        <v>₹/Candy</v>
      </c>
      <c r="L1011" s="3">
        <v>0.102706227583958</v>
      </c>
      <c r="M1011" s="3"/>
      <c r="N1011" s="3">
        <f t="shared" si="62"/>
        <v>2009</v>
      </c>
      <c r="O1011" s="3" t="str">
        <f t="shared" si="63"/>
        <v>October</v>
      </c>
      <c r="P1011" s="3" t="s">
        <v>30</v>
      </c>
      <c r="Q1011" s="3"/>
    </row>
    <row r="1012" spans="1:17" hidden="1" x14ac:dyDescent="0.3">
      <c r="A1012" s="2">
        <v>40057</v>
      </c>
      <c r="B1012" s="3" t="s">
        <v>12</v>
      </c>
      <c r="C1012" s="3" t="s">
        <v>19</v>
      </c>
      <c r="D1012" s="3" t="s">
        <v>26</v>
      </c>
      <c r="E1012" s="3" t="s">
        <v>27</v>
      </c>
      <c r="F1012" s="3">
        <v>61.34</v>
      </c>
      <c r="G1012" s="3" t="s">
        <v>28</v>
      </c>
      <c r="H1012" s="3" t="s">
        <v>29</v>
      </c>
      <c r="I1012" s="3">
        <f>IF(C1012="India",1,IF(C1012="USA",INDEX('Currency Master'!B:B,MATCH(DATE(N1012,MONTH(DATEVALUE(O1012&amp;" 1")),1),'Currency Master'!A:A,0)),IF(C1012="Australia",INDEX('Currency Master'!T:T,MATCH(DATE(N1012,MONTH(DATEVALUE(O1012&amp;" 1")),1),'Currency Master'!A:A,0)),"")))</f>
        <v>48.347239000000002</v>
      </c>
      <c r="J1012" s="3">
        <f t="shared" si="60"/>
        <v>23276</v>
      </c>
      <c r="K1012" s="3" t="str">
        <f t="shared" si="61"/>
        <v>₹/Candy</v>
      </c>
      <c r="L1012" s="3">
        <v>6.1980609418282699E-2</v>
      </c>
      <c r="M1012" s="3"/>
      <c r="N1012" s="3">
        <f t="shared" si="62"/>
        <v>2009</v>
      </c>
      <c r="O1012" s="3" t="str">
        <f t="shared" si="63"/>
        <v>September</v>
      </c>
      <c r="P1012" s="3" t="s">
        <v>30</v>
      </c>
      <c r="Q1012" s="3"/>
    </row>
    <row r="1013" spans="1:17" hidden="1" x14ac:dyDescent="0.3">
      <c r="A1013" s="2">
        <v>40026</v>
      </c>
      <c r="B1013" s="3" t="s">
        <v>12</v>
      </c>
      <c r="C1013" s="3" t="s">
        <v>19</v>
      </c>
      <c r="D1013" s="3" t="s">
        <v>26</v>
      </c>
      <c r="E1013" s="3" t="s">
        <v>27</v>
      </c>
      <c r="F1013" s="3">
        <v>57.76</v>
      </c>
      <c r="G1013" s="3" t="s">
        <v>28</v>
      </c>
      <c r="H1013" s="3" t="s">
        <v>29</v>
      </c>
      <c r="I1013" s="3">
        <f>IF(C1013="India",1,IF(C1013="USA",INDEX('Currency Master'!B:B,MATCH(DATE(N1013,MONTH(DATEVALUE(O1013&amp;" 1")),1),'Currency Master'!A:A,0)),IF(C1013="Australia",INDEX('Currency Master'!T:T,MATCH(DATE(N1013,MONTH(DATEVALUE(O1013&amp;" 1")),1),'Currency Master'!A:A,0)),"")))</f>
        <v>48.309133000000003</v>
      </c>
      <c r="J1013" s="3">
        <f t="shared" si="60"/>
        <v>21900</v>
      </c>
      <c r="K1013" s="3" t="str">
        <f t="shared" si="61"/>
        <v>₹/Candy</v>
      </c>
      <c r="L1013" s="3">
        <v>-2.9345762126704602E-3</v>
      </c>
      <c r="M1013" s="3"/>
      <c r="N1013" s="3">
        <f t="shared" si="62"/>
        <v>2009</v>
      </c>
      <c r="O1013" s="3" t="str">
        <f t="shared" si="63"/>
        <v>August</v>
      </c>
      <c r="P1013" s="3" t="s">
        <v>30</v>
      </c>
      <c r="Q1013" s="3"/>
    </row>
    <row r="1014" spans="1:17" hidden="1" x14ac:dyDescent="0.3">
      <c r="A1014" s="2">
        <v>39995</v>
      </c>
      <c r="B1014" s="3" t="s">
        <v>12</v>
      </c>
      <c r="C1014" s="3" t="s">
        <v>19</v>
      </c>
      <c r="D1014" s="3" t="s">
        <v>26</v>
      </c>
      <c r="E1014" s="3" t="s">
        <v>27</v>
      </c>
      <c r="F1014" s="3">
        <v>57.93</v>
      </c>
      <c r="G1014" s="3" t="s">
        <v>28</v>
      </c>
      <c r="H1014" s="3" t="s">
        <v>29</v>
      </c>
      <c r="I1014" s="3">
        <f>IF(C1014="India",1,IF(C1014="USA",INDEX('Currency Master'!B:B,MATCH(DATE(N1014,MONTH(DATEVALUE(O1014&amp;" 1")),1),'Currency Master'!A:A,0)),IF(C1014="Australia",INDEX('Currency Master'!T:T,MATCH(DATE(N1014,MONTH(DATEVALUE(O1014&amp;" 1")),1),'Currency Master'!A:A,0)),"")))</f>
        <v>48.414015999999997</v>
      </c>
      <c r="J1014" s="3">
        <f t="shared" si="60"/>
        <v>22012</v>
      </c>
      <c r="K1014" s="3" t="str">
        <f t="shared" si="61"/>
        <v>₹/Candy</v>
      </c>
      <c r="L1014" s="3">
        <v>8.6866791744840702E-2</v>
      </c>
      <c r="M1014" s="3"/>
      <c r="N1014" s="3">
        <f t="shared" si="62"/>
        <v>2009</v>
      </c>
      <c r="O1014" s="3" t="str">
        <f t="shared" si="63"/>
        <v>July</v>
      </c>
      <c r="P1014" s="3" t="s">
        <v>30</v>
      </c>
      <c r="Q1014" s="3"/>
    </row>
    <row r="1015" spans="1:17" hidden="1" x14ac:dyDescent="0.3">
      <c r="A1015" s="2">
        <v>39965</v>
      </c>
      <c r="B1015" s="3" t="s">
        <v>12</v>
      </c>
      <c r="C1015" s="3" t="s">
        <v>19</v>
      </c>
      <c r="D1015" s="3" t="s">
        <v>26</v>
      </c>
      <c r="E1015" s="3" t="s">
        <v>27</v>
      </c>
      <c r="F1015" s="3">
        <v>53.3</v>
      </c>
      <c r="G1015" s="3" t="s">
        <v>28</v>
      </c>
      <c r="H1015" s="3" t="s">
        <v>29</v>
      </c>
      <c r="I1015" s="3">
        <f>IF(C1015="India",1,IF(C1015="USA",INDEX('Currency Master'!B:B,MATCH(DATE(N1015,MONTH(DATEVALUE(O1015&amp;" 1")),1),'Currency Master'!A:A,0)),IF(C1015="Australia",INDEX('Currency Master'!T:T,MATCH(DATE(N1015,MONTH(DATEVALUE(O1015&amp;" 1")),1),'Currency Master'!A:A,0)),"")))</f>
        <v>47.743065000000001</v>
      </c>
      <c r="J1015" s="3">
        <f t="shared" si="60"/>
        <v>19972</v>
      </c>
      <c r="K1015" s="3" t="str">
        <f t="shared" si="61"/>
        <v>₹/Candy</v>
      </c>
      <c r="L1015" s="3">
        <v>-6.4419870107074007E-2</v>
      </c>
      <c r="M1015" s="3"/>
      <c r="N1015" s="3">
        <f t="shared" si="62"/>
        <v>2009</v>
      </c>
      <c r="O1015" s="3" t="str">
        <f t="shared" si="63"/>
        <v>June</v>
      </c>
      <c r="P1015" s="3" t="s">
        <v>30</v>
      </c>
      <c r="Q1015" s="3"/>
    </row>
    <row r="1016" spans="1:17" hidden="1" x14ac:dyDescent="0.3">
      <c r="A1016" s="2">
        <v>39934</v>
      </c>
      <c r="B1016" s="3" t="s">
        <v>12</v>
      </c>
      <c r="C1016" s="3" t="s">
        <v>19</v>
      </c>
      <c r="D1016" s="3" t="s">
        <v>26</v>
      </c>
      <c r="E1016" s="3" t="s">
        <v>27</v>
      </c>
      <c r="F1016" s="3">
        <v>56.97</v>
      </c>
      <c r="G1016" s="3" t="s">
        <v>28</v>
      </c>
      <c r="H1016" s="3" t="s">
        <v>29</v>
      </c>
      <c r="I1016" s="3">
        <f>IF(C1016="India",1,IF(C1016="USA",INDEX('Currency Master'!B:B,MATCH(DATE(N1016,MONTH(DATEVALUE(O1016&amp;" 1")),1),'Currency Master'!A:A,0)),IF(C1016="Australia",INDEX('Currency Master'!T:T,MATCH(DATE(N1016,MONTH(DATEVALUE(O1016&amp;" 1")),1),'Currency Master'!A:A,0)),"")))</f>
        <v>48.477646999999997</v>
      </c>
      <c r="J1016" s="3">
        <f t="shared" si="60"/>
        <v>21676</v>
      </c>
      <c r="K1016" s="3" t="str">
        <f t="shared" si="61"/>
        <v>₹/Candy</v>
      </c>
      <c r="L1016" s="3">
        <v>6.5058889512058293E-2</v>
      </c>
      <c r="M1016" s="3"/>
      <c r="N1016" s="3">
        <f t="shared" si="62"/>
        <v>2009</v>
      </c>
      <c r="O1016" s="3" t="str">
        <f t="shared" si="63"/>
        <v>May</v>
      </c>
      <c r="P1016" s="3" t="s">
        <v>30</v>
      </c>
      <c r="Q1016" s="3"/>
    </row>
    <row r="1017" spans="1:17" hidden="1" x14ac:dyDescent="0.3">
      <c r="A1017" s="2">
        <v>39904</v>
      </c>
      <c r="B1017" s="3" t="s">
        <v>12</v>
      </c>
      <c r="C1017" s="3" t="s">
        <v>19</v>
      </c>
      <c r="D1017" s="3" t="s">
        <v>26</v>
      </c>
      <c r="E1017" s="3" t="s">
        <v>27</v>
      </c>
      <c r="F1017" s="3">
        <v>53.49</v>
      </c>
      <c r="G1017" s="3" t="s">
        <v>28</v>
      </c>
      <c r="H1017" s="3" t="s">
        <v>29</v>
      </c>
      <c r="I1017" s="3">
        <f>IF(C1017="India",1,IF(C1017="USA",INDEX('Currency Master'!B:B,MATCH(DATE(N1017,MONTH(DATEVALUE(O1017&amp;" 1")),1),'Currency Master'!A:A,0)),IF(C1017="Australia",INDEX('Currency Master'!T:T,MATCH(DATE(N1017,MONTH(DATEVALUE(O1017&amp;" 1")),1),'Currency Master'!A:A,0)),"")))</f>
        <v>50.050842000000003</v>
      </c>
      <c r="J1017" s="3">
        <f t="shared" si="60"/>
        <v>21012</v>
      </c>
      <c r="K1017" s="3" t="str">
        <f t="shared" si="61"/>
        <v>₹/Candy</v>
      </c>
      <c r="L1017" s="3">
        <v>0.15106520335700499</v>
      </c>
      <c r="M1017" s="3"/>
      <c r="N1017" s="3">
        <f t="shared" si="62"/>
        <v>2009</v>
      </c>
      <c r="O1017" s="3" t="str">
        <f t="shared" si="63"/>
        <v>April</v>
      </c>
      <c r="P1017" s="3" t="s">
        <v>30</v>
      </c>
      <c r="Q1017" s="3"/>
    </row>
    <row r="1018" spans="1:17" hidden="1" x14ac:dyDescent="0.3">
      <c r="A1018" s="2">
        <v>39873</v>
      </c>
      <c r="B1018" s="3" t="s">
        <v>12</v>
      </c>
      <c r="C1018" s="3" t="s">
        <v>19</v>
      </c>
      <c r="D1018" s="3" t="s">
        <v>26</v>
      </c>
      <c r="E1018" s="3" t="s">
        <v>27</v>
      </c>
      <c r="F1018" s="3">
        <v>46.47</v>
      </c>
      <c r="G1018" s="3" t="s">
        <v>28</v>
      </c>
      <c r="H1018" s="3" t="s">
        <v>29</v>
      </c>
      <c r="I1018" s="3">
        <f>IF(C1018="India",1,IF(C1018="USA",INDEX('Currency Master'!B:B,MATCH(DATE(N1018,MONTH(DATEVALUE(O1018&amp;" 1")),1),'Currency Master'!A:A,0)),IF(C1018="Australia",INDEX('Currency Master'!T:T,MATCH(DATE(N1018,MONTH(DATEVALUE(O1018&amp;" 1")),1),'Currency Master'!A:A,0)),"")))</f>
        <v>51.214615000000002</v>
      </c>
      <c r="J1018" s="3">
        <f t="shared" si="60"/>
        <v>18679</v>
      </c>
      <c r="K1018" s="3" t="str">
        <f t="shared" si="61"/>
        <v>₹/Candy</v>
      </c>
      <c r="L1018" s="3">
        <v>0.104850213980028</v>
      </c>
      <c r="M1018" s="3"/>
      <c r="N1018" s="3">
        <f t="shared" si="62"/>
        <v>2009</v>
      </c>
      <c r="O1018" s="3" t="str">
        <f t="shared" si="63"/>
        <v>March</v>
      </c>
      <c r="P1018" s="3" t="s">
        <v>30</v>
      </c>
      <c r="Q1018" s="3"/>
    </row>
    <row r="1019" spans="1:17" hidden="1" x14ac:dyDescent="0.3">
      <c r="A1019" s="2">
        <v>39845</v>
      </c>
      <c r="B1019" s="3" t="s">
        <v>12</v>
      </c>
      <c r="C1019" s="3" t="s">
        <v>19</v>
      </c>
      <c r="D1019" s="3" t="s">
        <v>26</v>
      </c>
      <c r="E1019" s="3" t="s">
        <v>27</v>
      </c>
      <c r="F1019" s="3">
        <v>42.06</v>
      </c>
      <c r="G1019" s="3" t="s">
        <v>28</v>
      </c>
      <c r="H1019" s="3" t="s">
        <v>29</v>
      </c>
      <c r="I1019" s="3">
        <f>IF(C1019="India",1,IF(C1019="USA",INDEX('Currency Master'!B:B,MATCH(DATE(N1019,MONTH(DATEVALUE(O1019&amp;" 1")),1),'Currency Master'!A:A,0)),IF(C1019="Australia",INDEX('Currency Master'!T:T,MATCH(DATE(N1019,MONTH(DATEVALUE(O1019&amp;" 1")),1),'Currency Master'!A:A,0)),"")))</f>
        <v>49.304690999999998</v>
      </c>
      <c r="J1019" s="3">
        <f t="shared" si="60"/>
        <v>16276</v>
      </c>
      <c r="K1019" s="3" t="str">
        <f t="shared" si="61"/>
        <v>₹/Candy</v>
      </c>
      <c r="L1019" s="3">
        <v>-0.14875531268973899</v>
      </c>
      <c r="M1019" s="3"/>
      <c r="N1019" s="3">
        <f t="shared" si="62"/>
        <v>2009</v>
      </c>
      <c r="O1019" s="3" t="str">
        <f t="shared" si="63"/>
        <v>February</v>
      </c>
      <c r="P1019" s="3" t="s">
        <v>30</v>
      </c>
      <c r="Q1019" s="3"/>
    </row>
    <row r="1020" spans="1:17" hidden="1" x14ac:dyDescent="0.3">
      <c r="A1020" s="2">
        <v>39814</v>
      </c>
      <c r="B1020" s="3" t="s">
        <v>12</v>
      </c>
      <c r="C1020" s="3" t="s">
        <v>19</v>
      </c>
      <c r="D1020" s="3" t="s">
        <v>26</v>
      </c>
      <c r="E1020" s="3" t="s">
        <v>27</v>
      </c>
      <c r="F1020" s="3">
        <v>49.41</v>
      </c>
      <c r="G1020" s="3" t="s">
        <v>28</v>
      </c>
      <c r="H1020" s="3" t="s">
        <v>29</v>
      </c>
      <c r="I1020" s="3">
        <f>IF(C1020="India",1,IF(C1020="USA",INDEX('Currency Master'!B:B,MATCH(DATE(N1020,MONTH(DATEVALUE(O1020&amp;" 1")),1),'Currency Master'!A:A,0)),IF(C1020="Australia",INDEX('Currency Master'!T:T,MATCH(DATE(N1020,MONTH(DATEVALUE(O1020&amp;" 1")),1),'Currency Master'!A:A,0)),"")))</f>
        <v>48.705545000000001</v>
      </c>
      <c r="J1020" s="3">
        <f t="shared" si="60"/>
        <v>18888</v>
      </c>
      <c r="K1020" s="3" t="str">
        <f t="shared" si="61"/>
        <v>₹/Candy</v>
      </c>
      <c r="L1020" s="3">
        <v>7.9559363525090205E-3</v>
      </c>
      <c r="M1020" s="3"/>
      <c r="N1020" s="3">
        <f t="shared" si="62"/>
        <v>2009</v>
      </c>
      <c r="O1020" s="3" t="str">
        <f t="shared" si="63"/>
        <v>January</v>
      </c>
      <c r="P1020" s="3" t="s">
        <v>30</v>
      </c>
      <c r="Q1020" s="3"/>
    </row>
    <row r="1021" spans="1:17" hidden="1" x14ac:dyDescent="0.3">
      <c r="A1021" s="2">
        <v>39783</v>
      </c>
      <c r="B1021" s="3" t="s">
        <v>12</v>
      </c>
      <c r="C1021" s="3" t="s">
        <v>19</v>
      </c>
      <c r="D1021" s="3" t="s">
        <v>26</v>
      </c>
      <c r="E1021" s="3" t="s">
        <v>27</v>
      </c>
      <c r="F1021" s="3">
        <v>49.02</v>
      </c>
      <c r="G1021" s="3" t="s">
        <v>28</v>
      </c>
      <c r="H1021" s="3" t="s">
        <v>29</v>
      </c>
      <c r="I1021" s="3">
        <f>IF(C1021="India",1,IF(C1021="USA",INDEX('Currency Master'!B:B,MATCH(DATE(N1021,MONTH(DATEVALUE(O1021&amp;" 1")),1),'Currency Master'!A:A,0)),IF(C1021="Australia",INDEX('Currency Master'!T:T,MATCH(DATE(N1021,MONTH(DATEVALUE(O1021&amp;" 1")),1),'Currency Master'!A:A,0)),"")))</f>
        <v>48.581693999999999</v>
      </c>
      <c r="J1021" s="3">
        <f t="shared" si="60"/>
        <v>18691</v>
      </c>
      <c r="K1021" s="3" t="str">
        <f t="shared" si="61"/>
        <v>₹/Candy</v>
      </c>
      <c r="L1021" s="3">
        <v>7.1475409836065706E-2</v>
      </c>
      <c r="M1021" s="3"/>
      <c r="N1021" s="3">
        <f t="shared" si="62"/>
        <v>2008</v>
      </c>
      <c r="O1021" s="3" t="str">
        <f t="shared" si="63"/>
        <v>December</v>
      </c>
      <c r="P1021" s="3" t="s">
        <v>30</v>
      </c>
      <c r="Q1021" s="3"/>
    </row>
    <row r="1022" spans="1:17" hidden="1" x14ac:dyDescent="0.3">
      <c r="A1022" s="2">
        <v>39753</v>
      </c>
      <c r="B1022" s="3" t="s">
        <v>12</v>
      </c>
      <c r="C1022" s="3" t="s">
        <v>19</v>
      </c>
      <c r="D1022" s="3" t="s">
        <v>26</v>
      </c>
      <c r="E1022" s="3" t="s">
        <v>27</v>
      </c>
      <c r="F1022" s="3">
        <v>45.75</v>
      </c>
      <c r="G1022" s="3" t="s">
        <v>28</v>
      </c>
      <c r="H1022" s="3" t="s">
        <v>29</v>
      </c>
      <c r="I1022" s="3">
        <f>IF(C1022="India",1,IF(C1022="USA",INDEX('Currency Master'!B:B,MATCH(DATE(N1022,MONTH(DATEVALUE(O1022&amp;" 1")),1),'Currency Master'!A:A,0)),IF(C1022="Australia",INDEX('Currency Master'!T:T,MATCH(DATE(N1022,MONTH(DATEVALUE(O1022&amp;" 1")),1),'Currency Master'!A:A,0)),"")))</f>
        <v>48.889612</v>
      </c>
      <c r="J1022" s="3">
        <f t="shared" si="60"/>
        <v>17555</v>
      </c>
      <c r="K1022" s="3" t="str">
        <f t="shared" si="61"/>
        <v>₹/Candy</v>
      </c>
      <c r="L1022" s="3">
        <v>3.29645518175661E-2</v>
      </c>
      <c r="M1022" s="3"/>
      <c r="N1022" s="3">
        <f t="shared" si="62"/>
        <v>2008</v>
      </c>
      <c r="O1022" s="3" t="str">
        <f t="shared" si="63"/>
        <v>November</v>
      </c>
      <c r="P1022" s="3" t="s">
        <v>30</v>
      </c>
      <c r="Q1022" s="3"/>
    </row>
    <row r="1023" spans="1:17" hidden="1" x14ac:dyDescent="0.3">
      <c r="A1023" s="2">
        <v>39722</v>
      </c>
      <c r="B1023" s="3" t="s">
        <v>12</v>
      </c>
      <c r="C1023" s="3" t="s">
        <v>19</v>
      </c>
      <c r="D1023" s="3" t="s">
        <v>26</v>
      </c>
      <c r="E1023" s="3" t="s">
        <v>27</v>
      </c>
      <c r="F1023" s="3">
        <v>44.29</v>
      </c>
      <c r="G1023" s="3" t="s">
        <v>28</v>
      </c>
      <c r="H1023" s="3" t="s">
        <v>29</v>
      </c>
      <c r="I1023" s="3">
        <f>IF(C1023="India",1,IF(C1023="USA",INDEX('Currency Master'!B:B,MATCH(DATE(N1023,MONTH(DATEVALUE(O1023&amp;" 1")),1),'Currency Master'!A:A,0)),IF(C1023="Australia",INDEX('Currency Master'!T:T,MATCH(DATE(N1023,MONTH(DATEVALUE(O1023&amp;" 1")),1),'Currency Master'!A:A,0)),"")))</f>
        <v>48.623386000000004</v>
      </c>
      <c r="J1023" s="3">
        <f t="shared" si="60"/>
        <v>16902</v>
      </c>
      <c r="K1023" s="3" t="str">
        <f t="shared" si="61"/>
        <v>₹/Candy</v>
      </c>
      <c r="L1023" s="3">
        <v>-0.201981981981982</v>
      </c>
      <c r="M1023" s="3"/>
      <c r="N1023" s="3">
        <f t="shared" si="62"/>
        <v>2008</v>
      </c>
      <c r="O1023" s="3" t="str">
        <f t="shared" si="63"/>
        <v>October</v>
      </c>
      <c r="P1023" s="3" t="s">
        <v>30</v>
      </c>
      <c r="Q1023" s="3"/>
    </row>
    <row r="1024" spans="1:17" hidden="1" x14ac:dyDescent="0.3">
      <c r="A1024" s="2">
        <v>39692</v>
      </c>
      <c r="B1024" s="3" t="s">
        <v>12</v>
      </c>
      <c r="C1024" s="3" t="s">
        <v>19</v>
      </c>
      <c r="D1024" s="3" t="s">
        <v>26</v>
      </c>
      <c r="E1024" s="3" t="s">
        <v>27</v>
      </c>
      <c r="F1024" s="3">
        <v>55.5</v>
      </c>
      <c r="G1024" s="3" t="s">
        <v>28</v>
      </c>
      <c r="H1024" s="3" t="s">
        <v>29</v>
      </c>
      <c r="I1024" s="3">
        <f>IF(C1024="India",1,IF(C1024="USA",INDEX('Currency Master'!B:B,MATCH(DATE(N1024,MONTH(DATEVALUE(O1024&amp;" 1")),1),'Currency Master'!A:A,0)),IF(C1024="Australia",INDEX('Currency Master'!T:T,MATCH(DATE(N1024,MONTH(DATEVALUE(O1024&amp;" 1")),1),'Currency Master'!A:A,0)),"")))</f>
        <v>45.543497000000002</v>
      </c>
      <c r="J1024" s="3">
        <f t="shared" si="60"/>
        <v>19838</v>
      </c>
      <c r="K1024" s="3" t="str">
        <f t="shared" si="61"/>
        <v>₹/Candy</v>
      </c>
      <c r="L1024" s="3">
        <v>-0.178143047534429</v>
      </c>
      <c r="M1024" s="3"/>
      <c r="N1024" s="3">
        <f t="shared" si="62"/>
        <v>2008</v>
      </c>
      <c r="O1024" s="3" t="str">
        <f t="shared" si="63"/>
        <v>September</v>
      </c>
      <c r="P1024" s="3" t="s">
        <v>30</v>
      </c>
      <c r="Q1024" s="3"/>
    </row>
    <row r="1025" spans="1:17" hidden="1" x14ac:dyDescent="0.3">
      <c r="A1025" s="2">
        <v>39661</v>
      </c>
      <c r="B1025" s="3" t="s">
        <v>12</v>
      </c>
      <c r="C1025" s="3" t="s">
        <v>19</v>
      </c>
      <c r="D1025" s="3" t="s">
        <v>26</v>
      </c>
      <c r="E1025" s="3" t="s">
        <v>27</v>
      </c>
      <c r="F1025" s="3">
        <v>67.53</v>
      </c>
      <c r="G1025" s="3" t="s">
        <v>28</v>
      </c>
      <c r="H1025" s="3" t="s">
        <v>29</v>
      </c>
      <c r="I1025" s="3">
        <f>IF(C1025="India",1,IF(C1025="USA",INDEX('Currency Master'!B:B,MATCH(DATE(N1025,MONTH(DATEVALUE(O1025&amp;" 1")),1),'Currency Master'!A:A,0)),IF(C1025="Australia",INDEX('Currency Master'!T:T,MATCH(DATE(N1025,MONTH(DATEVALUE(O1025&amp;" 1")),1),'Currency Master'!A:A,0)),"")))</f>
        <v>42.977148999999997</v>
      </c>
      <c r="J1025" s="3">
        <f t="shared" si="60"/>
        <v>22778</v>
      </c>
      <c r="K1025" s="3" t="str">
        <f t="shared" si="61"/>
        <v>₹/Candy</v>
      </c>
      <c r="L1025" s="3">
        <v>-5.7501744591765602E-2</v>
      </c>
      <c r="M1025" s="3"/>
      <c r="N1025" s="3">
        <f t="shared" si="62"/>
        <v>2008</v>
      </c>
      <c r="O1025" s="3" t="str">
        <f t="shared" si="63"/>
        <v>August</v>
      </c>
      <c r="P1025" s="3" t="s">
        <v>30</v>
      </c>
      <c r="Q1025" s="3"/>
    </row>
    <row r="1026" spans="1:17" hidden="1" x14ac:dyDescent="0.3">
      <c r="A1026" s="2">
        <v>39630</v>
      </c>
      <c r="B1026" s="3" t="s">
        <v>12</v>
      </c>
      <c r="C1026" s="3" t="s">
        <v>19</v>
      </c>
      <c r="D1026" s="3" t="s">
        <v>26</v>
      </c>
      <c r="E1026" s="3" t="s">
        <v>27</v>
      </c>
      <c r="F1026" s="3">
        <v>71.650000000000006</v>
      </c>
      <c r="G1026" s="3" t="s">
        <v>28</v>
      </c>
      <c r="H1026" s="3" t="s">
        <v>29</v>
      </c>
      <c r="I1026" s="3">
        <f>IF(C1026="India",1,IF(C1026="USA",INDEX('Currency Master'!B:B,MATCH(DATE(N1026,MONTH(DATEVALUE(O1026&amp;" 1")),1),'Currency Master'!A:A,0)),IF(C1026="Australia",INDEX('Currency Master'!T:T,MATCH(DATE(N1026,MONTH(DATEVALUE(O1026&amp;" 1")),1),'Currency Master'!A:A,0)),"")))</f>
        <v>42.792571000000002</v>
      </c>
      <c r="J1026" s="3">
        <f t="shared" si="60"/>
        <v>24064</v>
      </c>
      <c r="K1026" s="3" t="str">
        <f t="shared" si="61"/>
        <v>₹/Candy</v>
      </c>
      <c r="L1026" s="3">
        <v>3.5014005602240798E-3</v>
      </c>
      <c r="M1026" s="3"/>
      <c r="N1026" s="3">
        <f t="shared" si="62"/>
        <v>2008</v>
      </c>
      <c r="O1026" s="3" t="str">
        <f t="shared" si="63"/>
        <v>July</v>
      </c>
      <c r="P1026" s="3" t="s">
        <v>30</v>
      </c>
      <c r="Q1026" s="3"/>
    </row>
    <row r="1027" spans="1:17" hidden="1" x14ac:dyDescent="0.3">
      <c r="A1027" s="2">
        <v>39600</v>
      </c>
      <c r="B1027" s="3" t="s">
        <v>12</v>
      </c>
      <c r="C1027" s="3" t="s">
        <v>19</v>
      </c>
      <c r="D1027" s="3" t="s">
        <v>26</v>
      </c>
      <c r="E1027" s="3" t="s">
        <v>27</v>
      </c>
      <c r="F1027" s="3">
        <v>71.400000000000006</v>
      </c>
      <c r="G1027" s="3" t="s">
        <v>28</v>
      </c>
      <c r="H1027" s="3" t="s">
        <v>29</v>
      </c>
      <c r="I1027" s="3">
        <f>IF(C1027="India",1,IF(C1027="USA",INDEX('Currency Master'!B:B,MATCH(DATE(N1027,MONTH(DATEVALUE(O1027&amp;" 1")),1),'Currency Master'!A:A,0)),IF(C1027="Australia",INDEX('Currency Master'!T:T,MATCH(DATE(N1027,MONTH(DATEVALUE(O1027&amp;" 1")),1),'Currency Master'!A:A,0)),"")))</f>
        <v>42.796739000000002</v>
      </c>
      <c r="J1027" s="3">
        <f t="shared" ref="J1027:J1090" si="64">IF(C1027="India",F1027,IF(C1027="USA",IF(G1027="US Cents/Lb",ROUND(((F1027/100)/0.453592)*I1027*356,0),F1027),IF(C1027="Australia",IF(G1027="AUc/kg",ROUND((F1027/100)*I1027,2),F1027),"")))</f>
        <v>23982</v>
      </c>
      <c r="K1027" s="3" t="str">
        <f t="shared" ref="K1027:K1090" si="65">IF(C1027="India",G1027,IF(C1027="USA","₹/Candy",IF(C1027="Australia","₹/Kg","")))</f>
        <v>₹/Candy</v>
      </c>
      <c r="L1027" s="3">
        <v>8.6096744752053797E-2</v>
      </c>
      <c r="M1027" s="3"/>
      <c r="N1027" s="3">
        <f t="shared" ref="N1027:N1090" si="66">YEAR(A1027)</f>
        <v>2008</v>
      </c>
      <c r="O1027" s="3" t="str">
        <f t="shared" ref="O1027:O1090" si="67">TEXT(A1027,"mmmm")</f>
        <v>June</v>
      </c>
      <c r="P1027" s="3" t="s">
        <v>30</v>
      </c>
      <c r="Q1027" s="3"/>
    </row>
    <row r="1028" spans="1:17" hidden="1" x14ac:dyDescent="0.3">
      <c r="A1028" s="2">
        <v>39569</v>
      </c>
      <c r="B1028" s="3" t="s">
        <v>12</v>
      </c>
      <c r="C1028" s="3" t="s">
        <v>19</v>
      </c>
      <c r="D1028" s="3" t="s">
        <v>26</v>
      </c>
      <c r="E1028" s="3" t="s">
        <v>27</v>
      </c>
      <c r="F1028" s="3">
        <v>65.739999999999995</v>
      </c>
      <c r="G1028" s="3" t="s">
        <v>28</v>
      </c>
      <c r="H1028" s="3" t="s">
        <v>29</v>
      </c>
      <c r="I1028" s="3">
        <f>IF(C1028="India",1,IF(C1028="USA",INDEX('Currency Master'!B:B,MATCH(DATE(N1028,MONTH(DATEVALUE(O1028&amp;" 1")),1),'Currency Master'!A:A,0)),IF(C1028="Australia",INDEX('Currency Master'!T:T,MATCH(DATE(N1028,MONTH(DATEVALUE(O1028&amp;" 1")),1),'Currency Master'!A:A,0)),"")))</f>
        <v>42.173889000000003</v>
      </c>
      <c r="J1028" s="3">
        <f t="shared" si="64"/>
        <v>21760</v>
      </c>
      <c r="K1028" s="3" t="str">
        <f t="shared" si="65"/>
        <v>₹/Candy</v>
      </c>
      <c r="L1028" s="3">
        <v>-4.3642711667151599E-2</v>
      </c>
      <c r="M1028" s="3"/>
      <c r="N1028" s="3">
        <f t="shared" si="66"/>
        <v>2008</v>
      </c>
      <c r="O1028" s="3" t="str">
        <f t="shared" si="67"/>
        <v>May</v>
      </c>
      <c r="P1028" s="3" t="s">
        <v>30</v>
      </c>
      <c r="Q1028" s="3"/>
    </row>
    <row r="1029" spans="1:17" hidden="1" x14ac:dyDescent="0.3">
      <c r="A1029" s="2">
        <v>39539</v>
      </c>
      <c r="B1029" s="3" t="s">
        <v>12</v>
      </c>
      <c r="C1029" s="3" t="s">
        <v>19</v>
      </c>
      <c r="D1029" s="3" t="s">
        <v>26</v>
      </c>
      <c r="E1029" s="3" t="s">
        <v>27</v>
      </c>
      <c r="F1029" s="3">
        <v>68.739999999999995</v>
      </c>
      <c r="G1029" s="3" t="s">
        <v>28</v>
      </c>
      <c r="H1029" s="3" t="s">
        <v>29</v>
      </c>
      <c r="I1029" s="3">
        <f>IF(C1029="India",1,IF(C1029="USA",INDEX('Currency Master'!B:B,MATCH(DATE(N1029,MONTH(DATEVALUE(O1029&amp;" 1")),1),'Currency Master'!A:A,0)),IF(C1029="Australia",INDEX('Currency Master'!T:T,MATCH(DATE(N1029,MONTH(DATEVALUE(O1029&amp;" 1")),1),'Currency Master'!A:A,0)),"")))</f>
        <v>39.997621000000002</v>
      </c>
      <c r="J1029" s="3">
        <f t="shared" si="64"/>
        <v>21579</v>
      </c>
      <c r="K1029" s="3" t="str">
        <f t="shared" si="65"/>
        <v>₹/Candy</v>
      </c>
      <c r="L1029" s="3">
        <v>-8.6530141332565903E-3</v>
      </c>
      <c r="M1029" s="3"/>
      <c r="N1029" s="3">
        <f t="shared" si="66"/>
        <v>2008</v>
      </c>
      <c r="O1029" s="3" t="str">
        <f t="shared" si="67"/>
        <v>April</v>
      </c>
      <c r="P1029" s="3" t="s">
        <v>30</v>
      </c>
      <c r="Q1029" s="3"/>
    </row>
    <row r="1030" spans="1:17" hidden="1" x14ac:dyDescent="0.3">
      <c r="A1030" s="2">
        <v>39508</v>
      </c>
      <c r="B1030" s="3" t="s">
        <v>12</v>
      </c>
      <c r="C1030" s="3" t="s">
        <v>19</v>
      </c>
      <c r="D1030" s="3" t="s">
        <v>26</v>
      </c>
      <c r="E1030" s="3" t="s">
        <v>27</v>
      </c>
      <c r="F1030" s="3">
        <v>69.34</v>
      </c>
      <c r="G1030" s="3" t="s">
        <v>28</v>
      </c>
      <c r="H1030" s="3" t="s">
        <v>29</v>
      </c>
      <c r="I1030" s="3">
        <f>IF(C1030="India",1,IF(C1030="USA",INDEX('Currency Master'!B:B,MATCH(DATE(N1030,MONTH(DATEVALUE(O1030&amp;" 1")),1),'Currency Master'!A:A,0)),IF(C1030="Australia",INDEX('Currency Master'!T:T,MATCH(DATE(N1030,MONTH(DATEVALUE(O1030&amp;" 1")),1),'Currency Master'!A:A,0)),"")))</f>
        <v>40.297643999999998</v>
      </c>
      <c r="J1030" s="3">
        <f t="shared" si="64"/>
        <v>21930</v>
      </c>
      <c r="K1030" s="3" t="str">
        <f t="shared" si="65"/>
        <v>₹/Candy</v>
      </c>
      <c r="L1030" s="3">
        <v>-0.129550590007532</v>
      </c>
      <c r="M1030" s="3"/>
      <c r="N1030" s="3">
        <f t="shared" si="66"/>
        <v>2008</v>
      </c>
      <c r="O1030" s="3" t="str">
        <f t="shared" si="67"/>
        <v>March</v>
      </c>
      <c r="P1030" s="3" t="s">
        <v>30</v>
      </c>
      <c r="Q1030" s="3"/>
    </row>
    <row r="1031" spans="1:17" hidden="1" x14ac:dyDescent="0.3">
      <c r="A1031" s="2">
        <v>39479</v>
      </c>
      <c r="B1031" s="3" t="s">
        <v>12</v>
      </c>
      <c r="C1031" s="3" t="s">
        <v>19</v>
      </c>
      <c r="D1031" s="3" t="s">
        <v>26</v>
      </c>
      <c r="E1031" s="3" t="s">
        <v>27</v>
      </c>
      <c r="F1031" s="3">
        <v>79.66</v>
      </c>
      <c r="G1031" s="3" t="s">
        <v>28</v>
      </c>
      <c r="H1031" s="3" t="s">
        <v>29</v>
      </c>
      <c r="I1031" s="3">
        <f>IF(C1031="India",1,IF(C1031="USA",INDEX('Currency Master'!B:B,MATCH(DATE(N1031,MONTH(DATEVALUE(O1031&amp;" 1")),1),'Currency Master'!A:A,0)),IF(C1031="Australia",INDEX('Currency Master'!T:T,MATCH(DATE(N1031,MONTH(DATEVALUE(O1031&amp;" 1")),1),'Currency Master'!A:A,0)),"")))</f>
        <v>39.692751999999999</v>
      </c>
      <c r="J1031" s="3">
        <f t="shared" si="64"/>
        <v>24816</v>
      </c>
      <c r="K1031" s="3" t="str">
        <f t="shared" si="65"/>
        <v>₹/Candy</v>
      </c>
      <c r="L1031" s="3">
        <v>0.17509957220829001</v>
      </c>
      <c r="M1031" s="3"/>
      <c r="N1031" s="3">
        <f t="shared" si="66"/>
        <v>2008</v>
      </c>
      <c r="O1031" s="3" t="str">
        <f t="shared" si="67"/>
        <v>February</v>
      </c>
      <c r="P1031" s="3" t="s">
        <v>30</v>
      </c>
      <c r="Q1031" s="3"/>
    </row>
    <row r="1032" spans="1:17" hidden="1" x14ac:dyDescent="0.3">
      <c r="A1032" s="2">
        <v>39448</v>
      </c>
      <c r="B1032" s="3" t="s">
        <v>12</v>
      </c>
      <c r="C1032" s="3" t="s">
        <v>19</v>
      </c>
      <c r="D1032" s="3" t="s">
        <v>26</v>
      </c>
      <c r="E1032" s="3" t="s">
        <v>27</v>
      </c>
      <c r="F1032" s="3">
        <v>67.790000000000006</v>
      </c>
      <c r="G1032" s="3" t="s">
        <v>28</v>
      </c>
      <c r="H1032" s="3" t="s">
        <v>29</v>
      </c>
      <c r="I1032" s="3">
        <f>IF(C1032="India",1,IF(C1032="USA",INDEX('Currency Master'!B:B,MATCH(DATE(N1032,MONTH(DATEVALUE(O1032&amp;" 1")),1),'Currency Master'!A:A,0)),IF(C1032="Australia",INDEX('Currency Master'!T:T,MATCH(DATE(N1032,MONTH(DATEVALUE(O1032&amp;" 1")),1),'Currency Master'!A:A,0)),"")))</f>
        <v>39.255623999999997</v>
      </c>
      <c r="J1032" s="3">
        <f t="shared" si="64"/>
        <v>20886</v>
      </c>
      <c r="K1032" s="3" t="str">
        <f t="shared" si="65"/>
        <v>₹/Candy</v>
      </c>
      <c r="L1032" s="3">
        <v>-3.2348184090574801E-3</v>
      </c>
      <c r="M1032" s="3"/>
      <c r="N1032" s="3">
        <f t="shared" si="66"/>
        <v>2008</v>
      </c>
      <c r="O1032" s="3" t="str">
        <f t="shared" si="67"/>
        <v>January</v>
      </c>
      <c r="P1032" s="3" t="s">
        <v>30</v>
      </c>
      <c r="Q1032" s="3"/>
    </row>
    <row r="1033" spans="1:17" hidden="1" x14ac:dyDescent="0.3">
      <c r="A1033" s="2">
        <v>39417</v>
      </c>
      <c r="B1033" s="3" t="s">
        <v>12</v>
      </c>
      <c r="C1033" s="3" t="s">
        <v>19</v>
      </c>
      <c r="D1033" s="3" t="s">
        <v>26</v>
      </c>
      <c r="E1033" s="3" t="s">
        <v>27</v>
      </c>
      <c r="F1033" s="3">
        <v>68.010000000000005</v>
      </c>
      <c r="G1033" s="3" t="s">
        <v>28</v>
      </c>
      <c r="H1033" s="3" t="s">
        <v>29</v>
      </c>
      <c r="I1033" s="3">
        <f>IF(C1033="India",1,IF(C1033="USA",INDEX('Currency Master'!B:B,MATCH(DATE(N1033,MONTH(DATEVALUE(O1033&amp;" 1")),1),'Currency Master'!A:A,0)),IF(C1033="Australia",INDEX('Currency Master'!T:T,MATCH(DATE(N1033,MONTH(DATEVALUE(O1033&amp;" 1")),1),'Currency Master'!A:A,0)),"")))</f>
        <v>39.353377000000002</v>
      </c>
      <c r="J1033" s="3">
        <f t="shared" si="64"/>
        <v>21006</v>
      </c>
      <c r="K1033" s="3" t="str">
        <f t="shared" si="65"/>
        <v>₹/Candy</v>
      </c>
      <c r="L1033" s="3">
        <v>0.16855670103092801</v>
      </c>
      <c r="M1033" s="3"/>
      <c r="N1033" s="3">
        <f t="shared" si="66"/>
        <v>2007</v>
      </c>
      <c r="O1033" s="3" t="str">
        <f t="shared" si="67"/>
        <v>December</v>
      </c>
      <c r="P1033" s="3" t="s">
        <v>30</v>
      </c>
      <c r="Q1033" s="3"/>
    </row>
    <row r="1034" spans="1:17" hidden="1" x14ac:dyDescent="0.3">
      <c r="A1034" s="2">
        <v>39387</v>
      </c>
      <c r="B1034" s="3" t="s">
        <v>12</v>
      </c>
      <c r="C1034" s="3" t="s">
        <v>19</v>
      </c>
      <c r="D1034" s="3" t="s">
        <v>26</v>
      </c>
      <c r="E1034" s="3" t="s">
        <v>27</v>
      </c>
      <c r="F1034" s="3">
        <v>58.2</v>
      </c>
      <c r="G1034" s="3" t="s">
        <v>28</v>
      </c>
      <c r="H1034" s="3" t="s">
        <v>29</v>
      </c>
      <c r="I1034" s="3">
        <f>IF(C1034="India",1,IF(C1034="USA",INDEX('Currency Master'!B:B,MATCH(DATE(N1034,MONTH(DATEVALUE(O1034&amp;" 1")),1),'Currency Master'!A:A,0)),IF(C1034="Australia",INDEX('Currency Master'!T:T,MATCH(DATE(N1034,MONTH(DATEVALUE(O1034&amp;" 1")),1),'Currency Master'!A:A,0)),"")))</f>
        <v>39.449016</v>
      </c>
      <c r="J1034" s="3">
        <f t="shared" si="64"/>
        <v>18020</v>
      </c>
      <c r="K1034" s="3" t="str">
        <f t="shared" si="65"/>
        <v>₹/Candy</v>
      </c>
      <c r="L1034" s="3">
        <v>-9.1760299625468097E-2</v>
      </c>
      <c r="M1034" s="3"/>
      <c r="N1034" s="3">
        <f t="shared" si="66"/>
        <v>2007</v>
      </c>
      <c r="O1034" s="3" t="str">
        <f t="shared" si="67"/>
        <v>November</v>
      </c>
      <c r="P1034" s="3" t="s">
        <v>30</v>
      </c>
      <c r="Q1034" s="3"/>
    </row>
    <row r="1035" spans="1:17" hidden="1" x14ac:dyDescent="0.3">
      <c r="A1035" s="2">
        <v>39356</v>
      </c>
      <c r="B1035" s="3" t="s">
        <v>12</v>
      </c>
      <c r="C1035" s="3" t="s">
        <v>19</v>
      </c>
      <c r="D1035" s="3" t="s">
        <v>26</v>
      </c>
      <c r="E1035" s="3" t="s">
        <v>27</v>
      </c>
      <c r="F1035" s="3">
        <v>64.08</v>
      </c>
      <c r="G1035" s="3" t="s">
        <v>28</v>
      </c>
      <c r="H1035" s="3" t="s">
        <v>29</v>
      </c>
      <c r="I1035" s="3">
        <f>IF(C1035="India",1,IF(C1035="USA",INDEX('Currency Master'!B:B,MATCH(DATE(N1035,MONTH(DATEVALUE(O1035&amp;" 1")),1),'Currency Master'!A:A,0)),IF(C1035="Australia",INDEX('Currency Master'!T:T,MATCH(DATE(N1035,MONTH(DATEVALUE(O1035&amp;" 1")),1),'Currency Master'!A:A,0)),"")))</f>
        <v>39.456456000000003</v>
      </c>
      <c r="J1035" s="3">
        <f t="shared" si="64"/>
        <v>19844</v>
      </c>
      <c r="K1035" s="3" t="str">
        <f t="shared" si="65"/>
        <v>₹/Candy</v>
      </c>
      <c r="L1035" s="3">
        <v>3.2715551974214399E-2</v>
      </c>
      <c r="M1035" s="3"/>
      <c r="N1035" s="3">
        <f t="shared" si="66"/>
        <v>2007</v>
      </c>
      <c r="O1035" s="3" t="str">
        <f t="shared" si="67"/>
        <v>October</v>
      </c>
      <c r="P1035" s="3" t="s">
        <v>30</v>
      </c>
      <c r="Q1035" s="3"/>
    </row>
    <row r="1036" spans="1:17" hidden="1" x14ac:dyDescent="0.3">
      <c r="A1036" s="2">
        <v>39326</v>
      </c>
      <c r="B1036" s="3" t="s">
        <v>12</v>
      </c>
      <c r="C1036" s="3" t="s">
        <v>19</v>
      </c>
      <c r="D1036" s="3" t="s">
        <v>26</v>
      </c>
      <c r="E1036" s="3" t="s">
        <v>27</v>
      </c>
      <c r="F1036" s="3">
        <v>62.05</v>
      </c>
      <c r="G1036" s="3" t="s">
        <v>28</v>
      </c>
      <c r="H1036" s="3" t="s">
        <v>29</v>
      </c>
      <c r="I1036" s="3">
        <f>IF(C1036="India",1,IF(C1036="USA",INDEX('Currency Master'!B:B,MATCH(DATE(N1036,MONTH(DATEVALUE(O1036&amp;" 1")),1),'Currency Master'!A:A,0)),IF(C1036="Australia",INDEX('Currency Master'!T:T,MATCH(DATE(N1036,MONTH(DATEVALUE(O1036&amp;" 1")),1),'Currency Master'!A:A,0)),"")))</f>
        <v>40.151006000000002</v>
      </c>
      <c r="J1036" s="3">
        <f t="shared" si="64"/>
        <v>19553</v>
      </c>
      <c r="K1036" s="3" t="str">
        <f t="shared" si="65"/>
        <v>₹/Candy</v>
      </c>
      <c r="L1036" s="3">
        <v>5.4017326312213503E-2</v>
      </c>
      <c r="M1036" s="3"/>
      <c r="N1036" s="3">
        <f t="shared" si="66"/>
        <v>2007</v>
      </c>
      <c r="O1036" s="3" t="str">
        <f t="shared" si="67"/>
        <v>September</v>
      </c>
      <c r="P1036" s="3" t="s">
        <v>30</v>
      </c>
      <c r="Q1036" s="3"/>
    </row>
    <row r="1037" spans="1:17" hidden="1" x14ac:dyDescent="0.3">
      <c r="A1037" s="2">
        <v>39295</v>
      </c>
      <c r="B1037" s="3" t="s">
        <v>12</v>
      </c>
      <c r="C1037" s="3" t="s">
        <v>19</v>
      </c>
      <c r="D1037" s="3" t="s">
        <v>26</v>
      </c>
      <c r="E1037" s="3" t="s">
        <v>27</v>
      </c>
      <c r="F1037" s="3">
        <v>58.87</v>
      </c>
      <c r="G1037" s="3" t="s">
        <v>28</v>
      </c>
      <c r="H1037" s="3" t="s">
        <v>29</v>
      </c>
      <c r="I1037" s="3">
        <f>IF(C1037="India",1,IF(C1037="USA",INDEX('Currency Master'!B:B,MATCH(DATE(N1037,MONTH(DATEVALUE(O1037&amp;" 1")),1),'Currency Master'!A:A,0)),IF(C1037="Australia",INDEX('Currency Master'!T:T,MATCH(DATE(N1037,MONTH(DATEVALUE(O1037&amp;" 1")),1),'Currency Master'!A:A,0)),"")))</f>
        <v>40.698644000000002</v>
      </c>
      <c r="J1037" s="3">
        <f t="shared" si="64"/>
        <v>18804</v>
      </c>
      <c r="K1037" s="3" t="str">
        <f t="shared" si="65"/>
        <v>₹/Candy</v>
      </c>
      <c r="L1037" s="3">
        <v>-6.5555555555555603E-2</v>
      </c>
      <c r="M1037" s="3"/>
      <c r="N1037" s="3">
        <f t="shared" si="66"/>
        <v>2007</v>
      </c>
      <c r="O1037" s="3" t="str">
        <f t="shared" si="67"/>
        <v>August</v>
      </c>
      <c r="P1037" s="3" t="s">
        <v>30</v>
      </c>
      <c r="Q1037" s="3"/>
    </row>
    <row r="1038" spans="1:17" hidden="1" x14ac:dyDescent="0.3">
      <c r="A1038" s="2">
        <v>39264</v>
      </c>
      <c r="B1038" s="3" t="s">
        <v>12</v>
      </c>
      <c r="C1038" s="3" t="s">
        <v>19</v>
      </c>
      <c r="D1038" s="3" t="s">
        <v>26</v>
      </c>
      <c r="E1038" s="3" t="s">
        <v>27</v>
      </c>
      <c r="F1038" s="3">
        <v>63</v>
      </c>
      <c r="G1038" s="3" t="s">
        <v>28</v>
      </c>
      <c r="H1038" s="3" t="s">
        <v>29</v>
      </c>
      <c r="I1038" s="3">
        <f>IF(C1038="India",1,IF(C1038="USA",INDEX('Currency Master'!B:B,MATCH(DATE(N1038,MONTH(DATEVALUE(O1038&amp;" 1")),1),'Currency Master'!A:A,0)),IF(C1038="Australia",INDEX('Currency Master'!T:T,MATCH(DATE(N1038,MONTH(DATEVALUE(O1038&amp;" 1")),1),'Currency Master'!A:A,0)),"")))</f>
        <v>40.295696999999997</v>
      </c>
      <c r="J1038" s="3">
        <f t="shared" si="64"/>
        <v>19924</v>
      </c>
      <c r="K1038" s="3" t="str">
        <f t="shared" si="65"/>
        <v>₹/Candy</v>
      </c>
      <c r="L1038" s="3">
        <v>7.69230769230769E-2</v>
      </c>
      <c r="M1038" s="3"/>
      <c r="N1038" s="3">
        <f t="shared" si="66"/>
        <v>2007</v>
      </c>
      <c r="O1038" s="3" t="str">
        <f t="shared" si="67"/>
        <v>July</v>
      </c>
      <c r="P1038" s="3" t="s">
        <v>30</v>
      </c>
      <c r="Q1038" s="3"/>
    </row>
    <row r="1039" spans="1:17" hidden="1" x14ac:dyDescent="0.3">
      <c r="A1039" s="2">
        <v>39234</v>
      </c>
      <c r="B1039" s="3" t="s">
        <v>12</v>
      </c>
      <c r="C1039" s="3" t="s">
        <v>19</v>
      </c>
      <c r="D1039" s="3" t="s">
        <v>26</v>
      </c>
      <c r="E1039" s="3" t="s">
        <v>27</v>
      </c>
      <c r="F1039" s="3">
        <v>58.5</v>
      </c>
      <c r="G1039" s="3" t="s">
        <v>28</v>
      </c>
      <c r="H1039" s="3" t="s">
        <v>29</v>
      </c>
      <c r="I1039" s="3">
        <f>IF(C1039="India",1,IF(C1039="USA",INDEX('Currency Master'!B:B,MATCH(DATE(N1039,MONTH(DATEVALUE(O1039&amp;" 1")),1),'Currency Master'!A:A,0)),IF(C1039="Australia",INDEX('Currency Master'!T:T,MATCH(DATE(N1039,MONTH(DATEVALUE(O1039&amp;" 1")),1),'Currency Master'!A:A,0)),"")))</f>
        <v>40.579379000000003</v>
      </c>
      <c r="J1039" s="3">
        <f t="shared" si="64"/>
        <v>18631</v>
      </c>
      <c r="K1039" s="3" t="str">
        <f t="shared" si="65"/>
        <v>₹/Candy</v>
      </c>
      <c r="L1039" s="3">
        <v>0.14593535749265399</v>
      </c>
      <c r="M1039" s="3"/>
      <c r="N1039" s="3">
        <f t="shared" si="66"/>
        <v>2007</v>
      </c>
      <c r="O1039" s="3" t="str">
        <f t="shared" si="67"/>
        <v>June</v>
      </c>
      <c r="P1039" s="3" t="s">
        <v>30</v>
      </c>
      <c r="Q1039" s="3"/>
    </row>
    <row r="1040" spans="1:17" hidden="1" x14ac:dyDescent="0.3">
      <c r="A1040" s="2">
        <v>39203</v>
      </c>
      <c r="B1040" s="3" t="s">
        <v>12</v>
      </c>
      <c r="C1040" s="3" t="s">
        <v>19</v>
      </c>
      <c r="D1040" s="3" t="s">
        <v>26</v>
      </c>
      <c r="E1040" s="3" t="s">
        <v>27</v>
      </c>
      <c r="F1040" s="3">
        <v>51.05</v>
      </c>
      <c r="G1040" s="3" t="s">
        <v>28</v>
      </c>
      <c r="H1040" s="3" t="s">
        <v>29</v>
      </c>
      <c r="I1040" s="3">
        <f>IF(C1040="India",1,IF(C1040="USA",INDEX('Currency Master'!B:B,MATCH(DATE(N1040,MONTH(DATEVALUE(O1040&amp;" 1")),1),'Currency Master'!A:A,0)),IF(C1040="Australia",INDEX('Currency Master'!T:T,MATCH(DATE(N1040,MONTH(DATEVALUE(O1040&amp;" 1")),1),'Currency Master'!A:A,0)),"")))</f>
        <v>40.607689999999998</v>
      </c>
      <c r="J1040" s="3">
        <f t="shared" si="64"/>
        <v>16270</v>
      </c>
      <c r="K1040" s="3" t="str">
        <f t="shared" si="65"/>
        <v>₹/Candy</v>
      </c>
      <c r="L1040" s="3">
        <v>8.0423280423280299E-2</v>
      </c>
      <c r="M1040" s="3"/>
      <c r="N1040" s="3">
        <f t="shared" si="66"/>
        <v>2007</v>
      </c>
      <c r="O1040" s="3" t="str">
        <f t="shared" si="67"/>
        <v>May</v>
      </c>
      <c r="P1040" s="3" t="s">
        <v>30</v>
      </c>
      <c r="Q1040" s="3"/>
    </row>
    <row r="1041" spans="1:17" hidden="1" x14ac:dyDescent="0.3">
      <c r="A1041" s="2">
        <v>39173</v>
      </c>
      <c r="B1041" s="3" t="s">
        <v>12</v>
      </c>
      <c r="C1041" s="3" t="s">
        <v>19</v>
      </c>
      <c r="D1041" s="3" t="s">
        <v>26</v>
      </c>
      <c r="E1041" s="3" t="s">
        <v>27</v>
      </c>
      <c r="F1041" s="3">
        <v>47.25</v>
      </c>
      <c r="G1041" s="3" t="s">
        <v>28</v>
      </c>
      <c r="H1041" s="3" t="s">
        <v>29</v>
      </c>
      <c r="I1041" s="3">
        <f>IF(C1041="India",1,IF(C1041="USA",INDEX('Currency Master'!B:B,MATCH(DATE(N1041,MONTH(DATEVALUE(O1041&amp;" 1")),1),'Currency Master'!A:A,0)),IF(C1041="Australia",INDEX('Currency Master'!T:T,MATCH(DATE(N1041,MONTH(DATEVALUE(O1041&amp;" 1")),1),'Currency Master'!A:A,0)),"")))</f>
        <v>41.925714999999997</v>
      </c>
      <c r="J1041" s="3">
        <f t="shared" si="64"/>
        <v>15548</v>
      </c>
      <c r="K1041" s="3" t="str">
        <f t="shared" si="65"/>
        <v>₹/Candy</v>
      </c>
      <c r="L1041" s="3">
        <v>-0.11797647937278299</v>
      </c>
      <c r="M1041" s="3"/>
      <c r="N1041" s="3">
        <f t="shared" si="66"/>
        <v>2007</v>
      </c>
      <c r="O1041" s="3" t="str">
        <f t="shared" si="67"/>
        <v>April</v>
      </c>
      <c r="P1041" s="3" t="s">
        <v>30</v>
      </c>
      <c r="Q1041" s="3"/>
    </row>
    <row r="1042" spans="1:17" hidden="1" x14ac:dyDescent="0.3">
      <c r="A1042" s="2">
        <v>39142</v>
      </c>
      <c r="B1042" s="3" t="s">
        <v>12</v>
      </c>
      <c r="C1042" s="3" t="s">
        <v>19</v>
      </c>
      <c r="D1042" s="3" t="s">
        <v>26</v>
      </c>
      <c r="E1042" s="3" t="s">
        <v>27</v>
      </c>
      <c r="F1042" s="3">
        <v>53.57</v>
      </c>
      <c r="G1042" s="3" t="s">
        <v>28</v>
      </c>
      <c r="H1042" s="3" t="s">
        <v>29</v>
      </c>
      <c r="I1042" s="3">
        <f>IF(C1042="India",1,IF(C1042="USA",INDEX('Currency Master'!B:B,MATCH(DATE(N1042,MONTH(DATEVALUE(O1042&amp;" 1")),1),'Currency Master'!A:A,0)),IF(C1042="Australia",INDEX('Currency Master'!T:T,MATCH(DATE(N1042,MONTH(DATEVALUE(O1042&amp;" 1")),1),'Currency Master'!A:A,0)),"")))</f>
        <v>43.834656000000003</v>
      </c>
      <c r="J1042" s="3">
        <f t="shared" si="64"/>
        <v>18430</v>
      </c>
      <c r="K1042" s="3" t="str">
        <f t="shared" si="65"/>
        <v>₹/Candy</v>
      </c>
      <c r="L1042" s="3">
        <v>-3.5643564356435599E-2</v>
      </c>
      <c r="M1042" s="3"/>
      <c r="N1042" s="3">
        <f t="shared" si="66"/>
        <v>2007</v>
      </c>
      <c r="O1042" s="3" t="str">
        <f t="shared" si="67"/>
        <v>March</v>
      </c>
      <c r="P1042" s="3" t="s">
        <v>30</v>
      </c>
      <c r="Q1042" s="3"/>
    </row>
    <row r="1043" spans="1:17" hidden="1" x14ac:dyDescent="0.3">
      <c r="A1043" s="2">
        <v>39114</v>
      </c>
      <c r="B1043" s="3" t="s">
        <v>12</v>
      </c>
      <c r="C1043" s="3" t="s">
        <v>19</v>
      </c>
      <c r="D1043" s="3" t="s">
        <v>26</v>
      </c>
      <c r="E1043" s="3" t="s">
        <v>27</v>
      </c>
      <c r="F1043" s="3">
        <v>55.55</v>
      </c>
      <c r="G1043" s="3" t="s">
        <v>28</v>
      </c>
      <c r="H1043" s="3" t="s">
        <v>29</v>
      </c>
      <c r="I1043" s="3">
        <f>IF(C1043="India",1,IF(C1043="USA",INDEX('Currency Master'!B:B,MATCH(DATE(N1043,MONTH(DATEVALUE(O1043&amp;" 1")),1),'Currency Master'!A:A,0)),IF(C1043="Australia",INDEX('Currency Master'!T:T,MATCH(DATE(N1043,MONTH(DATEVALUE(O1043&amp;" 1")),1),'Currency Master'!A:A,0)),"")))</f>
        <v>44.003734999999999</v>
      </c>
      <c r="J1043" s="3">
        <f t="shared" si="64"/>
        <v>19185</v>
      </c>
      <c r="K1043" s="3" t="str">
        <f t="shared" si="65"/>
        <v>₹/Candy</v>
      </c>
      <c r="L1043" s="3">
        <v>2.87037037037037E-2</v>
      </c>
      <c r="M1043" s="3"/>
      <c r="N1043" s="3">
        <f t="shared" si="66"/>
        <v>2007</v>
      </c>
      <c r="O1043" s="3" t="str">
        <f t="shared" si="67"/>
        <v>February</v>
      </c>
      <c r="P1043" s="3" t="s">
        <v>30</v>
      </c>
      <c r="Q1043" s="3"/>
    </row>
    <row r="1044" spans="1:17" hidden="1" x14ac:dyDescent="0.3">
      <c r="A1044" s="2">
        <v>39083</v>
      </c>
      <c r="B1044" s="3" t="s">
        <v>12</v>
      </c>
      <c r="C1044" s="3" t="s">
        <v>19</v>
      </c>
      <c r="D1044" s="3" t="s">
        <v>26</v>
      </c>
      <c r="E1044" s="3" t="s">
        <v>27</v>
      </c>
      <c r="F1044" s="3">
        <v>54</v>
      </c>
      <c r="G1044" s="3" t="s">
        <v>28</v>
      </c>
      <c r="H1044" s="3" t="s">
        <v>29</v>
      </c>
      <c r="I1044" s="3">
        <f>IF(C1044="India",1,IF(C1044="USA",INDEX('Currency Master'!B:B,MATCH(DATE(N1044,MONTH(DATEVALUE(O1044&amp;" 1")),1),'Currency Master'!A:A,0)),IF(C1044="Australia",INDEX('Currency Master'!T:T,MATCH(DATE(N1044,MONTH(DATEVALUE(O1044&amp;" 1")),1),'Currency Master'!A:A,0)),"")))</f>
        <v>44.232906999999997</v>
      </c>
      <c r="J1044" s="3">
        <f t="shared" si="64"/>
        <v>18747</v>
      </c>
      <c r="K1044" s="3" t="str">
        <f t="shared" si="65"/>
        <v>₹/Candy</v>
      </c>
      <c r="L1044" s="3">
        <v>-3.8974906567004801E-2</v>
      </c>
      <c r="M1044" s="3"/>
      <c r="N1044" s="3">
        <f t="shared" si="66"/>
        <v>2007</v>
      </c>
      <c r="O1044" s="3" t="str">
        <f t="shared" si="67"/>
        <v>January</v>
      </c>
      <c r="P1044" s="3" t="s">
        <v>30</v>
      </c>
      <c r="Q1044" s="3"/>
    </row>
    <row r="1045" spans="1:17" hidden="1" x14ac:dyDescent="0.3">
      <c r="A1045" s="2">
        <v>39052</v>
      </c>
      <c r="B1045" s="3" t="s">
        <v>12</v>
      </c>
      <c r="C1045" s="3" t="s">
        <v>19</v>
      </c>
      <c r="D1045" s="3" t="s">
        <v>26</v>
      </c>
      <c r="E1045" s="3" t="s">
        <v>27</v>
      </c>
      <c r="F1045" s="3">
        <v>56.19</v>
      </c>
      <c r="G1045" s="3" t="s">
        <v>28</v>
      </c>
      <c r="H1045" s="3" t="s">
        <v>29</v>
      </c>
      <c r="I1045" s="3">
        <f>IF(C1045="India",1,IF(C1045="USA",INDEX('Currency Master'!B:B,MATCH(DATE(N1045,MONTH(DATEVALUE(O1045&amp;" 1")),1),'Currency Master'!A:A,0)),IF(C1045="Australia",INDEX('Currency Master'!T:T,MATCH(DATE(N1045,MONTH(DATEVALUE(O1045&amp;" 1")),1),'Currency Master'!A:A,0)),"")))</f>
        <v>44.594484999999999</v>
      </c>
      <c r="J1045" s="3">
        <f t="shared" si="64"/>
        <v>19666</v>
      </c>
      <c r="K1045" s="3" t="str">
        <f t="shared" si="65"/>
        <v>₹/Candy</v>
      </c>
      <c r="L1045" s="3">
        <v>0.14907975460122699</v>
      </c>
      <c r="M1045" s="3"/>
      <c r="N1045" s="3">
        <f t="shared" si="66"/>
        <v>2006</v>
      </c>
      <c r="O1045" s="3" t="str">
        <f t="shared" si="67"/>
        <v>December</v>
      </c>
      <c r="P1045" s="3" t="s">
        <v>30</v>
      </c>
      <c r="Q1045" s="3"/>
    </row>
    <row r="1046" spans="1:17" hidden="1" x14ac:dyDescent="0.3">
      <c r="A1046" s="2">
        <v>39022</v>
      </c>
      <c r="B1046" s="3" t="s">
        <v>12</v>
      </c>
      <c r="C1046" s="3" t="s">
        <v>19</v>
      </c>
      <c r="D1046" s="3" t="s">
        <v>26</v>
      </c>
      <c r="E1046" s="3" t="s">
        <v>27</v>
      </c>
      <c r="F1046" s="3">
        <v>48.9</v>
      </c>
      <c r="G1046" s="3" t="s">
        <v>28</v>
      </c>
      <c r="H1046" s="3" t="s">
        <v>29</v>
      </c>
      <c r="I1046" s="3">
        <f>IF(C1046="India",1,IF(C1046="USA",INDEX('Currency Master'!B:B,MATCH(DATE(N1046,MONTH(DATEVALUE(O1046&amp;" 1")),1),'Currency Master'!A:A,0)),IF(C1046="Australia",INDEX('Currency Master'!T:T,MATCH(DATE(N1046,MONTH(DATEVALUE(O1046&amp;" 1")),1),'Currency Master'!A:A,0)),"")))</f>
        <v>44.798420999999998</v>
      </c>
      <c r="J1046" s="3">
        <f t="shared" si="64"/>
        <v>17193</v>
      </c>
      <c r="K1046" s="3" t="str">
        <f t="shared" si="65"/>
        <v>₹/Candy</v>
      </c>
      <c r="L1046" s="3">
        <v>-7.7110389610389697E-3</v>
      </c>
      <c r="M1046" s="3"/>
      <c r="N1046" s="3">
        <f t="shared" si="66"/>
        <v>2006</v>
      </c>
      <c r="O1046" s="3" t="str">
        <f t="shared" si="67"/>
        <v>November</v>
      </c>
      <c r="P1046" s="3" t="s">
        <v>30</v>
      </c>
      <c r="Q1046" s="3"/>
    </row>
    <row r="1047" spans="1:17" hidden="1" x14ac:dyDescent="0.3">
      <c r="A1047" s="2">
        <v>38991</v>
      </c>
      <c r="B1047" s="3" t="s">
        <v>12</v>
      </c>
      <c r="C1047" s="3" t="s">
        <v>19</v>
      </c>
      <c r="D1047" s="3" t="s">
        <v>26</v>
      </c>
      <c r="E1047" s="3" t="s">
        <v>27</v>
      </c>
      <c r="F1047" s="3">
        <v>49.28</v>
      </c>
      <c r="G1047" s="3" t="s">
        <v>28</v>
      </c>
      <c r="H1047" s="3" t="s">
        <v>29</v>
      </c>
      <c r="I1047" s="3">
        <f>IF(C1047="India",1,IF(C1047="USA",INDEX('Currency Master'!B:B,MATCH(DATE(N1047,MONTH(DATEVALUE(O1047&amp;" 1")),1),'Currency Master'!A:A,0)),IF(C1047="Australia",INDEX('Currency Master'!T:T,MATCH(DATE(N1047,MONTH(DATEVALUE(O1047&amp;" 1")),1),'Currency Master'!A:A,0)),"")))</f>
        <v>45.439182000000002</v>
      </c>
      <c r="J1047" s="3">
        <f t="shared" si="64"/>
        <v>17575</v>
      </c>
      <c r="K1047" s="3" t="str">
        <f t="shared" si="65"/>
        <v>₹/Candy</v>
      </c>
      <c r="L1047" s="3">
        <v>-4.0567951318448697E-4</v>
      </c>
      <c r="M1047" s="3"/>
      <c r="N1047" s="3">
        <f t="shared" si="66"/>
        <v>2006</v>
      </c>
      <c r="O1047" s="3" t="str">
        <f t="shared" si="67"/>
        <v>October</v>
      </c>
      <c r="P1047" s="3" t="s">
        <v>30</v>
      </c>
      <c r="Q1047" s="3"/>
    </row>
    <row r="1048" spans="1:17" hidden="1" x14ac:dyDescent="0.3">
      <c r="A1048" s="2">
        <v>38961</v>
      </c>
      <c r="B1048" s="3" t="s">
        <v>12</v>
      </c>
      <c r="C1048" s="3" t="s">
        <v>19</v>
      </c>
      <c r="D1048" s="3" t="s">
        <v>26</v>
      </c>
      <c r="E1048" s="3" t="s">
        <v>27</v>
      </c>
      <c r="F1048" s="3">
        <v>49.3</v>
      </c>
      <c r="G1048" s="3" t="s">
        <v>28</v>
      </c>
      <c r="H1048" s="3" t="s">
        <v>29</v>
      </c>
      <c r="I1048" s="3">
        <f>IF(C1048="India",1,IF(C1048="USA",INDEX('Currency Master'!B:B,MATCH(DATE(N1048,MONTH(DATEVALUE(O1048&amp;" 1")),1),'Currency Master'!A:A,0)),IF(C1048="Australia",INDEX('Currency Master'!T:T,MATCH(DATE(N1048,MONTH(DATEVALUE(O1048&amp;" 1")),1),'Currency Master'!A:A,0)),"")))</f>
        <v>46.103583999999998</v>
      </c>
      <c r="J1048" s="3">
        <f t="shared" si="64"/>
        <v>17839</v>
      </c>
      <c r="K1048" s="3" t="str">
        <f t="shared" si="65"/>
        <v>₹/Candy</v>
      </c>
      <c r="L1048" s="3">
        <v>-7.0688030160226206E-2</v>
      </c>
      <c r="M1048" s="3"/>
      <c r="N1048" s="3">
        <f t="shared" si="66"/>
        <v>2006</v>
      </c>
      <c r="O1048" s="3" t="str">
        <f t="shared" si="67"/>
        <v>September</v>
      </c>
      <c r="P1048" s="3" t="s">
        <v>30</v>
      </c>
      <c r="Q1048" s="3"/>
    </row>
    <row r="1049" spans="1:17" hidden="1" x14ac:dyDescent="0.3">
      <c r="A1049" s="2">
        <v>38930</v>
      </c>
      <c r="B1049" s="3" t="s">
        <v>12</v>
      </c>
      <c r="C1049" s="3" t="s">
        <v>19</v>
      </c>
      <c r="D1049" s="3" t="s">
        <v>26</v>
      </c>
      <c r="E1049" s="3" t="s">
        <v>27</v>
      </c>
      <c r="F1049" s="3">
        <v>53.05</v>
      </c>
      <c r="G1049" s="3" t="s">
        <v>28</v>
      </c>
      <c r="H1049" s="3" t="s">
        <v>29</v>
      </c>
      <c r="I1049" s="3">
        <f>IF(C1049="India",1,IF(C1049="USA",INDEX('Currency Master'!B:B,MATCH(DATE(N1049,MONTH(DATEVALUE(O1049&amp;" 1")),1),'Currency Master'!A:A,0)),IF(C1049="Australia",INDEX('Currency Master'!T:T,MATCH(DATE(N1049,MONTH(DATEVALUE(O1049&amp;" 1")),1),'Currency Master'!A:A,0)),"")))</f>
        <v>46.511673000000002</v>
      </c>
      <c r="J1049" s="3">
        <f t="shared" si="64"/>
        <v>19366</v>
      </c>
      <c r="K1049" s="3" t="str">
        <f t="shared" si="65"/>
        <v>₹/Candy</v>
      </c>
      <c r="L1049" s="3">
        <v>-7.4836295603368796E-3</v>
      </c>
      <c r="M1049" s="3"/>
      <c r="N1049" s="3">
        <f t="shared" si="66"/>
        <v>2006</v>
      </c>
      <c r="O1049" s="3" t="str">
        <f t="shared" si="67"/>
        <v>August</v>
      </c>
      <c r="P1049" s="3" t="s">
        <v>30</v>
      </c>
      <c r="Q1049" s="3"/>
    </row>
    <row r="1050" spans="1:17" hidden="1" x14ac:dyDescent="0.3">
      <c r="A1050" s="2">
        <v>38899</v>
      </c>
      <c r="B1050" s="3" t="s">
        <v>12</v>
      </c>
      <c r="C1050" s="3" t="s">
        <v>19</v>
      </c>
      <c r="D1050" s="3" t="s">
        <v>26</v>
      </c>
      <c r="E1050" s="3" t="s">
        <v>27</v>
      </c>
      <c r="F1050" s="3">
        <v>53.45</v>
      </c>
      <c r="G1050" s="3" t="s">
        <v>28</v>
      </c>
      <c r="H1050" s="3" t="s">
        <v>29</v>
      </c>
      <c r="I1050" s="3">
        <f>IF(C1050="India",1,IF(C1050="USA",INDEX('Currency Master'!B:B,MATCH(DATE(N1050,MONTH(DATEVALUE(O1050&amp;" 1")),1),'Currency Master'!A:A,0)),IF(C1050="Australia",INDEX('Currency Master'!T:T,MATCH(DATE(N1050,MONTH(DATEVALUE(O1050&amp;" 1")),1),'Currency Master'!A:A,0)),"")))</f>
        <v>46.448552999999997</v>
      </c>
      <c r="J1050" s="3">
        <f t="shared" si="64"/>
        <v>19485</v>
      </c>
      <c r="K1050" s="3" t="str">
        <f t="shared" si="65"/>
        <v>₹/Candy</v>
      </c>
      <c r="L1050" s="3">
        <v>7.4371859296482407E-2</v>
      </c>
      <c r="M1050" s="3"/>
      <c r="N1050" s="3">
        <f t="shared" si="66"/>
        <v>2006</v>
      </c>
      <c r="O1050" s="3" t="str">
        <f t="shared" si="67"/>
        <v>July</v>
      </c>
      <c r="P1050" s="3" t="s">
        <v>30</v>
      </c>
      <c r="Q1050" s="3"/>
    </row>
    <row r="1051" spans="1:17" hidden="1" x14ac:dyDescent="0.3">
      <c r="A1051" s="2">
        <v>38869</v>
      </c>
      <c r="B1051" s="3" t="s">
        <v>12</v>
      </c>
      <c r="C1051" s="3" t="s">
        <v>19</v>
      </c>
      <c r="D1051" s="3" t="s">
        <v>26</v>
      </c>
      <c r="E1051" s="3" t="s">
        <v>27</v>
      </c>
      <c r="F1051" s="3">
        <v>49.75</v>
      </c>
      <c r="G1051" s="3" t="s">
        <v>28</v>
      </c>
      <c r="H1051" s="3" t="s">
        <v>29</v>
      </c>
      <c r="I1051" s="3">
        <f>IF(C1051="India",1,IF(C1051="USA",INDEX('Currency Master'!B:B,MATCH(DATE(N1051,MONTH(DATEVALUE(O1051&amp;" 1")),1),'Currency Master'!A:A,0)),IF(C1051="Australia",INDEX('Currency Master'!T:T,MATCH(DATE(N1051,MONTH(DATEVALUE(O1051&amp;" 1")),1),'Currency Master'!A:A,0)),"")))</f>
        <v>45.996223999999998</v>
      </c>
      <c r="J1051" s="3">
        <f t="shared" si="64"/>
        <v>17960</v>
      </c>
      <c r="K1051" s="3" t="str">
        <f t="shared" si="65"/>
        <v>₹/Candy</v>
      </c>
      <c r="L1051" s="3">
        <v>-2.3360816647035699E-2</v>
      </c>
      <c r="M1051" s="3"/>
      <c r="N1051" s="3">
        <f t="shared" si="66"/>
        <v>2006</v>
      </c>
      <c r="O1051" s="3" t="str">
        <f t="shared" si="67"/>
        <v>June</v>
      </c>
      <c r="P1051" s="3" t="s">
        <v>30</v>
      </c>
      <c r="Q1051" s="3"/>
    </row>
    <row r="1052" spans="1:17" hidden="1" x14ac:dyDescent="0.3">
      <c r="A1052" s="2">
        <v>38838</v>
      </c>
      <c r="B1052" s="3" t="s">
        <v>12</v>
      </c>
      <c r="C1052" s="3" t="s">
        <v>19</v>
      </c>
      <c r="D1052" s="3" t="s">
        <v>26</v>
      </c>
      <c r="E1052" s="3" t="s">
        <v>27</v>
      </c>
      <c r="F1052" s="3">
        <v>50.94</v>
      </c>
      <c r="G1052" s="3" t="s">
        <v>28</v>
      </c>
      <c r="H1052" s="3" t="s">
        <v>29</v>
      </c>
      <c r="I1052" s="3">
        <f>IF(C1052="India",1,IF(C1052="USA",INDEX('Currency Master'!B:B,MATCH(DATE(N1052,MONTH(DATEVALUE(O1052&amp;" 1")),1),'Currency Master'!A:A,0)),IF(C1052="Australia",INDEX('Currency Master'!T:T,MATCH(DATE(N1052,MONTH(DATEVALUE(O1052&amp;" 1")),1),'Currency Master'!A:A,0)),"")))</f>
        <v>45.330288000000003</v>
      </c>
      <c r="J1052" s="3">
        <f t="shared" si="64"/>
        <v>18123</v>
      </c>
      <c r="K1052" s="3" t="str">
        <f t="shared" si="65"/>
        <v>₹/Candy</v>
      </c>
      <c r="L1052" s="3">
        <v>2.0841683366733501E-2</v>
      </c>
      <c r="M1052" s="3"/>
      <c r="N1052" s="3">
        <f t="shared" si="66"/>
        <v>2006</v>
      </c>
      <c r="O1052" s="3" t="str">
        <f t="shared" si="67"/>
        <v>May</v>
      </c>
      <c r="P1052" s="3" t="s">
        <v>30</v>
      </c>
      <c r="Q1052" s="3"/>
    </row>
    <row r="1053" spans="1:17" hidden="1" x14ac:dyDescent="0.3">
      <c r="A1053" s="2">
        <v>38808</v>
      </c>
      <c r="B1053" s="3" t="s">
        <v>12</v>
      </c>
      <c r="C1053" s="3" t="s">
        <v>19</v>
      </c>
      <c r="D1053" s="3" t="s">
        <v>26</v>
      </c>
      <c r="E1053" s="3" t="s">
        <v>27</v>
      </c>
      <c r="F1053" s="3">
        <v>49.9</v>
      </c>
      <c r="G1053" s="3" t="s">
        <v>28</v>
      </c>
      <c r="H1053" s="3" t="s">
        <v>29</v>
      </c>
      <c r="I1053" s="3">
        <f>IF(C1053="India",1,IF(C1053="USA",INDEX('Currency Master'!B:B,MATCH(DATE(N1053,MONTH(DATEVALUE(O1053&amp;" 1")),1),'Currency Master'!A:A,0)),IF(C1053="Australia",INDEX('Currency Master'!T:T,MATCH(DATE(N1053,MONTH(DATEVALUE(O1053&amp;" 1")),1),'Currency Master'!A:A,0)),"")))</f>
        <v>44.859943000000001</v>
      </c>
      <c r="J1053" s="3">
        <f t="shared" si="64"/>
        <v>17569</v>
      </c>
      <c r="K1053" s="3" t="str">
        <f t="shared" si="65"/>
        <v>₹/Candy</v>
      </c>
      <c r="L1053" s="3">
        <v>-5.2231718898385501E-2</v>
      </c>
      <c r="M1053" s="3"/>
      <c r="N1053" s="3">
        <f t="shared" si="66"/>
        <v>2006</v>
      </c>
      <c r="O1053" s="3" t="str">
        <f t="shared" si="67"/>
        <v>April</v>
      </c>
      <c r="P1053" s="3" t="s">
        <v>30</v>
      </c>
      <c r="Q1053" s="3"/>
    </row>
    <row r="1054" spans="1:17" hidden="1" x14ac:dyDescent="0.3">
      <c r="A1054" s="2">
        <v>38777</v>
      </c>
      <c r="B1054" s="3" t="s">
        <v>12</v>
      </c>
      <c r="C1054" s="3" t="s">
        <v>19</v>
      </c>
      <c r="D1054" s="3" t="s">
        <v>26</v>
      </c>
      <c r="E1054" s="3" t="s">
        <v>27</v>
      </c>
      <c r="F1054" s="3">
        <v>52.65</v>
      </c>
      <c r="G1054" s="3" t="s">
        <v>28</v>
      </c>
      <c r="H1054" s="3" t="s">
        <v>29</v>
      </c>
      <c r="I1054" s="3">
        <f>IF(C1054="India",1,IF(C1054="USA",INDEX('Currency Master'!B:B,MATCH(DATE(N1054,MONTH(DATEVALUE(O1054&amp;" 1")),1),'Currency Master'!A:A,0)),IF(C1054="Australia",INDEX('Currency Master'!T:T,MATCH(DATE(N1054,MONTH(DATEVALUE(O1054&amp;" 1")),1),'Currency Master'!A:A,0)),"")))</f>
        <v>44.397432000000002</v>
      </c>
      <c r="J1054" s="3">
        <f t="shared" si="64"/>
        <v>18346</v>
      </c>
      <c r="K1054" s="3" t="str">
        <f t="shared" si="65"/>
        <v>₹/Candy</v>
      </c>
      <c r="L1054" s="3">
        <v>-5.9821428571428602E-2</v>
      </c>
      <c r="M1054" s="3"/>
      <c r="N1054" s="3">
        <f t="shared" si="66"/>
        <v>2006</v>
      </c>
      <c r="O1054" s="3" t="str">
        <f t="shared" si="67"/>
        <v>March</v>
      </c>
      <c r="P1054" s="3" t="s">
        <v>30</v>
      </c>
      <c r="Q1054" s="3"/>
    </row>
    <row r="1055" spans="1:17" hidden="1" x14ac:dyDescent="0.3">
      <c r="A1055" s="2">
        <v>38749</v>
      </c>
      <c r="B1055" s="3" t="s">
        <v>12</v>
      </c>
      <c r="C1055" s="3" t="s">
        <v>19</v>
      </c>
      <c r="D1055" s="3" t="s">
        <v>26</v>
      </c>
      <c r="E1055" s="3" t="s">
        <v>27</v>
      </c>
      <c r="F1055" s="3">
        <v>56</v>
      </c>
      <c r="G1055" s="3" t="s">
        <v>28</v>
      </c>
      <c r="H1055" s="3" t="s">
        <v>29</v>
      </c>
      <c r="I1055" s="3">
        <f>IF(C1055="India",1,IF(C1055="USA",INDEX('Currency Master'!B:B,MATCH(DATE(N1055,MONTH(DATEVALUE(O1055&amp;" 1")),1),'Currency Master'!A:A,0)),IF(C1055="Australia",INDEX('Currency Master'!T:T,MATCH(DATE(N1055,MONTH(DATEVALUE(O1055&amp;" 1")),1),'Currency Master'!A:A,0)),"")))</f>
        <v>44.266308000000002</v>
      </c>
      <c r="J1055" s="3">
        <f t="shared" si="64"/>
        <v>19456</v>
      </c>
      <c r="K1055" s="3" t="str">
        <f t="shared" si="65"/>
        <v>₹/Candy</v>
      </c>
      <c r="L1055" s="3">
        <v>5.0251256281406099E-3</v>
      </c>
      <c r="M1055" s="3"/>
      <c r="N1055" s="3">
        <f t="shared" si="66"/>
        <v>2006</v>
      </c>
      <c r="O1055" s="3" t="str">
        <f t="shared" si="67"/>
        <v>February</v>
      </c>
      <c r="P1055" s="3" t="s">
        <v>30</v>
      </c>
      <c r="Q1055" s="3"/>
    </row>
    <row r="1056" spans="1:17" hidden="1" x14ac:dyDescent="0.3">
      <c r="A1056" s="2">
        <v>38718</v>
      </c>
      <c r="B1056" s="3" t="s">
        <v>12</v>
      </c>
      <c r="C1056" s="3" t="s">
        <v>19</v>
      </c>
      <c r="D1056" s="3" t="s">
        <v>26</v>
      </c>
      <c r="E1056" s="3" t="s">
        <v>27</v>
      </c>
      <c r="F1056" s="3">
        <v>55.72</v>
      </c>
      <c r="G1056" s="3" t="s">
        <v>28</v>
      </c>
      <c r="H1056" s="3" t="s">
        <v>29</v>
      </c>
      <c r="I1056" s="3">
        <f>IF(C1056="India",1,IF(C1056="USA",INDEX('Currency Master'!B:B,MATCH(DATE(N1056,MONTH(DATEVALUE(O1056&amp;" 1")),1),'Currency Master'!A:A,0)),IF(C1056="Australia",INDEX('Currency Master'!T:T,MATCH(DATE(N1056,MONTH(DATEVALUE(O1056&amp;" 1")),1),'Currency Master'!A:A,0)),"")))</f>
        <v>44.317843000000003</v>
      </c>
      <c r="J1056" s="3">
        <f t="shared" si="64"/>
        <v>19381</v>
      </c>
      <c r="K1056" s="3" t="str">
        <f t="shared" si="65"/>
        <v>₹/Candy</v>
      </c>
      <c r="L1056" s="3">
        <v>2.8233991511349001E-2</v>
      </c>
      <c r="M1056" s="3"/>
      <c r="N1056" s="3">
        <f t="shared" si="66"/>
        <v>2006</v>
      </c>
      <c r="O1056" s="3" t="str">
        <f t="shared" si="67"/>
        <v>January</v>
      </c>
      <c r="P1056" s="3" t="s">
        <v>30</v>
      </c>
      <c r="Q1056" s="3"/>
    </row>
    <row r="1057" spans="1:17" hidden="1" x14ac:dyDescent="0.3">
      <c r="A1057" s="2">
        <v>38687</v>
      </c>
      <c r="B1057" s="3" t="s">
        <v>12</v>
      </c>
      <c r="C1057" s="3" t="s">
        <v>19</v>
      </c>
      <c r="D1057" s="3" t="s">
        <v>26</v>
      </c>
      <c r="E1057" s="3" t="s">
        <v>27</v>
      </c>
      <c r="F1057" s="3">
        <v>54.19</v>
      </c>
      <c r="G1057" s="3" t="s">
        <v>28</v>
      </c>
      <c r="H1057" s="3" t="s">
        <v>29</v>
      </c>
      <c r="I1057" s="3">
        <f>IF(C1057="India",1,IF(C1057="USA",INDEX('Currency Master'!B:B,MATCH(DATE(N1057,MONTH(DATEVALUE(O1057&amp;" 1")),1),'Currency Master'!A:A,0)),IF(C1057="Australia",INDEX('Currency Master'!T:T,MATCH(DATE(N1057,MONTH(DATEVALUE(O1057&amp;" 1")),1),'Currency Master'!A:A,0)),"")))</f>
        <v>45.589696000000004</v>
      </c>
      <c r="J1057" s="3">
        <f t="shared" si="64"/>
        <v>19390</v>
      </c>
      <c r="K1057" s="3" t="str">
        <f t="shared" si="65"/>
        <v>₹/Candy</v>
      </c>
      <c r="L1057" s="3">
        <v>0.10164667615369</v>
      </c>
      <c r="M1057" s="3"/>
      <c r="N1057" s="3">
        <f t="shared" si="66"/>
        <v>2005</v>
      </c>
      <c r="O1057" s="3" t="str">
        <f t="shared" si="67"/>
        <v>December</v>
      </c>
      <c r="P1057" s="3" t="s">
        <v>30</v>
      </c>
      <c r="Q1057" s="3"/>
    </row>
    <row r="1058" spans="1:17" hidden="1" x14ac:dyDescent="0.3">
      <c r="A1058" s="2">
        <v>38657</v>
      </c>
      <c r="B1058" s="3" t="s">
        <v>12</v>
      </c>
      <c r="C1058" s="3" t="s">
        <v>19</v>
      </c>
      <c r="D1058" s="3" t="s">
        <v>26</v>
      </c>
      <c r="E1058" s="3" t="s">
        <v>27</v>
      </c>
      <c r="F1058" s="3">
        <v>49.19</v>
      </c>
      <c r="G1058" s="3" t="s">
        <v>28</v>
      </c>
      <c r="H1058" s="3" t="s">
        <v>29</v>
      </c>
      <c r="I1058" s="3">
        <f>IF(C1058="India",1,IF(C1058="USA",INDEX('Currency Master'!B:B,MATCH(DATE(N1058,MONTH(DATEVALUE(O1058&amp;" 1")),1),'Currency Master'!A:A,0)),IF(C1058="Australia",INDEX('Currency Master'!T:T,MATCH(DATE(N1058,MONTH(DATEVALUE(O1058&amp;" 1")),1),'Currency Master'!A:A,0)),"")))</f>
        <v>45.667115000000003</v>
      </c>
      <c r="J1058" s="3">
        <f t="shared" si="64"/>
        <v>17631</v>
      </c>
      <c r="K1058" s="3" t="str">
        <f t="shared" si="65"/>
        <v>₹/Candy</v>
      </c>
      <c r="L1058" s="3">
        <v>-5.1667630614999002E-2</v>
      </c>
      <c r="M1058" s="3"/>
      <c r="N1058" s="3">
        <f t="shared" si="66"/>
        <v>2005</v>
      </c>
      <c r="O1058" s="3" t="str">
        <f t="shared" si="67"/>
        <v>November</v>
      </c>
      <c r="P1058" s="3" t="s">
        <v>30</v>
      </c>
      <c r="Q1058" s="3"/>
    </row>
    <row r="1059" spans="1:17" hidden="1" x14ac:dyDescent="0.3">
      <c r="A1059" s="2">
        <v>38626</v>
      </c>
      <c r="B1059" s="3" t="s">
        <v>12</v>
      </c>
      <c r="C1059" s="3" t="s">
        <v>19</v>
      </c>
      <c r="D1059" s="3" t="s">
        <v>26</v>
      </c>
      <c r="E1059" s="3" t="s">
        <v>27</v>
      </c>
      <c r="F1059" s="3">
        <v>51.87</v>
      </c>
      <c r="G1059" s="3" t="s">
        <v>28</v>
      </c>
      <c r="H1059" s="3" t="s">
        <v>29</v>
      </c>
      <c r="I1059" s="3">
        <f>IF(C1059="India",1,IF(C1059="USA",INDEX('Currency Master'!B:B,MATCH(DATE(N1059,MONTH(DATEVALUE(O1059&amp;" 1")),1),'Currency Master'!A:A,0)),IF(C1059="Australia",INDEX('Currency Master'!T:T,MATCH(DATE(N1059,MONTH(DATEVALUE(O1059&amp;" 1")),1),'Currency Master'!A:A,0)),"")))</f>
        <v>44.789816000000002</v>
      </c>
      <c r="J1059" s="3">
        <f t="shared" si="64"/>
        <v>18234</v>
      </c>
      <c r="K1059" s="3" t="str">
        <f t="shared" si="65"/>
        <v>₹/Candy</v>
      </c>
      <c r="L1059" s="3">
        <v>7.1844660194173597E-3</v>
      </c>
      <c r="M1059" s="3"/>
      <c r="N1059" s="3">
        <f t="shared" si="66"/>
        <v>2005</v>
      </c>
      <c r="O1059" s="3" t="str">
        <f t="shared" si="67"/>
        <v>October</v>
      </c>
      <c r="P1059" s="3" t="s">
        <v>30</v>
      </c>
      <c r="Q1059" s="3"/>
    </row>
    <row r="1060" spans="1:17" hidden="1" x14ac:dyDescent="0.3">
      <c r="A1060" s="2">
        <v>38596</v>
      </c>
      <c r="B1060" s="3" t="s">
        <v>12</v>
      </c>
      <c r="C1060" s="3" t="s">
        <v>19</v>
      </c>
      <c r="D1060" s="3" t="s">
        <v>26</v>
      </c>
      <c r="E1060" s="3" t="s">
        <v>27</v>
      </c>
      <c r="F1060" s="3">
        <v>51.5</v>
      </c>
      <c r="G1060" s="3" t="s">
        <v>28</v>
      </c>
      <c r="H1060" s="3" t="s">
        <v>29</v>
      </c>
      <c r="I1060" s="3">
        <f>IF(C1060="India",1,IF(C1060="USA",INDEX('Currency Master'!B:B,MATCH(DATE(N1060,MONTH(DATEVALUE(O1060&amp;" 1")),1),'Currency Master'!A:A,0)),IF(C1060="Australia",INDEX('Currency Master'!T:T,MATCH(DATE(N1060,MONTH(DATEVALUE(O1060&amp;" 1")),1),'Currency Master'!A:A,0)),"")))</f>
        <v>43.853650000000002</v>
      </c>
      <c r="J1060" s="3">
        <f t="shared" si="64"/>
        <v>17725</v>
      </c>
      <c r="K1060" s="3" t="str">
        <f t="shared" si="65"/>
        <v>₹/Candy</v>
      </c>
      <c r="L1060" s="3">
        <v>6.9574247144340601E-2</v>
      </c>
      <c r="M1060" s="3"/>
      <c r="N1060" s="3">
        <f t="shared" si="66"/>
        <v>2005</v>
      </c>
      <c r="O1060" s="3" t="str">
        <f t="shared" si="67"/>
        <v>September</v>
      </c>
      <c r="P1060" s="3" t="s">
        <v>30</v>
      </c>
      <c r="Q1060" s="3"/>
    </row>
    <row r="1061" spans="1:17" hidden="1" x14ac:dyDescent="0.3">
      <c r="A1061" s="2">
        <v>38565</v>
      </c>
      <c r="B1061" s="3" t="s">
        <v>12</v>
      </c>
      <c r="C1061" s="3" t="s">
        <v>19</v>
      </c>
      <c r="D1061" s="3" t="s">
        <v>26</v>
      </c>
      <c r="E1061" s="3" t="s">
        <v>27</v>
      </c>
      <c r="F1061" s="3">
        <v>48.15</v>
      </c>
      <c r="G1061" s="3" t="s">
        <v>28</v>
      </c>
      <c r="H1061" s="3" t="s">
        <v>29</v>
      </c>
      <c r="I1061" s="3">
        <f>IF(C1061="India",1,IF(C1061="USA",INDEX('Currency Master'!B:B,MATCH(DATE(N1061,MONTH(DATEVALUE(O1061&amp;" 1")),1),'Currency Master'!A:A,0)),IF(C1061="Australia",INDEX('Currency Master'!T:T,MATCH(DATE(N1061,MONTH(DATEVALUE(O1061&amp;" 1")),1),'Currency Master'!A:A,0)),"")))</f>
        <v>43.586269999999999</v>
      </c>
      <c r="J1061" s="3">
        <f t="shared" si="64"/>
        <v>16471</v>
      </c>
      <c r="K1061" s="3" t="str">
        <f t="shared" si="65"/>
        <v>₹/Candy</v>
      </c>
      <c r="L1061" s="3">
        <v>-5.5697195528534998E-2</v>
      </c>
      <c r="M1061" s="3"/>
      <c r="N1061" s="3">
        <f t="shared" si="66"/>
        <v>2005</v>
      </c>
      <c r="O1061" s="3" t="str">
        <f t="shared" si="67"/>
        <v>August</v>
      </c>
      <c r="P1061" s="3" t="s">
        <v>30</v>
      </c>
      <c r="Q1061" s="3"/>
    </row>
    <row r="1062" spans="1:17" hidden="1" x14ac:dyDescent="0.3">
      <c r="A1062" s="2">
        <v>38534</v>
      </c>
      <c r="B1062" s="3" t="s">
        <v>12</v>
      </c>
      <c r="C1062" s="3" t="s">
        <v>19</v>
      </c>
      <c r="D1062" s="3" t="s">
        <v>26</v>
      </c>
      <c r="E1062" s="3" t="s">
        <v>27</v>
      </c>
      <c r="F1062" s="3">
        <v>50.99</v>
      </c>
      <c r="G1062" s="3" t="s">
        <v>28</v>
      </c>
      <c r="H1062" s="3" t="s">
        <v>29</v>
      </c>
      <c r="I1062" s="3">
        <f>IF(C1062="India",1,IF(C1062="USA",INDEX('Currency Master'!B:B,MATCH(DATE(N1062,MONTH(DATEVALUE(O1062&amp;" 1")),1),'Currency Master'!A:A,0)),IF(C1062="Australia",INDEX('Currency Master'!T:T,MATCH(DATE(N1062,MONTH(DATEVALUE(O1062&amp;" 1")),1),'Currency Master'!A:A,0)),"")))</f>
        <v>43.490993000000003</v>
      </c>
      <c r="J1062" s="3">
        <f t="shared" si="64"/>
        <v>17405</v>
      </c>
      <c r="K1062" s="3" t="str">
        <f t="shared" si="65"/>
        <v>₹/Candy</v>
      </c>
      <c r="L1062" s="3">
        <v>-1.9423076923076901E-2</v>
      </c>
      <c r="M1062" s="3"/>
      <c r="N1062" s="3">
        <f t="shared" si="66"/>
        <v>2005</v>
      </c>
      <c r="O1062" s="3" t="str">
        <f t="shared" si="67"/>
        <v>July</v>
      </c>
      <c r="P1062" s="3" t="s">
        <v>30</v>
      </c>
      <c r="Q1062" s="3"/>
    </row>
    <row r="1063" spans="1:17" hidden="1" x14ac:dyDescent="0.3">
      <c r="A1063" s="2">
        <v>38504</v>
      </c>
      <c r="B1063" s="3" t="s">
        <v>12</v>
      </c>
      <c r="C1063" s="3" t="s">
        <v>19</v>
      </c>
      <c r="D1063" s="3" t="s">
        <v>26</v>
      </c>
      <c r="E1063" s="3" t="s">
        <v>27</v>
      </c>
      <c r="F1063" s="3">
        <v>52</v>
      </c>
      <c r="G1063" s="3" t="s">
        <v>28</v>
      </c>
      <c r="H1063" s="3" t="s">
        <v>29</v>
      </c>
      <c r="I1063" s="3">
        <f>IF(C1063="India",1,IF(C1063="USA",INDEX('Currency Master'!B:B,MATCH(DATE(N1063,MONTH(DATEVALUE(O1063&amp;" 1")),1),'Currency Master'!A:A,0)),IF(C1063="Australia",INDEX('Currency Master'!T:T,MATCH(DATE(N1063,MONTH(DATEVALUE(O1063&amp;" 1")),1),'Currency Master'!A:A,0)),"")))</f>
        <v>43.560580000000002</v>
      </c>
      <c r="J1063" s="3">
        <f t="shared" si="64"/>
        <v>17778</v>
      </c>
      <c r="K1063" s="3" t="str">
        <f t="shared" si="65"/>
        <v>₹/Candy</v>
      </c>
      <c r="L1063" s="3">
        <v>6.9078947368421004E-2</v>
      </c>
      <c r="M1063" s="3"/>
      <c r="N1063" s="3">
        <f t="shared" si="66"/>
        <v>2005</v>
      </c>
      <c r="O1063" s="3" t="str">
        <f t="shared" si="67"/>
        <v>June</v>
      </c>
      <c r="P1063" s="3" t="s">
        <v>30</v>
      </c>
      <c r="Q1063" s="3"/>
    </row>
    <row r="1064" spans="1:17" hidden="1" x14ac:dyDescent="0.3">
      <c r="A1064" s="2">
        <v>38473</v>
      </c>
      <c r="B1064" s="3" t="s">
        <v>12</v>
      </c>
      <c r="C1064" s="3" t="s">
        <v>19</v>
      </c>
      <c r="D1064" s="3" t="s">
        <v>26</v>
      </c>
      <c r="E1064" s="3" t="s">
        <v>27</v>
      </c>
      <c r="F1064" s="3">
        <v>48.64</v>
      </c>
      <c r="G1064" s="3" t="s">
        <v>28</v>
      </c>
      <c r="H1064" s="3" t="s">
        <v>29</v>
      </c>
      <c r="I1064" s="3">
        <f>IF(C1064="India",1,IF(C1064="USA",INDEX('Currency Master'!B:B,MATCH(DATE(N1064,MONTH(DATEVALUE(O1064&amp;" 1")),1),'Currency Master'!A:A,0)),IF(C1064="Australia",INDEX('Currency Master'!T:T,MATCH(DATE(N1064,MONTH(DATEVALUE(O1064&amp;" 1")),1),'Currency Master'!A:A,0)),"")))</f>
        <v>43.471815999999997</v>
      </c>
      <c r="J1064" s="3">
        <f t="shared" si="64"/>
        <v>16595</v>
      </c>
      <c r="K1064" s="3" t="str">
        <f t="shared" si="65"/>
        <v>₹/Candy</v>
      </c>
      <c r="L1064" s="3">
        <v>-0.161379310344828</v>
      </c>
      <c r="M1064" s="3"/>
      <c r="N1064" s="3">
        <f t="shared" si="66"/>
        <v>2005</v>
      </c>
      <c r="O1064" s="3" t="str">
        <f t="shared" si="67"/>
        <v>May</v>
      </c>
      <c r="P1064" s="3" t="s">
        <v>30</v>
      </c>
      <c r="Q1064" s="3"/>
    </row>
    <row r="1065" spans="1:17" hidden="1" x14ac:dyDescent="0.3">
      <c r="A1065" s="2">
        <v>38443</v>
      </c>
      <c r="B1065" s="3" t="s">
        <v>12</v>
      </c>
      <c r="C1065" s="3" t="s">
        <v>19</v>
      </c>
      <c r="D1065" s="3" t="s">
        <v>26</v>
      </c>
      <c r="E1065" s="3" t="s">
        <v>27</v>
      </c>
      <c r="F1065" s="3">
        <v>58</v>
      </c>
      <c r="G1065" s="3" t="s">
        <v>28</v>
      </c>
      <c r="H1065" s="3" t="s">
        <v>29</v>
      </c>
      <c r="I1065" s="3">
        <f>IF(C1065="India",1,IF(C1065="USA",INDEX('Currency Master'!B:B,MATCH(DATE(N1065,MONTH(DATEVALUE(O1065&amp;" 1")),1),'Currency Master'!A:A,0)),IF(C1065="Australia",INDEX('Currency Master'!T:T,MATCH(DATE(N1065,MONTH(DATEVALUE(O1065&amp;" 1")),1),'Currency Master'!A:A,0)),"")))</f>
        <v>43.694350999999997</v>
      </c>
      <c r="J1065" s="3">
        <f t="shared" si="64"/>
        <v>19890</v>
      </c>
      <c r="K1065" s="3" t="str">
        <f t="shared" si="65"/>
        <v>₹/Candy</v>
      </c>
      <c r="L1065" s="3">
        <v>9.3720535545917402E-2</v>
      </c>
      <c r="M1065" s="3"/>
      <c r="N1065" s="3">
        <f t="shared" si="66"/>
        <v>2005</v>
      </c>
      <c r="O1065" s="3" t="str">
        <f t="shared" si="67"/>
        <v>April</v>
      </c>
      <c r="P1065" s="3" t="s">
        <v>30</v>
      </c>
      <c r="Q1065" s="3"/>
    </row>
    <row r="1066" spans="1:17" hidden="1" x14ac:dyDescent="0.3">
      <c r="A1066" s="2">
        <v>38412</v>
      </c>
      <c r="B1066" s="3" t="s">
        <v>12</v>
      </c>
      <c r="C1066" s="3" t="s">
        <v>19</v>
      </c>
      <c r="D1066" s="3" t="s">
        <v>26</v>
      </c>
      <c r="E1066" s="3" t="s">
        <v>27</v>
      </c>
      <c r="F1066" s="3">
        <v>53.03</v>
      </c>
      <c r="G1066" s="3" t="s">
        <v>28</v>
      </c>
      <c r="H1066" s="3" t="s">
        <v>29</v>
      </c>
      <c r="I1066" s="3">
        <f>IF(C1066="India",1,IF(C1066="USA",INDEX('Currency Master'!B:B,MATCH(DATE(N1066,MONTH(DATEVALUE(O1066&amp;" 1")),1),'Currency Master'!A:A,0)),IF(C1066="Australia",INDEX('Currency Master'!T:T,MATCH(DATE(N1066,MONTH(DATEVALUE(O1066&amp;" 1")),1),'Currency Master'!A:A,0)),"")))</f>
        <v>43.621073000000003</v>
      </c>
      <c r="J1066" s="3">
        <f t="shared" si="64"/>
        <v>18155</v>
      </c>
      <c r="K1066" s="3" t="str">
        <f t="shared" si="65"/>
        <v>₹/Candy</v>
      </c>
      <c r="L1066" s="3">
        <v>5.4274353876739602E-2</v>
      </c>
      <c r="M1066" s="3"/>
      <c r="N1066" s="3">
        <f t="shared" si="66"/>
        <v>2005</v>
      </c>
      <c r="O1066" s="3" t="str">
        <f t="shared" si="67"/>
        <v>March</v>
      </c>
      <c r="P1066" s="3" t="s">
        <v>30</v>
      </c>
      <c r="Q1066" s="3"/>
    </row>
    <row r="1067" spans="1:17" hidden="1" x14ac:dyDescent="0.3">
      <c r="A1067" s="2">
        <v>38384</v>
      </c>
      <c r="B1067" s="3" t="s">
        <v>12</v>
      </c>
      <c r="C1067" s="3" t="s">
        <v>19</v>
      </c>
      <c r="D1067" s="3" t="s">
        <v>26</v>
      </c>
      <c r="E1067" s="3" t="s">
        <v>27</v>
      </c>
      <c r="F1067" s="3">
        <v>50.3</v>
      </c>
      <c r="G1067" s="3" t="s">
        <v>28</v>
      </c>
      <c r="H1067" s="3" t="s">
        <v>29</v>
      </c>
      <c r="I1067" s="3">
        <f>IF(C1067="India",1,IF(C1067="USA",INDEX('Currency Master'!B:B,MATCH(DATE(N1067,MONTH(DATEVALUE(O1067&amp;" 1")),1),'Currency Master'!A:A,0)),IF(C1067="Australia",INDEX('Currency Master'!T:T,MATCH(DATE(N1067,MONTH(DATEVALUE(O1067&amp;" 1")),1),'Currency Master'!A:A,0)),"")))</f>
        <v>43.629637000000002</v>
      </c>
      <c r="J1067" s="3">
        <f t="shared" si="64"/>
        <v>17224</v>
      </c>
      <c r="K1067" s="3" t="str">
        <f t="shared" si="65"/>
        <v>₹/Candy</v>
      </c>
      <c r="L1067" s="3">
        <v>0.14945155393053</v>
      </c>
      <c r="M1067" s="3"/>
      <c r="N1067" s="3">
        <f t="shared" si="66"/>
        <v>2005</v>
      </c>
      <c r="O1067" s="3" t="str">
        <f t="shared" si="67"/>
        <v>February</v>
      </c>
      <c r="P1067" s="3" t="s">
        <v>30</v>
      </c>
      <c r="Q1067" s="3"/>
    </row>
    <row r="1068" spans="1:17" hidden="1" x14ac:dyDescent="0.3">
      <c r="A1068" s="2">
        <v>38353</v>
      </c>
      <c r="B1068" s="3" t="s">
        <v>12</v>
      </c>
      <c r="C1068" s="3" t="s">
        <v>19</v>
      </c>
      <c r="D1068" s="3" t="s">
        <v>26</v>
      </c>
      <c r="E1068" s="3" t="s">
        <v>27</v>
      </c>
      <c r="F1068" s="3">
        <v>43.76</v>
      </c>
      <c r="G1068" s="3" t="s">
        <v>28</v>
      </c>
      <c r="H1068" s="3" t="s">
        <v>29</v>
      </c>
      <c r="I1068" s="3">
        <f>IF(C1068="India",1,IF(C1068="USA",INDEX('Currency Master'!B:B,MATCH(DATE(N1068,MONTH(DATEVALUE(O1068&amp;" 1")),1),'Currency Master'!A:A,0)),IF(C1068="Australia",INDEX('Currency Master'!T:T,MATCH(DATE(N1068,MONTH(DATEVALUE(O1068&amp;" 1")),1),'Currency Master'!A:A,0)),"")))</f>
        <v>43.672224</v>
      </c>
      <c r="J1068" s="3">
        <f t="shared" si="64"/>
        <v>14999</v>
      </c>
      <c r="K1068" s="3" t="str">
        <f t="shared" si="65"/>
        <v>₹/Candy</v>
      </c>
      <c r="L1068" s="3">
        <v>-2.2559749832477199E-2</v>
      </c>
      <c r="M1068" s="3"/>
      <c r="N1068" s="3">
        <f t="shared" si="66"/>
        <v>2005</v>
      </c>
      <c r="O1068" s="3" t="str">
        <f t="shared" si="67"/>
        <v>January</v>
      </c>
      <c r="P1068" s="3" t="s">
        <v>30</v>
      </c>
      <c r="Q1068" s="3"/>
    </row>
    <row r="1069" spans="1:17" hidden="1" x14ac:dyDescent="0.3">
      <c r="A1069" s="2">
        <v>38322</v>
      </c>
      <c r="B1069" s="3" t="s">
        <v>12</v>
      </c>
      <c r="C1069" s="3" t="s">
        <v>19</v>
      </c>
      <c r="D1069" s="3" t="s">
        <v>26</v>
      </c>
      <c r="E1069" s="3" t="s">
        <v>27</v>
      </c>
      <c r="F1069" s="3">
        <v>44.77</v>
      </c>
      <c r="G1069" s="3" t="s">
        <v>28</v>
      </c>
      <c r="H1069" s="3" t="s">
        <v>29</v>
      </c>
      <c r="I1069" s="3">
        <f>IF(C1069="India",1,IF(C1069="USA",INDEX('Currency Master'!B:B,MATCH(DATE(N1069,MONTH(DATEVALUE(O1069&amp;" 1")),1),'Currency Master'!A:A,0)),IF(C1069="Australia",INDEX('Currency Master'!T:T,MATCH(DATE(N1069,MONTH(DATEVALUE(O1069&amp;" 1")),1),'Currency Master'!A:A,0)),"")))</f>
        <v>43.924765999999998</v>
      </c>
      <c r="J1069" s="3">
        <f t="shared" si="64"/>
        <v>15434</v>
      </c>
      <c r="K1069" s="3" t="str">
        <f t="shared" si="65"/>
        <v>₹/Candy</v>
      </c>
      <c r="L1069" s="3">
        <v>-7.9753340184994803E-2</v>
      </c>
      <c r="M1069" s="3"/>
      <c r="N1069" s="3">
        <f t="shared" si="66"/>
        <v>2004</v>
      </c>
      <c r="O1069" s="3" t="str">
        <f t="shared" si="67"/>
        <v>December</v>
      </c>
      <c r="P1069" s="3" t="s">
        <v>30</v>
      </c>
      <c r="Q1069" s="3"/>
    </row>
    <row r="1070" spans="1:17" hidden="1" x14ac:dyDescent="0.3">
      <c r="A1070" s="2">
        <v>38292</v>
      </c>
      <c r="B1070" s="3" t="s">
        <v>12</v>
      </c>
      <c r="C1070" s="3" t="s">
        <v>19</v>
      </c>
      <c r="D1070" s="3" t="s">
        <v>26</v>
      </c>
      <c r="E1070" s="3" t="s">
        <v>27</v>
      </c>
      <c r="F1070" s="3">
        <v>48.65</v>
      </c>
      <c r="G1070" s="3" t="s">
        <v>28</v>
      </c>
      <c r="H1070" s="3" t="s">
        <v>29</v>
      </c>
      <c r="I1070" s="3">
        <f>IF(C1070="India",1,IF(C1070="USA",INDEX('Currency Master'!B:B,MATCH(DATE(N1070,MONTH(DATEVALUE(O1070&amp;" 1")),1),'Currency Master'!A:A,0)),IF(C1070="Australia",INDEX('Currency Master'!T:T,MATCH(DATE(N1070,MONTH(DATEVALUE(O1070&amp;" 1")),1),'Currency Master'!A:A,0)),"")))</f>
        <v>45.061787000000002</v>
      </c>
      <c r="J1070" s="3">
        <f t="shared" si="64"/>
        <v>17206</v>
      </c>
      <c r="K1070" s="3" t="str">
        <f t="shared" si="65"/>
        <v>₹/Candy</v>
      </c>
      <c r="L1070" s="3">
        <v>8.1591818586038298E-2</v>
      </c>
      <c r="M1070" s="3"/>
      <c r="N1070" s="3">
        <f t="shared" si="66"/>
        <v>2004</v>
      </c>
      <c r="O1070" s="3" t="str">
        <f t="shared" si="67"/>
        <v>November</v>
      </c>
      <c r="P1070" s="3" t="s">
        <v>30</v>
      </c>
      <c r="Q1070" s="3"/>
    </row>
    <row r="1071" spans="1:17" hidden="1" x14ac:dyDescent="0.3">
      <c r="A1071" s="2">
        <v>38261</v>
      </c>
      <c r="B1071" s="3" t="s">
        <v>12</v>
      </c>
      <c r="C1071" s="3" t="s">
        <v>19</v>
      </c>
      <c r="D1071" s="3" t="s">
        <v>26</v>
      </c>
      <c r="E1071" s="3" t="s">
        <v>27</v>
      </c>
      <c r="F1071" s="3">
        <v>44.98</v>
      </c>
      <c r="G1071" s="3" t="s">
        <v>28</v>
      </c>
      <c r="H1071" s="3" t="s">
        <v>29</v>
      </c>
      <c r="I1071" s="3">
        <f>IF(C1071="India",1,IF(C1071="USA",INDEX('Currency Master'!B:B,MATCH(DATE(N1071,MONTH(DATEVALUE(O1071&amp;" 1")),1),'Currency Master'!A:A,0)),IF(C1071="Australia",INDEX('Currency Master'!T:T,MATCH(DATE(N1071,MONTH(DATEVALUE(O1071&amp;" 1")),1),'Currency Master'!A:A,0)),"")))</f>
        <v>45.736904000000003</v>
      </c>
      <c r="J1071" s="3">
        <f t="shared" si="64"/>
        <v>16146</v>
      </c>
      <c r="K1071" s="3" t="str">
        <f t="shared" si="65"/>
        <v>₹/Candy</v>
      </c>
      <c r="L1071" s="3">
        <v>-6.4864864864864993E-2</v>
      </c>
      <c r="M1071" s="3"/>
      <c r="N1071" s="3">
        <f t="shared" si="66"/>
        <v>2004</v>
      </c>
      <c r="O1071" s="3" t="str">
        <f t="shared" si="67"/>
        <v>October</v>
      </c>
      <c r="P1071" s="3" t="s">
        <v>30</v>
      </c>
      <c r="Q1071" s="3"/>
    </row>
    <row r="1072" spans="1:17" hidden="1" x14ac:dyDescent="0.3">
      <c r="A1072" s="2">
        <v>38231</v>
      </c>
      <c r="B1072" s="3" t="s">
        <v>12</v>
      </c>
      <c r="C1072" s="3" t="s">
        <v>19</v>
      </c>
      <c r="D1072" s="3" t="s">
        <v>26</v>
      </c>
      <c r="E1072" s="3" t="s">
        <v>27</v>
      </c>
      <c r="F1072" s="3">
        <v>48.1</v>
      </c>
      <c r="G1072" s="3" t="s">
        <v>28</v>
      </c>
      <c r="H1072" s="3" t="s">
        <v>29</v>
      </c>
      <c r="I1072" s="3">
        <f>IF(C1072="India",1,IF(C1072="USA",INDEX('Currency Master'!B:B,MATCH(DATE(N1072,MONTH(DATEVALUE(O1072&amp;" 1")),1),'Currency Master'!A:A,0)),IF(C1072="Australia",INDEX('Currency Master'!T:T,MATCH(DATE(N1072,MONTH(DATEVALUE(O1072&amp;" 1")),1),'Currency Master'!A:A,0)),"")))</f>
        <v>46.015847999999998</v>
      </c>
      <c r="J1072" s="3">
        <f t="shared" si="64"/>
        <v>17371</v>
      </c>
      <c r="K1072" s="3" t="str">
        <f t="shared" si="65"/>
        <v>₹/Candy</v>
      </c>
      <c r="L1072" s="3" t="e">
        <v>#DIV/0!</v>
      </c>
      <c r="M1072" s="3"/>
      <c r="N1072" s="3">
        <f t="shared" si="66"/>
        <v>2004</v>
      </c>
      <c r="O1072" s="3" t="str">
        <f t="shared" si="67"/>
        <v>September</v>
      </c>
      <c r="P1072" s="3" t="s">
        <v>30</v>
      </c>
      <c r="Q1072" s="3"/>
    </row>
    <row r="1073" spans="1:17" hidden="1" x14ac:dyDescent="0.3">
      <c r="A1073" s="2">
        <v>45047</v>
      </c>
      <c r="B1073" s="3" t="s">
        <v>31</v>
      </c>
      <c r="C1073" s="3" t="s">
        <v>32</v>
      </c>
      <c r="D1073" s="3" t="s">
        <v>33</v>
      </c>
      <c r="E1073" s="3" t="s">
        <v>34</v>
      </c>
      <c r="F1073" s="3">
        <v>864.59</v>
      </c>
      <c r="G1073" s="3" t="s">
        <v>35</v>
      </c>
      <c r="H1073" s="3" t="s">
        <v>36</v>
      </c>
      <c r="I1073" s="3">
        <f>IF(C1073="India",1,IF(C1073="USA",INDEX('Currency Master'!B:B,MATCH(DATE(N1073,MONTH(DATEVALUE(O1073&amp;" 1")),1),'Currency Master'!A:A,0)),IF(C1073="Australia",INDEX('Currency Master'!T:T,MATCH(DATE(N1073,MONTH(DATEVALUE(O1073&amp;" 1")),1),'Currency Master'!A:A,0)),"")))</f>
        <v>56.354999999999997</v>
      </c>
      <c r="J1073" s="3">
        <f t="shared" si="64"/>
        <v>487.24</v>
      </c>
      <c r="K1073" s="3" t="str">
        <f t="shared" si="65"/>
        <v>₹/Kg</v>
      </c>
      <c r="L1073" s="3">
        <v>-3.0630893251561198E-2</v>
      </c>
      <c r="M1073" s="3"/>
      <c r="N1073" s="3">
        <f t="shared" si="66"/>
        <v>2023</v>
      </c>
      <c r="O1073" s="3" t="str">
        <f t="shared" si="67"/>
        <v>May</v>
      </c>
      <c r="P1073" s="3" t="s">
        <v>37</v>
      </c>
      <c r="Q1073" s="3"/>
    </row>
    <row r="1074" spans="1:17" hidden="1" x14ac:dyDescent="0.3">
      <c r="A1074" s="2">
        <v>45017</v>
      </c>
      <c r="B1074" s="3" t="s">
        <v>31</v>
      </c>
      <c r="C1074" s="3" t="s">
        <v>32</v>
      </c>
      <c r="D1074" s="3" t="s">
        <v>33</v>
      </c>
      <c r="E1074" s="3" t="s">
        <v>34</v>
      </c>
      <c r="F1074" s="3">
        <v>891.91</v>
      </c>
      <c r="G1074" s="3" t="s">
        <v>35</v>
      </c>
      <c r="H1074" s="3" t="s">
        <v>36</v>
      </c>
      <c r="I1074" s="3">
        <f>IF(C1074="India",1,IF(C1074="USA",INDEX('Currency Master'!B:B,MATCH(DATE(N1074,MONTH(DATEVALUE(O1074&amp;" 1")),1),'Currency Master'!A:A,0)),IF(C1074="Australia",INDEX('Currency Master'!T:T,MATCH(DATE(N1074,MONTH(DATEVALUE(O1074&amp;" 1")),1),'Currency Master'!A:A,0)),"")))</f>
        <v>55.21</v>
      </c>
      <c r="J1074" s="3">
        <f t="shared" si="64"/>
        <v>492.42</v>
      </c>
      <c r="K1074" s="3" t="str">
        <f t="shared" si="65"/>
        <v>₹/Kg</v>
      </c>
      <c r="L1074" s="3">
        <v>-3.7230138169257403E-2</v>
      </c>
      <c r="M1074" s="3"/>
      <c r="N1074" s="3">
        <f t="shared" si="66"/>
        <v>2023</v>
      </c>
      <c r="O1074" s="3" t="str">
        <f t="shared" si="67"/>
        <v>April</v>
      </c>
      <c r="P1074" s="3" t="s">
        <v>37</v>
      </c>
      <c r="Q1074" s="3"/>
    </row>
    <row r="1075" spans="1:17" hidden="1" x14ac:dyDescent="0.3">
      <c r="A1075" s="2">
        <v>44986</v>
      </c>
      <c r="B1075" s="3" t="s">
        <v>31</v>
      </c>
      <c r="C1075" s="3" t="s">
        <v>32</v>
      </c>
      <c r="D1075" s="3" t="s">
        <v>33</v>
      </c>
      <c r="E1075" s="3" t="s">
        <v>34</v>
      </c>
      <c r="F1075" s="3">
        <v>926.4</v>
      </c>
      <c r="G1075" s="3" t="s">
        <v>35</v>
      </c>
      <c r="H1075" s="3" t="s">
        <v>36</v>
      </c>
      <c r="I1075" s="3">
        <f>IF(C1075="India",1,IF(C1075="USA",INDEX('Currency Master'!B:B,MATCH(DATE(N1075,MONTH(DATEVALUE(O1075&amp;" 1")),1),'Currency Master'!A:A,0)),IF(C1075="Australia",INDEX('Currency Master'!T:T,MATCH(DATE(N1075,MONTH(DATEVALUE(O1075&amp;" 1")),1),'Currency Master'!A:A,0)),"")))</f>
        <v>52.948</v>
      </c>
      <c r="J1075" s="3">
        <f t="shared" si="64"/>
        <v>490.51</v>
      </c>
      <c r="K1075" s="3" t="str">
        <f t="shared" si="65"/>
        <v>₹/Kg</v>
      </c>
      <c r="L1075" s="3">
        <v>-5.9482837389212097E-2</v>
      </c>
      <c r="M1075" s="3"/>
      <c r="N1075" s="3">
        <f t="shared" si="66"/>
        <v>2023</v>
      </c>
      <c r="O1075" s="3" t="str">
        <f t="shared" si="67"/>
        <v>March</v>
      </c>
      <c r="P1075" s="3" t="s">
        <v>37</v>
      </c>
      <c r="Q1075" s="3"/>
    </row>
    <row r="1076" spans="1:17" hidden="1" x14ac:dyDescent="0.3">
      <c r="A1076" s="2">
        <v>44958</v>
      </c>
      <c r="B1076" s="3" t="s">
        <v>31</v>
      </c>
      <c r="C1076" s="3" t="s">
        <v>32</v>
      </c>
      <c r="D1076" s="3" t="s">
        <v>33</v>
      </c>
      <c r="E1076" s="3" t="s">
        <v>34</v>
      </c>
      <c r="F1076" s="3">
        <v>984.99</v>
      </c>
      <c r="G1076" s="3" t="s">
        <v>35</v>
      </c>
      <c r="H1076" s="3" t="s">
        <v>36</v>
      </c>
      <c r="I1076" s="3">
        <f>IF(C1076="India",1,IF(C1076="USA",INDEX('Currency Master'!B:B,MATCH(DATE(N1076,MONTH(DATEVALUE(O1076&amp;" 1")),1),'Currency Master'!A:A,0)),IF(C1076="Australia",INDEX('Currency Master'!T:T,MATCH(DATE(N1076,MONTH(DATEVALUE(O1076&amp;" 1")),1),'Currency Master'!A:A,0)),"")))</f>
        <v>52.182000000000002</v>
      </c>
      <c r="J1076" s="3">
        <f t="shared" si="64"/>
        <v>513.99</v>
      </c>
      <c r="K1076" s="3" t="str">
        <f t="shared" si="65"/>
        <v>₹/Kg</v>
      </c>
      <c r="L1076" s="3">
        <v>4.18654340444886E-2</v>
      </c>
      <c r="M1076" s="3"/>
      <c r="N1076" s="3">
        <f t="shared" si="66"/>
        <v>2023</v>
      </c>
      <c r="O1076" s="3" t="str">
        <f t="shared" si="67"/>
        <v>February</v>
      </c>
      <c r="P1076" s="3" t="s">
        <v>37</v>
      </c>
      <c r="Q1076" s="3"/>
    </row>
    <row r="1077" spans="1:17" hidden="1" x14ac:dyDescent="0.3">
      <c r="A1077" s="2">
        <v>44927</v>
      </c>
      <c r="B1077" s="3" t="s">
        <v>31</v>
      </c>
      <c r="C1077" s="3" t="s">
        <v>32</v>
      </c>
      <c r="D1077" s="3" t="s">
        <v>33</v>
      </c>
      <c r="E1077" s="3" t="s">
        <v>34</v>
      </c>
      <c r="F1077" s="3">
        <v>945.41</v>
      </c>
      <c r="G1077" s="3" t="s">
        <v>35</v>
      </c>
      <c r="H1077" s="3" t="s">
        <v>36</v>
      </c>
      <c r="I1077" s="3">
        <f>IF(C1077="India",1,IF(C1077="USA",INDEX('Currency Master'!B:B,MATCH(DATE(N1077,MONTH(DATEVALUE(O1077&amp;" 1")),1),'Currency Master'!A:A,0)),IF(C1077="Australia",INDEX('Currency Master'!T:T,MATCH(DATE(N1077,MONTH(DATEVALUE(O1077&amp;" 1")),1),'Currency Master'!A:A,0)),"")))</f>
        <v>54.363999999999997</v>
      </c>
      <c r="J1077" s="3">
        <f t="shared" si="64"/>
        <v>513.96</v>
      </c>
      <c r="K1077" s="3" t="str">
        <f t="shared" si="65"/>
        <v>₹/Kg</v>
      </c>
      <c r="L1077" s="3">
        <v>8.1799999999999998E-2</v>
      </c>
      <c r="M1077" s="3"/>
      <c r="N1077" s="3">
        <f t="shared" si="66"/>
        <v>2023</v>
      </c>
      <c r="O1077" s="3" t="str">
        <f t="shared" si="67"/>
        <v>January</v>
      </c>
      <c r="P1077" s="3" t="s">
        <v>37</v>
      </c>
      <c r="Q1077" s="3"/>
    </row>
    <row r="1078" spans="1:17" hidden="1" x14ac:dyDescent="0.3">
      <c r="A1078" s="2">
        <v>44896</v>
      </c>
      <c r="B1078" s="3" t="s">
        <v>31</v>
      </c>
      <c r="C1078" s="3" t="s">
        <v>32</v>
      </c>
      <c r="D1078" s="3" t="s">
        <v>33</v>
      </c>
      <c r="E1078" s="3" t="s">
        <v>34</v>
      </c>
      <c r="F1078" s="3">
        <v>873.95</v>
      </c>
      <c r="G1078" s="3" t="s">
        <v>35</v>
      </c>
      <c r="H1078" s="3" t="s">
        <v>36</v>
      </c>
      <c r="I1078" s="3">
        <f>IF(C1078="India",1,IF(C1078="USA",INDEX('Currency Master'!B:B,MATCH(DATE(N1078,MONTH(DATEVALUE(O1078&amp;" 1")),1),'Currency Master'!A:A,0)),IF(C1078="Australia",INDEX('Currency Master'!T:T,MATCH(DATE(N1078,MONTH(DATEVALUE(O1078&amp;" 1")),1),'Currency Master'!A:A,0)),"")))</f>
        <v>55.415999999999997</v>
      </c>
      <c r="J1078" s="3">
        <f t="shared" si="64"/>
        <v>484.31</v>
      </c>
      <c r="K1078" s="3" t="str">
        <f t="shared" si="65"/>
        <v>₹/Kg</v>
      </c>
      <c r="L1078" s="3">
        <v>4.6699999999999998E-2</v>
      </c>
      <c r="M1078" s="3"/>
      <c r="N1078" s="3">
        <f t="shared" si="66"/>
        <v>2022</v>
      </c>
      <c r="O1078" s="3" t="str">
        <f t="shared" si="67"/>
        <v>December</v>
      </c>
      <c r="P1078" s="3" t="s">
        <v>37</v>
      </c>
      <c r="Q1078" s="3"/>
    </row>
    <row r="1079" spans="1:17" hidden="1" x14ac:dyDescent="0.3">
      <c r="A1079" s="2">
        <v>44866</v>
      </c>
      <c r="B1079" s="3" t="s">
        <v>31</v>
      </c>
      <c r="C1079" s="3" t="s">
        <v>32</v>
      </c>
      <c r="D1079" s="3" t="s">
        <v>33</v>
      </c>
      <c r="E1079" s="3" t="s">
        <v>34</v>
      </c>
      <c r="F1079" s="3">
        <v>834.94</v>
      </c>
      <c r="G1079" s="3" t="s">
        <v>35</v>
      </c>
      <c r="H1079" s="3" t="s">
        <v>36</v>
      </c>
      <c r="I1079" s="3">
        <f>IF(C1079="India",1,IF(C1079="USA",INDEX('Currency Master'!B:B,MATCH(DATE(N1079,MONTH(DATEVALUE(O1079&amp;" 1")),1),'Currency Master'!A:A,0)),IF(C1079="Australia",INDEX('Currency Master'!T:T,MATCH(DATE(N1079,MONTH(DATEVALUE(O1079&amp;" 1")),1),'Currency Master'!A:A,0)),"")))</f>
        <v>54.482999999999997</v>
      </c>
      <c r="J1079" s="3">
        <f t="shared" si="64"/>
        <v>454.9</v>
      </c>
      <c r="K1079" s="3" t="str">
        <f t="shared" si="65"/>
        <v>₹/Kg</v>
      </c>
      <c r="L1079" s="3">
        <v>9.1999999999999998E-3</v>
      </c>
      <c r="M1079" s="3"/>
      <c r="N1079" s="3">
        <f t="shared" si="66"/>
        <v>2022</v>
      </c>
      <c r="O1079" s="3" t="str">
        <f t="shared" si="67"/>
        <v>November</v>
      </c>
      <c r="P1079" s="3" t="s">
        <v>37</v>
      </c>
      <c r="Q1079" s="3"/>
    </row>
    <row r="1080" spans="1:17" hidden="1" x14ac:dyDescent="0.3">
      <c r="A1080" s="2">
        <v>44835</v>
      </c>
      <c r="B1080" s="3" t="s">
        <v>31</v>
      </c>
      <c r="C1080" s="3" t="s">
        <v>32</v>
      </c>
      <c r="D1080" s="3" t="s">
        <v>33</v>
      </c>
      <c r="E1080" s="3" t="s">
        <v>34</v>
      </c>
      <c r="F1080" s="3">
        <v>827.3</v>
      </c>
      <c r="G1080" s="3" t="s">
        <v>35</v>
      </c>
      <c r="H1080" s="3" t="s">
        <v>36</v>
      </c>
      <c r="I1080" s="3">
        <f>IF(C1080="India",1,IF(C1080="USA",INDEX('Currency Master'!B:B,MATCH(DATE(N1080,MONTH(DATEVALUE(O1080&amp;" 1")),1),'Currency Master'!A:A,0)),IF(C1080="Australia",INDEX('Currency Master'!T:T,MATCH(DATE(N1080,MONTH(DATEVALUE(O1080&amp;" 1")),1),'Currency Master'!A:A,0)),"")))</f>
        <v>55.648000000000003</v>
      </c>
      <c r="J1080" s="3">
        <f t="shared" si="64"/>
        <v>460.38</v>
      </c>
      <c r="K1080" s="3" t="str">
        <f t="shared" si="65"/>
        <v>₹/Kg</v>
      </c>
      <c r="L1080" s="3">
        <v>-3.4200000000000001E-2</v>
      </c>
      <c r="M1080" s="3"/>
      <c r="N1080" s="3">
        <f t="shared" si="66"/>
        <v>2022</v>
      </c>
      <c r="O1080" s="3" t="str">
        <f t="shared" si="67"/>
        <v>October</v>
      </c>
      <c r="P1080" s="3" t="s">
        <v>37</v>
      </c>
      <c r="Q1080" s="3"/>
    </row>
    <row r="1081" spans="1:17" hidden="1" x14ac:dyDescent="0.3">
      <c r="A1081" s="2">
        <v>44805</v>
      </c>
      <c r="B1081" s="3" t="s">
        <v>31</v>
      </c>
      <c r="C1081" s="3" t="s">
        <v>32</v>
      </c>
      <c r="D1081" s="3" t="s">
        <v>33</v>
      </c>
      <c r="E1081" s="3" t="s">
        <v>34</v>
      </c>
      <c r="F1081" s="3">
        <v>856.58</v>
      </c>
      <c r="G1081" s="3" t="s">
        <v>35</v>
      </c>
      <c r="H1081" s="3" t="s">
        <v>36</v>
      </c>
      <c r="I1081" s="3">
        <f>IF(C1081="India",1,IF(C1081="USA",INDEX('Currency Master'!B:B,MATCH(DATE(N1081,MONTH(DATEVALUE(O1081&amp;" 1")),1),'Currency Master'!A:A,0)),IF(C1081="Australia",INDEX('Currency Master'!T:T,MATCH(DATE(N1081,MONTH(DATEVALUE(O1081&amp;" 1")),1),'Currency Master'!A:A,0)),"")))</f>
        <v>54.045999999999999</v>
      </c>
      <c r="J1081" s="3">
        <f t="shared" si="64"/>
        <v>462.95</v>
      </c>
      <c r="K1081" s="3" t="str">
        <f t="shared" si="65"/>
        <v>₹/Kg</v>
      </c>
      <c r="L1081" s="3">
        <v>-4.2700000000000002E-2</v>
      </c>
      <c r="M1081" s="3"/>
      <c r="N1081" s="3">
        <f t="shared" si="66"/>
        <v>2022</v>
      </c>
      <c r="O1081" s="3" t="str">
        <f t="shared" si="67"/>
        <v>September</v>
      </c>
      <c r="P1081" s="3" t="s">
        <v>37</v>
      </c>
      <c r="Q1081" s="3"/>
    </row>
    <row r="1082" spans="1:17" hidden="1" x14ac:dyDescent="0.3">
      <c r="A1082" s="2">
        <v>44774</v>
      </c>
      <c r="B1082" s="3" t="s">
        <v>31</v>
      </c>
      <c r="C1082" s="3" t="s">
        <v>32</v>
      </c>
      <c r="D1082" s="3" t="s">
        <v>33</v>
      </c>
      <c r="E1082" s="3" t="s">
        <v>34</v>
      </c>
      <c r="F1082" s="3">
        <v>894.83</v>
      </c>
      <c r="G1082" s="3" t="s">
        <v>35</v>
      </c>
      <c r="H1082" s="3" t="s">
        <v>36</v>
      </c>
      <c r="I1082" s="3">
        <f>IF(C1082="India",1,IF(C1082="USA",INDEX('Currency Master'!B:B,MATCH(DATE(N1082,MONTH(DATEVALUE(O1082&amp;" 1")),1),'Currency Master'!A:A,0)),IF(C1082="Australia",INDEX('Currency Master'!T:T,MATCH(DATE(N1082,MONTH(DATEVALUE(O1082&amp;" 1")),1),'Currency Master'!A:A,0)),"")))</f>
        <v>56.774000000000001</v>
      </c>
      <c r="J1082" s="3">
        <f t="shared" si="64"/>
        <v>508.03</v>
      </c>
      <c r="K1082" s="3" t="str">
        <f t="shared" si="65"/>
        <v>₹/Kg</v>
      </c>
      <c r="L1082" s="3">
        <v>-2.8400000000000002E-2</v>
      </c>
      <c r="M1082" s="3"/>
      <c r="N1082" s="3">
        <f t="shared" si="66"/>
        <v>2022</v>
      </c>
      <c r="O1082" s="3" t="str">
        <f t="shared" si="67"/>
        <v>August</v>
      </c>
      <c r="P1082" s="3" t="s">
        <v>37</v>
      </c>
      <c r="Q1082" s="3"/>
    </row>
    <row r="1083" spans="1:17" hidden="1" x14ac:dyDescent="0.3">
      <c r="A1083" s="2">
        <v>44743</v>
      </c>
      <c r="B1083" s="3" t="s">
        <v>31</v>
      </c>
      <c r="C1083" s="3" t="s">
        <v>32</v>
      </c>
      <c r="D1083" s="3" t="s">
        <v>33</v>
      </c>
      <c r="E1083" s="3" t="s">
        <v>34</v>
      </c>
      <c r="F1083" s="3">
        <v>920.96</v>
      </c>
      <c r="G1083" s="3" t="s">
        <v>35</v>
      </c>
      <c r="H1083" s="3" t="s">
        <v>36</v>
      </c>
      <c r="I1083" s="3">
        <f>IF(C1083="India",1,IF(C1083="USA",INDEX('Currency Master'!B:B,MATCH(DATE(N1083,MONTH(DATEVALUE(O1083&amp;" 1")),1),'Currency Master'!A:A,0)),IF(C1083="Australia",INDEX('Currency Master'!T:T,MATCH(DATE(N1083,MONTH(DATEVALUE(O1083&amp;" 1")),1),'Currency Master'!A:A,0)),"")))</f>
        <v>54.823</v>
      </c>
      <c r="J1083" s="3">
        <f t="shared" si="64"/>
        <v>504.9</v>
      </c>
      <c r="K1083" s="3" t="str">
        <f t="shared" si="65"/>
        <v>₹/Kg</v>
      </c>
      <c r="L1083" s="3">
        <v>-5.8700000000000002E-2</v>
      </c>
      <c r="M1083" s="3"/>
      <c r="N1083" s="3">
        <f t="shared" si="66"/>
        <v>2022</v>
      </c>
      <c r="O1083" s="3" t="str">
        <f t="shared" si="67"/>
        <v>July</v>
      </c>
      <c r="P1083" s="3" t="s">
        <v>37</v>
      </c>
      <c r="Q1083" s="3"/>
    </row>
    <row r="1084" spans="1:17" hidden="1" x14ac:dyDescent="0.3">
      <c r="A1084" s="2">
        <v>44713</v>
      </c>
      <c r="B1084" s="3" t="s">
        <v>31</v>
      </c>
      <c r="C1084" s="3" t="s">
        <v>32</v>
      </c>
      <c r="D1084" s="3" t="s">
        <v>33</v>
      </c>
      <c r="E1084" s="3" t="s">
        <v>34</v>
      </c>
      <c r="F1084" s="3">
        <v>978.41</v>
      </c>
      <c r="G1084" s="3" t="s">
        <v>35</v>
      </c>
      <c r="H1084" s="3" t="s">
        <v>36</v>
      </c>
      <c r="I1084" s="3">
        <f>IF(C1084="India",1,IF(C1084="USA",INDEX('Currency Master'!B:B,MATCH(DATE(N1084,MONTH(DATEVALUE(O1084&amp;" 1")),1),'Currency Master'!A:A,0)),IF(C1084="Australia",INDEX('Currency Master'!T:T,MATCH(DATE(N1084,MONTH(DATEVALUE(O1084&amp;" 1")),1),'Currency Master'!A:A,0)),"")))</f>
        <v>52.646999999999998</v>
      </c>
      <c r="J1084" s="3">
        <f t="shared" si="64"/>
        <v>515.1</v>
      </c>
      <c r="K1084" s="3" t="str">
        <f t="shared" si="65"/>
        <v>₹/Kg</v>
      </c>
      <c r="L1084" s="3">
        <v>3.3799999999999997E-2</v>
      </c>
      <c r="M1084" s="3"/>
      <c r="N1084" s="3">
        <f t="shared" si="66"/>
        <v>2022</v>
      </c>
      <c r="O1084" s="3" t="str">
        <f t="shared" si="67"/>
        <v>June</v>
      </c>
      <c r="P1084" s="3" t="s">
        <v>37</v>
      </c>
      <c r="Q1084" s="3"/>
    </row>
    <row r="1085" spans="1:17" hidden="1" x14ac:dyDescent="0.3">
      <c r="A1085" s="2">
        <v>44682</v>
      </c>
      <c r="B1085" s="3" t="s">
        <v>31</v>
      </c>
      <c r="C1085" s="3" t="s">
        <v>32</v>
      </c>
      <c r="D1085" s="3" t="s">
        <v>33</v>
      </c>
      <c r="E1085" s="3" t="s">
        <v>34</v>
      </c>
      <c r="F1085" s="3">
        <v>946.46</v>
      </c>
      <c r="G1085" s="3" t="s">
        <v>35</v>
      </c>
      <c r="H1085" s="3" t="s">
        <v>36</v>
      </c>
      <c r="I1085" s="3">
        <f>IF(C1085="India",1,IF(C1085="USA",INDEX('Currency Master'!B:B,MATCH(DATE(N1085,MONTH(DATEVALUE(O1085&amp;" 1")),1),'Currency Master'!A:A,0)),IF(C1085="Australia",INDEX('Currency Master'!T:T,MATCH(DATE(N1085,MONTH(DATEVALUE(O1085&amp;" 1")),1),'Currency Master'!A:A,0)),"")))</f>
        <v>54.063000000000002</v>
      </c>
      <c r="J1085" s="3">
        <f t="shared" si="64"/>
        <v>511.68</v>
      </c>
      <c r="K1085" s="3" t="str">
        <f t="shared" si="65"/>
        <v>₹/Kg</v>
      </c>
      <c r="L1085" s="3">
        <v>2.0000000000000001E-4</v>
      </c>
      <c r="M1085" s="3"/>
      <c r="N1085" s="3">
        <f t="shared" si="66"/>
        <v>2022</v>
      </c>
      <c r="O1085" s="3" t="str">
        <f t="shared" si="67"/>
        <v>May</v>
      </c>
      <c r="P1085" s="3" t="s">
        <v>37</v>
      </c>
      <c r="Q1085" s="3"/>
    </row>
    <row r="1086" spans="1:17" hidden="1" x14ac:dyDescent="0.3">
      <c r="A1086" s="2">
        <v>44652</v>
      </c>
      <c r="B1086" s="3" t="s">
        <v>31</v>
      </c>
      <c r="C1086" s="3" t="s">
        <v>32</v>
      </c>
      <c r="D1086" s="3" t="s">
        <v>33</v>
      </c>
      <c r="E1086" s="3" t="s">
        <v>34</v>
      </c>
      <c r="F1086" s="3">
        <v>946.25</v>
      </c>
      <c r="G1086" s="3" t="s">
        <v>35</v>
      </c>
      <c r="H1086" s="3" t="s">
        <v>36</v>
      </c>
      <c r="I1086" s="3">
        <f>IF(C1086="India",1,IF(C1086="USA",INDEX('Currency Master'!B:B,MATCH(DATE(N1086,MONTH(DATEVALUE(O1086&amp;" 1")),1),'Currency Master'!A:A,0)),IF(C1086="Australia",INDEX('Currency Master'!T:T,MATCH(DATE(N1086,MONTH(DATEVALUE(O1086&amp;" 1")),1),'Currency Master'!A:A,0)),"")))</f>
        <v>53.487000000000002</v>
      </c>
      <c r="J1086" s="3">
        <f t="shared" si="64"/>
        <v>506.12</v>
      </c>
      <c r="K1086" s="3" t="str">
        <f t="shared" si="65"/>
        <v>₹/Kg</v>
      </c>
      <c r="L1086" s="3">
        <v>-5.9999999999999995E-4</v>
      </c>
      <c r="M1086" s="3"/>
      <c r="N1086" s="3">
        <f t="shared" si="66"/>
        <v>2022</v>
      </c>
      <c r="O1086" s="3" t="str">
        <f t="shared" si="67"/>
        <v>April</v>
      </c>
      <c r="P1086" s="3" t="s">
        <v>37</v>
      </c>
      <c r="Q1086" s="3"/>
    </row>
    <row r="1087" spans="1:17" hidden="1" x14ac:dyDescent="0.3">
      <c r="A1087" s="2">
        <v>44621</v>
      </c>
      <c r="B1087" s="3" t="s">
        <v>31</v>
      </c>
      <c r="C1087" s="3" t="s">
        <v>32</v>
      </c>
      <c r="D1087" s="3" t="s">
        <v>33</v>
      </c>
      <c r="E1087" s="3" t="s">
        <v>34</v>
      </c>
      <c r="F1087" s="3">
        <v>946.77</v>
      </c>
      <c r="G1087" s="3" t="s">
        <v>35</v>
      </c>
      <c r="H1087" s="3" t="s">
        <v>36</v>
      </c>
      <c r="I1087" s="3">
        <f>IF(C1087="India",1,IF(C1087="USA",INDEX('Currency Master'!B:B,MATCH(DATE(N1087,MONTH(DATEVALUE(O1087&amp;" 1")),1),'Currency Master'!A:A,0)),IF(C1087="Australia",INDEX('Currency Master'!T:T,MATCH(DATE(N1087,MONTH(DATEVALUE(O1087&amp;" 1")),1),'Currency Master'!A:A,0)),"")))</f>
        <v>56.344000000000001</v>
      </c>
      <c r="J1087" s="3">
        <f t="shared" si="64"/>
        <v>533.45000000000005</v>
      </c>
      <c r="K1087" s="3" t="str">
        <f t="shared" si="65"/>
        <v>₹/Kg</v>
      </c>
      <c r="L1087" s="3">
        <v>2.1700000000000001E-2</v>
      </c>
      <c r="M1087" s="3"/>
      <c r="N1087" s="3">
        <f t="shared" si="66"/>
        <v>2022</v>
      </c>
      <c r="O1087" s="3" t="str">
        <f t="shared" si="67"/>
        <v>March</v>
      </c>
      <c r="P1087" s="3" t="s">
        <v>37</v>
      </c>
      <c r="Q1087" s="3"/>
    </row>
    <row r="1088" spans="1:17" hidden="1" x14ac:dyDescent="0.3">
      <c r="A1088" s="2">
        <v>44593</v>
      </c>
      <c r="B1088" s="3" t="s">
        <v>31</v>
      </c>
      <c r="C1088" s="3" t="s">
        <v>32</v>
      </c>
      <c r="D1088" s="3" t="s">
        <v>33</v>
      </c>
      <c r="E1088" s="3" t="s">
        <v>34</v>
      </c>
      <c r="F1088" s="3">
        <v>926.63</v>
      </c>
      <c r="G1088" s="3" t="s">
        <v>35</v>
      </c>
      <c r="H1088" s="3" t="s">
        <v>36</v>
      </c>
      <c r="I1088" s="3">
        <f>IF(C1088="India",1,IF(C1088="USA",INDEX('Currency Master'!B:B,MATCH(DATE(N1088,MONTH(DATEVALUE(O1088&amp;" 1")),1),'Currency Master'!A:A,0)),IF(C1088="Australia",INDEX('Currency Master'!T:T,MATCH(DATE(N1088,MONTH(DATEVALUE(O1088&amp;" 1")),1),'Currency Master'!A:A,0)),"")))</f>
        <v>53.591000000000001</v>
      </c>
      <c r="J1088" s="3">
        <f t="shared" si="64"/>
        <v>496.59</v>
      </c>
      <c r="K1088" s="3" t="str">
        <f t="shared" si="65"/>
        <v>₹/Kg</v>
      </c>
      <c r="L1088" s="3">
        <v>1.6799999999999999E-2</v>
      </c>
      <c r="M1088" s="3"/>
      <c r="N1088" s="3">
        <f t="shared" si="66"/>
        <v>2022</v>
      </c>
      <c r="O1088" s="3" t="str">
        <f t="shared" si="67"/>
        <v>February</v>
      </c>
      <c r="P1088" s="3" t="s">
        <v>37</v>
      </c>
      <c r="Q1088" s="3"/>
    </row>
    <row r="1089" spans="1:17" hidden="1" x14ac:dyDescent="0.3">
      <c r="A1089" s="2">
        <v>44562</v>
      </c>
      <c r="B1089" s="3" t="s">
        <v>31</v>
      </c>
      <c r="C1089" s="3" t="s">
        <v>32</v>
      </c>
      <c r="D1089" s="3" t="s">
        <v>33</v>
      </c>
      <c r="E1089" s="3" t="s">
        <v>34</v>
      </c>
      <c r="F1089" s="3">
        <v>911.32</v>
      </c>
      <c r="G1089" s="3" t="s">
        <v>35</v>
      </c>
      <c r="H1089" s="3" t="s">
        <v>36</v>
      </c>
      <c r="I1089" s="3">
        <f>IF(C1089="India",1,IF(C1089="USA",INDEX('Currency Master'!B:B,MATCH(DATE(N1089,MONTH(DATEVALUE(O1089&amp;" 1")),1),'Currency Master'!A:A,0)),IF(C1089="Australia",INDEX('Currency Master'!T:T,MATCH(DATE(N1089,MONTH(DATEVALUE(O1089&amp;" 1")),1),'Currency Master'!A:A,0)),"")))</f>
        <v>53.360999999999997</v>
      </c>
      <c r="J1089" s="3">
        <f t="shared" si="64"/>
        <v>486.29</v>
      </c>
      <c r="K1089" s="3" t="str">
        <f t="shared" si="65"/>
        <v>₹/Kg</v>
      </c>
      <c r="L1089" s="3">
        <v>8.5000000000000006E-3</v>
      </c>
      <c r="M1089" s="3"/>
      <c r="N1089" s="3">
        <f t="shared" si="66"/>
        <v>2022</v>
      </c>
      <c r="O1089" s="3" t="str">
        <f t="shared" si="67"/>
        <v>January</v>
      </c>
      <c r="P1089" s="3" t="s">
        <v>37</v>
      </c>
      <c r="Q1089" s="3"/>
    </row>
    <row r="1090" spans="1:17" hidden="1" x14ac:dyDescent="0.3">
      <c r="A1090" s="2">
        <v>44531</v>
      </c>
      <c r="B1090" s="3" t="s">
        <v>31</v>
      </c>
      <c r="C1090" s="3" t="s">
        <v>32</v>
      </c>
      <c r="D1090" s="3" t="s">
        <v>33</v>
      </c>
      <c r="E1090" s="3" t="s">
        <v>34</v>
      </c>
      <c r="F1090" s="3">
        <v>903.62</v>
      </c>
      <c r="G1090" s="3" t="s">
        <v>35</v>
      </c>
      <c r="H1090" s="3" t="s">
        <v>36</v>
      </c>
      <c r="I1090" s="3">
        <f>IF(C1090="India",1,IF(C1090="USA",INDEX('Currency Master'!B:B,MATCH(DATE(N1090,MONTH(DATEVALUE(O1090&amp;" 1")),1),'Currency Master'!A:A,0)),IF(C1090="Australia",INDEX('Currency Master'!T:T,MATCH(DATE(N1090,MONTH(DATEVALUE(O1090&amp;" 1")),1),'Currency Master'!A:A,0)),"")))</f>
        <v>54.593000000000004</v>
      </c>
      <c r="J1090" s="3">
        <f t="shared" si="64"/>
        <v>493.31</v>
      </c>
      <c r="K1090" s="3" t="str">
        <f t="shared" si="65"/>
        <v>₹/Kg</v>
      </c>
      <c r="L1090" s="3">
        <v>1.4200000000000001E-2</v>
      </c>
      <c r="M1090" s="3"/>
      <c r="N1090" s="3">
        <f t="shared" si="66"/>
        <v>2021</v>
      </c>
      <c r="O1090" s="3" t="str">
        <f t="shared" si="67"/>
        <v>December</v>
      </c>
      <c r="P1090" s="3" t="s">
        <v>37</v>
      </c>
      <c r="Q1090" s="3"/>
    </row>
    <row r="1091" spans="1:17" hidden="1" x14ac:dyDescent="0.3">
      <c r="A1091" s="2">
        <v>44501</v>
      </c>
      <c r="B1091" s="3" t="s">
        <v>31</v>
      </c>
      <c r="C1091" s="3" t="s">
        <v>32</v>
      </c>
      <c r="D1091" s="3" t="s">
        <v>33</v>
      </c>
      <c r="E1091" s="3" t="s">
        <v>34</v>
      </c>
      <c r="F1091" s="3">
        <v>890.94</v>
      </c>
      <c r="G1091" s="3" t="s">
        <v>35</v>
      </c>
      <c r="H1091" s="3" t="s">
        <v>36</v>
      </c>
      <c r="I1091" s="3">
        <f>IF(C1091="India",1,IF(C1091="USA",INDEX('Currency Master'!B:B,MATCH(DATE(N1091,MONTH(DATEVALUE(O1091&amp;" 1")),1),'Currency Master'!A:A,0)),IF(C1091="Australia",INDEX('Currency Master'!T:T,MATCH(DATE(N1091,MONTH(DATEVALUE(O1091&amp;" 1")),1),'Currency Master'!A:A,0)),"")))</f>
        <v>55.755000000000003</v>
      </c>
      <c r="J1091" s="3">
        <f t="shared" ref="J1091:J1154" si="68">IF(C1091="India",F1091,IF(C1091="USA",IF(G1091="US Cents/Lb",ROUND(((F1091/100)/0.453592)*I1091*356,0),F1091),IF(C1091="Australia",IF(G1091="AUc/kg",ROUND((F1091/100)*I1091,2),F1091),"")))</f>
        <v>496.74</v>
      </c>
      <c r="K1091" s="3" t="str">
        <f t="shared" ref="K1091:K1154" si="69">IF(C1091="India",G1091,IF(C1091="USA","₹/Candy",IF(C1091="Australia","₹/Kg","")))</f>
        <v>₹/Kg</v>
      </c>
      <c r="L1091" s="3">
        <v>-3.0599999999999999E-2</v>
      </c>
      <c r="M1091" s="3"/>
      <c r="N1091" s="3">
        <f t="shared" ref="N1091:N1154" si="70">YEAR(A1091)</f>
        <v>2021</v>
      </c>
      <c r="O1091" s="3" t="str">
        <f t="shared" ref="O1091:O1154" si="71">TEXT(A1091,"mmmm")</f>
        <v>November</v>
      </c>
      <c r="P1091" s="3" t="s">
        <v>37</v>
      </c>
      <c r="Q1091" s="3"/>
    </row>
    <row r="1092" spans="1:17" hidden="1" x14ac:dyDescent="0.3">
      <c r="A1092" s="2">
        <v>44470</v>
      </c>
      <c r="B1092" s="3" t="s">
        <v>31</v>
      </c>
      <c r="C1092" s="3" t="s">
        <v>32</v>
      </c>
      <c r="D1092" s="3" t="s">
        <v>33</v>
      </c>
      <c r="E1092" s="3" t="s">
        <v>34</v>
      </c>
      <c r="F1092" s="3">
        <v>919.07</v>
      </c>
      <c r="G1092" s="3" t="s">
        <v>35</v>
      </c>
      <c r="H1092" s="3" t="s">
        <v>36</v>
      </c>
      <c r="I1092" s="3">
        <f>IF(C1092="India",1,IF(C1092="USA",INDEX('Currency Master'!B:B,MATCH(DATE(N1092,MONTH(DATEVALUE(O1092&amp;" 1")),1),'Currency Master'!A:A,0)),IF(C1092="Australia",INDEX('Currency Master'!T:T,MATCH(DATE(N1092,MONTH(DATEVALUE(O1092&amp;" 1")),1),'Currency Master'!A:A,0)),"")))</f>
        <v>56.066000000000003</v>
      </c>
      <c r="J1092" s="3">
        <f t="shared" si="68"/>
        <v>515.29</v>
      </c>
      <c r="K1092" s="3" t="str">
        <f t="shared" si="69"/>
        <v>₹/Kg</v>
      </c>
      <c r="L1092" s="3">
        <v>2.9000000000000001E-2</v>
      </c>
      <c r="M1092" s="3"/>
      <c r="N1092" s="3">
        <f t="shared" si="70"/>
        <v>2021</v>
      </c>
      <c r="O1092" s="3" t="str">
        <f t="shared" si="71"/>
        <v>October</v>
      </c>
      <c r="P1092" s="3" t="s">
        <v>37</v>
      </c>
      <c r="Q1092" s="3"/>
    </row>
    <row r="1093" spans="1:17" hidden="1" x14ac:dyDescent="0.3">
      <c r="A1093" s="2">
        <v>44440</v>
      </c>
      <c r="B1093" s="3" t="s">
        <v>31</v>
      </c>
      <c r="C1093" s="3" t="s">
        <v>32</v>
      </c>
      <c r="D1093" s="3" t="s">
        <v>33</v>
      </c>
      <c r="E1093" s="3" t="s">
        <v>34</v>
      </c>
      <c r="F1093" s="3">
        <v>893.14</v>
      </c>
      <c r="G1093" s="3" t="s">
        <v>35</v>
      </c>
      <c r="H1093" s="3" t="s">
        <v>36</v>
      </c>
      <c r="I1093" s="3">
        <f>IF(C1093="India",1,IF(C1093="USA",INDEX('Currency Master'!B:B,MATCH(DATE(N1093,MONTH(DATEVALUE(O1093&amp;" 1")),1),'Currency Master'!A:A,0)),IF(C1093="Australia",INDEX('Currency Master'!T:T,MATCH(DATE(N1093,MONTH(DATEVALUE(O1093&amp;" 1")),1),'Currency Master'!A:A,0)),"")))</f>
        <v>57.137</v>
      </c>
      <c r="J1093" s="3">
        <f t="shared" si="68"/>
        <v>510.31</v>
      </c>
      <c r="K1093" s="3" t="str">
        <f t="shared" si="69"/>
        <v>₹/Kg</v>
      </c>
      <c r="L1093" s="3">
        <v>-1.1900000000000001E-2</v>
      </c>
      <c r="M1093" s="3"/>
      <c r="N1093" s="3">
        <f t="shared" si="70"/>
        <v>2021</v>
      </c>
      <c r="O1093" s="3" t="str">
        <f t="shared" si="71"/>
        <v>September</v>
      </c>
      <c r="P1093" s="3" t="s">
        <v>37</v>
      </c>
      <c r="Q1093" s="3"/>
    </row>
    <row r="1094" spans="1:17" hidden="1" x14ac:dyDescent="0.3">
      <c r="A1094" s="2">
        <v>44409</v>
      </c>
      <c r="B1094" s="3" t="s">
        <v>31</v>
      </c>
      <c r="C1094" s="3" t="s">
        <v>32</v>
      </c>
      <c r="D1094" s="3" t="s">
        <v>33</v>
      </c>
      <c r="E1094" s="3" t="s">
        <v>34</v>
      </c>
      <c r="F1094" s="3">
        <v>903.93</v>
      </c>
      <c r="G1094" s="3" t="s">
        <v>35</v>
      </c>
      <c r="H1094" s="3" t="s">
        <v>36</v>
      </c>
      <c r="I1094" s="3">
        <f>IF(C1094="India",1,IF(C1094="USA",INDEX('Currency Master'!B:B,MATCH(DATE(N1094,MONTH(DATEVALUE(O1094&amp;" 1")),1),'Currency Master'!A:A,0)),IF(C1094="Australia",INDEX('Currency Master'!T:T,MATCH(DATE(N1094,MONTH(DATEVALUE(O1094&amp;" 1")),1),'Currency Master'!A:A,0)),"")))</f>
        <v>55.555</v>
      </c>
      <c r="J1094" s="3">
        <f t="shared" si="68"/>
        <v>502.18</v>
      </c>
      <c r="K1094" s="3" t="str">
        <f t="shared" si="69"/>
        <v>₹/Kg</v>
      </c>
      <c r="L1094" s="3">
        <v>-7.3400000000000007E-2</v>
      </c>
      <c r="M1094" s="3"/>
      <c r="N1094" s="3">
        <f t="shared" si="70"/>
        <v>2021</v>
      </c>
      <c r="O1094" s="3" t="str">
        <f t="shared" si="71"/>
        <v>August</v>
      </c>
      <c r="P1094" s="3" t="s">
        <v>37</v>
      </c>
      <c r="Q1094" s="3"/>
    </row>
    <row r="1095" spans="1:17" hidden="1" x14ac:dyDescent="0.3">
      <c r="A1095" s="2">
        <v>44378</v>
      </c>
      <c r="B1095" s="3" t="s">
        <v>31</v>
      </c>
      <c r="C1095" s="3" t="s">
        <v>32</v>
      </c>
      <c r="D1095" s="3" t="s">
        <v>33</v>
      </c>
      <c r="E1095" s="3" t="s">
        <v>34</v>
      </c>
      <c r="F1095" s="3">
        <v>975.53</v>
      </c>
      <c r="G1095" s="3" t="s">
        <v>35</v>
      </c>
      <c r="H1095" s="3" t="s">
        <v>36</v>
      </c>
      <c r="I1095" s="3">
        <f>IF(C1095="India",1,IF(C1095="USA",INDEX('Currency Master'!B:B,MATCH(DATE(N1095,MONTH(DATEVALUE(O1095&amp;" 1")),1),'Currency Master'!A:A,0)),IF(C1095="Australia",INDEX('Currency Master'!T:T,MATCH(DATE(N1095,MONTH(DATEVALUE(O1095&amp;" 1")),1),'Currency Master'!A:A,0)),"")))</f>
        <v>56.954999999999998</v>
      </c>
      <c r="J1095" s="3">
        <f t="shared" si="68"/>
        <v>555.61</v>
      </c>
      <c r="K1095" s="3" t="str">
        <f t="shared" si="69"/>
        <v>₹/Kg</v>
      </c>
      <c r="L1095" s="3">
        <v>-8.9999999999999993E-3</v>
      </c>
      <c r="M1095" s="3"/>
      <c r="N1095" s="3">
        <f t="shared" si="70"/>
        <v>2021</v>
      </c>
      <c r="O1095" s="3" t="str">
        <f t="shared" si="71"/>
        <v>July</v>
      </c>
      <c r="P1095" s="3" t="s">
        <v>37</v>
      </c>
      <c r="Q1095" s="3"/>
    </row>
    <row r="1096" spans="1:17" hidden="1" x14ac:dyDescent="0.3">
      <c r="A1096" s="2">
        <v>44348</v>
      </c>
      <c r="B1096" s="3" t="s">
        <v>31</v>
      </c>
      <c r="C1096" s="3" t="s">
        <v>32</v>
      </c>
      <c r="D1096" s="3" t="s">
        <v>33</v>
      </c>
      <c r="E1096" s="3" t="s">
        <v>34</v>
      </c>
      <c r="F1096" s="3">
        <v>984.37</v>
      </c>
      <c r="G1096" s="3" t="s">
        <v>35</v>
      </c>
      <c r="H1096" s="3" t="s">
        <v>36</v>
      </c>
      <c r="I1096" s="3">
        <f>IF(C1096="India",1,IF(C1096="USA",INDEX('Currency Master'!B:B,MATCH(DATE(N1096,MONTH(DATEVALUE(O1096&amp;" 1")),1),'Currency Master'!A:A,0)),IF(C1096="Australia",INDEX('Currency Master'!T:T,MATCH(DATE(N1096,MONTH(DATEVALUE(O1096&amp;" 1")),1),'Currency Master'!A:A,0)),"")))</f>
        <v>55.692999999999998</v>
      </c>
      <c r="J1096" s="3">
        <f t="shared" si="68"/>
        <v>548.23</v>
      </c>
      <c r="K1096" s="3" t="str">
        <f t="shared" si="69"/>
        <v>₹/Kg</v>
      </c>
      <c r="L1096" s="3">
        <v>6.7199999999999996E-2</v>
      </c>
      <c r="M1096" s="3"/>
      <c r="N1096" s="3">
        <f t="shared" si="70"/>
        <v>2021</v>
      </c>
      <c r="O1096" s="3" t="str">
        <f t="shared" si="71"/>
        <v>June</v>
      </c>
      <c r="P1096" s="3" t="s">
        <v>37</v>
      </c>
      <c r="Q1096" s="3"/>
    </row>
    <row r="1097" spans="1:17" hidden="1" x14ac:dyDescent="0.3">
      <c r="A1097" s="2">
        <v>44317</v>
      </c>
      <c r="B1097" s="3" t="s">
        <v>31</v>
      </c>
      <c r="C1097" s="3" t="s">
        <v>32</v>
      </c>
      <c r="D1097" s="3" t="s">
        <v>33</v>
      </c>
      <c r="E1097" s="3" t="s">
        <v>34</v>
      </c>
      <c r="F1097" s="3">
        <v>922.42</v>
      </c>
      <c r="G1097" s="3" t="s">
        <v>35</v>
      </c>
      <c r="H1097" s="3" t="s">
        <v>36</v>
      </c>
      <c r="I1097" s="3">
        <f>IF(C1097="India",1,IF(C1097="USA",INDEX('Currency Master'!B:B,MATCH(DATE(N1097,MONTH(DATEVALUE(O1097&amp;" 1")),1),'Currency Master'!A:A,0)),IF(C1097="Australia",INDEX('Currency Master'!T:T,MATCH(DATE(N1097,MONTH(DATEVALUE(O1097&amp;" 1")),1),'Currency Master'!A:A,0)),"")))</f>
        <v>56.194000000000003</v>
      </c>
      <c r="J1097" s="3">
        <f t="shared" si="68"/>
        <v>518.34</v>
      </c>
      <c r="K1097" s="3" t="str">
        <f t="shared" si="69"/>
        <v>₹/Kg</v>
      </c>
      <c r="L1097" s="3">
        <v>1.24E-2</v>
      </c>
      <c r="M1097" s="3"/>
      <c r="N1097" s="3">
        <f t="shared" si="70"/>
        <v>2021</v>
      </c>
      <c r="O1097" s="3" t="str">
        <f t="shared" si="71"/>
        <v>May</v>
      </c>
      <c r="P1097" s="3" t="s">
        <v>37</v>
      </c>
      <c r="Q1097" s="3"/>
    </row>
    <row r="1098" spans="1:17" hidden="1" x14ac:dyDescent="0.3">
      <c r="A1098" s="2">
        <v>44287</v>
      </c>
      <c r="B1098" s="3" t="s">
        <v>31</v>
      </c>
      <c r="C1098" s="3" t="s">
        <v>32</v>
      </c>
      <c r="D1098" s="3" t="s">
        <v>33</v>
      </c>
      <c r="E1098" s="3" t="s">
        <v>34</v>
      </c>
      <c r="F1098" s="3">
        <v>911.08</v>
      </c>
      <c r="G1098" s="3" t="s">
        <v>35</v>
      </c>
      <c r="H1098" s="3" t="s">
        <v>36</v>
      </c>
      <c r="I1098" s="3">
        <f>IF(C1098="India",1,IF(C1098="USA",INDEX('Currency Master'!B:B,MATCH(DATE(N1098,MONTH(DATEVALUE(O1098&amp;" 1")),1),'Currency Master'!A:A,0)),IF(C1098="Australia",INDEX('Currency Master'!T:T,MATCH(DATE(N1098,MONTH(DATEVALUE(O1098&amp;" 1")),1),'Currency Master'!A:A,0)),"")))</f>
        <v>54.345999999999997</v>
      </c>
      <c r="J1098" s="3">
        <f t="shared" si="68"/>
        <v>495.14</v>
      </c>
      <c r="K1098" s="3" t="str">
        <f t="shared" si="69"/>
        <v>₹/Kg</v>
      </c>
      <c r="L1098" s="3">
        <v>2.4400000000000002E-2</v>
      </c>
      <c r="M1098" s="3"/>
      <c r="N1098" s="3">
        <f t="shared" si="70"/>
        <v>2021</v>
      </c>
      <c r="O1098" s="3" t="str">
        <f t="shared" si="71"/>
        <v>April</v>
      </c>
      <c r="P1098" s="3" t="s">
        <v>37</v>
      </c>
      <c r="Q1098" s="3"/>
    </row>
    <row r="1099" spans="1:17" hidden="1" x14ac:dyDescent="0.3">
      <c r="A1099" s="2">
        <v>44256</v>
      </c>
      <c r="B1099" s="3" t="s">
        <v>31</v>
      </c>
      <c r="C1099" s="3" t="s">
        <v>32</v>
      </c>
      <c r="D1099" s="3" t="s">
        <v>33</v>
      </c>
      <c r="E1099" s="3" t="s">
        <v>34</v>
      </c>
      <c r="F1099" s="3">
        <v>889.38</v>
      </c>
      <c r="G1099" s="3" t="s">
        <v>35</v>
      </c>
      <c r="H1099" s="3" t="s">
        <v>36</v>
      </c>
      <c r="I1099" s="3">
        <f>IF(C1099="India",1,IF(C1099="USA",INDEX('Currency Master'!B:B,MATCH(DATE(N1099,MONTH(DATEVALUE(O1099&amp;" 1")),1),'Currency Master'!A:A,0)),IF(C1099="Australia",INDEX('Currency Master'!T:T,MATCH(DATE(N1099,MONTH(DATEVALUE(O1099&amp;" 1")),1),'Currency Master'!A:A,0)),"")))</f>
        <v>52.381999999999998</v>
      </c>
      <c r="J1099" s="3">
        <f t="shared" si="68"/>
        <v>465.88</v>
      </c>
      <c r="K1099" s="3" t="str">
        <f t="shared" si="69"/>
        <v>₹/Kg</v>
      </c>
      <c r="L1099" s="3">
        <v>-2.5000000000000001E-3</v>
      </c>
      <c r="M1099" s="3"/>
      <c r="N1099" s="3">
        <f t="shared" si="70"/>
        <v>2021</v>
      </c>
      <c r="O1099" s="3" t="str">
        <f t="shared" si="71"/>
        <v>March</v>
      </c>
      <c r="P1099" s="3" t="s">
        <v>37</v>
      </c>
      <c r="Q1099" s="3"/>
    </row>
    <row r="1100" spans="1:17" hidden="1" x14ac:dyDescent="0.3">
      <c r="A1100" s="2">
        <v>44228</v>
      </c>
      <c r="B1100" s="3" t="s">
        <v>31</v>
      </c>
      <c r="C1100" s="3" t="s">
        <v>32</v>
      </c>
      <c r="D1100" s="3" t="s">
        <v>33</v>
      </c>
      <c r="E1100" s="3" t="s">
        <v>34</v>
      </c>
      <c r="F1100" s="3">
        <v>891.62</v>
      </c>
      <c r="G1100" s="3" t="s">
        <v>35</v>
      </c>
      <c r="H1100" s="3" t="s">
        <v>36</v>
      </c>
      <c r="I1100" s="3">
        <f>IF(C1100="India",1,IF(C1100="USA",INDEX('Currency Master'!B:B,MATCH(DATE(N1100,MONTH(DATEVALUE(O1100&amp;" 1")),1),'Currency Master'!A:A,0)),IF(C1100="Australia",INDEX('Currency Master'!T:T,MATCH(DATE(N1100,MONTH(DATEVALUE(O1100&amp;" 1")),1),'Currency Master'!A:A,0)),"")))</f>
        <v>52.683999999999997</v>
      </c>
      <c r="J1100" s="3">
        <f t="shared" si="68"/>
        <v>469.74</v>
      </c>
      <c r="K1100" s="3" t="str">
        <f t="shared" si="69"/>
        <v>₹/Kg</v>
      </c>
      <c r="L1100" s="3">
        <v>0.105</v>
      </c>
      <c r="M1100" s="3"/>
      <c r="N1100" s="3">
        <f t="shared" si="70"/>
        <v>2021</v>
      </c>
      <c r="O1100" s="3" t="str">
        <f t="shared" si="71"/>
        <v>February</v>
      </c>
      <c r="P1100" s="3" t="s">
        <v>37</v>
      </c>
      <c r="Q1100" s="3"/>
    </row>
    <row r="1101" spans="1:17" hidden="1" x14ac:dyDescent="0.3">
      <c r="A1101" s="2">
        <v>44197</v>
      </c>
      <c r="B1101" s="3" t="s">
        <v>31</v>
      </c>
      <c r="C1101" s="3" t="s">
        <v>32</v>
      </c>
      <c r="D1101" s="3" t="s">
        <v>33</v>
      </c>
      <c r="E1101" s="3" t="s">
        <v>34</v>
      </c>
      <c r="F1101" s="3">
        <v>806.93</v>
      </c>
      <c r="G1101" s="3" t="s">
        <v>35</v>
      </c>
      <c r="H1101" s="3" t="s">
        <v>36</v>
      </c>
      <c r="I1101" s="3">
        <f>IF(C1101="India",1,IF(C1101="USA",INDEX('Currency Master'!B:B,MATCH(DATE(N1101,MONTH(DATEVALUE(O1101&amp;" 1")),1),'Currency Master'!A:A,0)),IF(C1101="Australia",INDEX('Currency Master'!T:T,MATCH(DATE(N1101,MONTH(DATEVALUE(O1101&amp;" 1")),1),'Currency Master'!A:A,0)),"")))</f>
        <v>54.024999999999999</v>
      </c>
      <c r="J1101" s="3">
        <f t="shared" si="68"/>
        <v>435.94</v>
      </c>
      <c r="K1101" s="3" t="str">
        <f t="shared" si="69"/>
        <v>₹/Kg</v>
      </c>
      <c r="L1101" s="3">
        <v>4.58E-2</v>
      </c>
      <c r="M1101" s="3"/>
      <c r="N1101" s="3">
        <f t="shared" si="70"/>
        <v>2021</v>
      </c>
      <c r="O1101" s="3" t="str">
        <f t="shared" si="71"/>
        <v>January</v>
      </c>
      <c r="P1101" s="3" t="s">
        <v>37</v>
      </c>
      <c r="Q1101" s="3"/>
    </row>
    <row r="1102" spans="1:17" hidden="1" x14ac:dyDescent="0.3">
      <c r="A1102" s="2">
        <v>44166</v>
      </c>
      <c r="B1102" s="3" t="s">
        <v>31</v>
      </c>
      <c r="C1102" s="3" t="s">
        <v>32</v>
      </c>
      <c r="D1102" s="3" t="s">
        <v>33</v>
      </c>
      <c r="E1102" s="3" t="s">
        <v>34</v>
      </c>
      <c r="F1102" s="3">
        <v>771.62</v>
      </c>
      <c r="G1102" s="3" t="s">
        <v>35</v>
      </c>
      <c r="H1102" s="3" t="s">
        <v>36</v>
      </c>
      <c r="I1102" s="3">
        <f>IF(C1102="India",1,IF(C1102="USA",INDEX('Currency Master'!B:B,MATCH(DATE(N1102,MONTH(DATEVALUE(O1102&amp;" 1")),1),'Currency Master'!A:A,0)),IF(C1102="Australia",INDEX('Currency Master'!T:T,MATCH(DATE(N1102,MONTH(DATEVALUE(O1102&amp;" 1")),1),'Currency Master'!A:A,0)),"")))</f>
        <v>53.505000000000003</v>
      </c>
      <c r="J1102" s="3">
        <f t="shared" si="68"/>
        <v>412.86</v>
      </c>
      <c r="K1102" s="3" t="str">
        <f t="shared" si="69"/>
        <v>₹/Kg</v>
      </c>
      <c r="L1102" s="3">
        <v>2.8199999999999999E-2</v>
      </c>
      <c r="M1102" s="3"/>
      <c r="N1102" s="3">
        <f t="shared" si="70"/>
        <v>2020</v>
      </c>
      <c r="O1102" s="3" t="str">
        <f t="shared" si="71"/>
        <v>December</v>
      </c>
      <c r="P1102" s="3" t="s">
        <v>37</v>
      </c>
      <c r="Q1102" s="3"/>
    </row>
    <row r="1103" spans="1:17" hidden="1" x14ac:dyDescent="0.3">
      <c r="A1103" s="2">
        <v>44136</v>
      </c>
      <c r="B1103" s="3" t="s">
        <v>31</v>
      </c>
      <c r="C1103" s="3" t="s">
        <v>32</v>
      </c>
      <c r="D1103" s="3" t="s">
        <v>33</v>
      </c>
      <c r="E1103" s="3" t="s">
        <v>34</v>
      </c>
      <c r="F1103" s="3">
        <v>750.47</v>
      </c>
      <c r="G1103" s="3" t="s">
        <v>35</v>
      </c>
      <c r="H1103" s="3" t="s">
        <v>36</v>
      </c>
      <c r="I1103" s="3">
        <f>IF(C1103="India",1,IF(C1103="USA",INDEX('Currency Master'!B:B,MATCH(DATE(N1103,MONTH(DATEVALUE(O1103&amp;" 1")),1),'Currency Master'!A:A,0)),IF(C1103="Australia",INDEX('Currency Master'!T:T,MATCH(DATE(N1103,MONTH(DATEVALUE(O1103&amp;" 1")),1),'Currency Master'!A:A,0)),"")))</f>
        <v>52.137999999999998</v>
      </c>
      <c r="J1103" s="3">
        <f t="shared" si="68"/>
        <v>391.28</v>
      </c>
      <c r="K1103" s="3" t="str">
        <f t="shared" si="69"/>
        <v>₹/Kg</v>
      </c>
      <c r="L1103" s="3">
        <v>9.4100000000000003E-2</v>
      </c>
      <c r="M1103" s="3"/>
      <c r="N1103" s="3">
        <f t="shared" si="70"/>
        <v>2020</v>
      </c>
      <c r="O1103" s="3" t="str">
        <f t="shared" si="71"/>
        <v>November</v>
      </c>
      <c r="P1103" s="3" t="s">
        <v>37</v>
      </c>
      <c r="Q1103" s="3"/>
    </row>
    <row r="1104" spans="1:17" hidden="1" x14ac:dyDescent="0.3">
      <c r="A1104" s="2">
        <v>44105</v>
      </c>
      <c r="B1104" s="3" t="s">
        <v>31</v>
      </c>
      <c r="C1104" s="3" t="s">
        <v>32</v>
      </c>
      <c r="D1104" s="3" t="s">
        <v>33</v>
      </c>
      <c r="E1104" s="3" t="s">
        <v>34</v>
      </c>
      <c r="F1104" s="3">
        <v>685.9</v>
      </c>
      <c r="G1104" s="3" t="s">
        <v>35</v>
      </c>
      <c r="H1104" s="3" t="s">
        <v>36</v>
      </c>
      <c r="I1104" s="3">
        <f>IF(C1104="India",1,IF(C1104="USA",INDEX('Currency Master'!B:B,MATCH(DATE(N1104,MONTH(DATEVALUE(O1104&amp;" 1")),1),'Currency Master'!A:A,0)),IF(C1104="Australia",INDEX('Currency Master'!T:T,MATCH(DATE(N1104,MONTH(DATEVALUE(O1104&amp;" 1")),1),'Currency Master'!A:A,0)),"")))</f>
        <v>50.387999999999998</v>
      </c>
      <c r="J1104" s="3">
        <f t="shared" si="68"/>
        <v>345.61</v>
      </c>
      <c r="K1104" s="3" t="str">
        <f t="shared" si="69"/>
        <v>₹/Kg</v>
      </c>
      <c r="L1104" s="3">
        <v>0.28539999999999999</v>
      </c>
      <c r="M1104" s="3"/>
      <c r="N1104" s="3">
        <f t="shared" si="70"/>
        <v>2020</v>
      </c>
      <c r="O1104" s="3" t="str">
        <f t="shared" si="71"/>
        <v>October</v>
      </c>
      <c r="P1104" s="3" t="s">
        <v>37</v>
      </c>
      <c r="Q1104" s="3"/>
    </row>
    <row r="1105" spans="1:17" hidden="1" x14ac:dyDescent="0.3">
      <c r="A1105" s="2">
        <v>44075</v>
      </c>
      <c r="B1105" s="3" t="s">
        <v>31</v>
      </c>
      <c r="C1105" s="3" t="s">
        <v>32</v>
      </c>
      <c r="D1105" s="3" t="s">
        <v>33</v>
      </c>
      <c r="E1105" s="3" t="s">
        <v>34</v>
      </c>
      <c r="F1105" s="3">
        <v>533.62</v>
      </c>
      <c r="G1105" s="3" t="s">
        <v>35</v>
      </c>
      <c r="H1105" s="3" t="s">
        <v>36</v>
      </c>
      <c r="I1105" s="3">
        <f>IF(C1105="India",1,IF(C1105="USA",INDEX('Currency Master'!B:B,MATCH(DATE(N1105,MONTH(DATEVALUE(O1105&amp;" 1")),1),'Currency Master'!A:A,0)),IF(C1105="Australia",INDEX('Currency Master'!T:T,MATCH(DATE(N1105,MONTH(DATEVALUE(O1105&amp;" 1")),1),'Currency Master'!A:A,0)),"")))</f>
        <v>48.875</v>
      </c>
      <c r="J1105" s="3">
        <f t="shared" si="68"/>
        <v>260.81</v>
      </c>
      <c r="K1105" s="3" t="str">
        <f t="shared" si="69"/>
        <v>₹/Kg</v>
      </c>
      <c r="L1105" s="3">
        <v>-0.1081</v>
      </c>
      <c r="M1105" s="3"/>
      <c r="N1105" s="3">
        <f t="shared" si="70"/>
        <v>2020</v>
      </c>
      <c r="O1105" s="3" t="str">
        <f t="shared" si="71"/>
        <v>September</v>
      </c>
      <c r="P1105" s="3" t="s">
        <v>37</v>
      </c>
      <c r="Q1105" s="3"/>
    </row>
    <row r="1106" spans="1:17" hidden="1" x14ac:dyDescent="0.3">
      <c r="A1106" s="2">
        <v>44044</v>
      </c>
      <c r="B1106" s="3" t="s">
        <v>31</v>
      </c>
      <c r="C1106" s="3" t="s">
        <v>32</v>
      </c>
      <c r="D1106" s="3" t="s">
        <v>33</v>
      </c>
      <c r="E1106" s="3" t="s">
        <v>34</v>
      </c>
      <c r="F1106" s="3">
        <v>598.32000000000005</v>
      </c>
      <c r="G1106" s="3" t="s">
        <v>35</v>
      </c>
      <c r="H1106" s="3" t="s">
        <v>36</v>
      </c>
      <c r="I1106" s="3">
        <f>IF(C1106="India",1,IF(C1106="USA",INDEX('Currency Master'!B:B,MATCH(DATE(N1106,MONTH(DATEVALUE(O1106&amp;" 1")),1),'Currency Master'!A:A,0)),IF(C1106="Australia",INDEX('Currency Master'!T:T,MATCH(DATE(N1106,MONTH(DATEVALUE(O1106&amp;" 1")),1),'Currency Master'!A:A,0)),"")))</f>
        <v>46.216999999999999</v>
      </c>
      <c r="J1106" s="3">
        <f t="shared" si="68"/>
        <v>276.52999999999997</v>
      </c>
      <c r="K1106" s="3" t="str">
        <f t="shared" si="69"/>
        <v>₹/Kg</v>
      </c>
      <c r="L1106" s="3">
        <v>-0.10979999999999999</v>
      </c>
      <c r="M1106" s="3"/>
      <c r="N1106" s="3">
        <f t="shared" si="70"/>
        <v>2020</v>
      </c>
      <c r="O1106" s="3" t="str">
        <f t="shared" si="71"/>
        <v>August</v>
      </c>
      <c r="P1106" s="3" t="s">
        <v>37</v>
      </c>
      <c r="Q1106" s="3"/>
    </row>
    <row r="1107" spans="1:17" hidden="1" x14ac:dyDescent="0.3">
      <c r="A1107" s="2">
        <v>44013</v>
      </c>
      <c r="B1107" s="3" t="s">
        <v>31</v>
      </c>
      <c r="C1107" s="3" t="s">
        <v>32</v>
      </c>
      <c r="D1107" s="3" t="s">
        <v>33</v>
      </c>
      <c r="E1107" s="3" t="s">
        <v>34</v>
      </c>
      <c r="F1107" s="3">
        <v>672.14</v>
      </c>
      <c r="G1107" s="3" t="s">
        <v>35</v>
      </c>
      <c r="H1107" s="3" t="s">
        <v>36</v>
      </c>
      <c r="I1107" s="3">
        <f>IF(C1107="India",1,IF(C1107="USA",INDEX('Currency Master'!B:B,MATCH(DATE(N1107,MONTH(DATEVALUE(O1107&amp;" 1")),1),'Currency Master'!A:A,0)),IF(C1107="Australia",INDEX('Currency Master'!T:T,MATCH(DATE(N1107,MONTH(DATEVALUE(O1107&amp;" 1")),1),'Currency Master'!A:A,0)),"")))</f>
        <v>47.212000000000003</v>
      </c>
      <c r="J1107" s="3">
        <f t="shared" si="68"/>
        <v>317.33</v>
      </c>
      <c r="K1107" s="3" t="str">
        <f t="shared" si="69"/>
        <v>₹/Kg</v>
      </c>
      <c r="L1107" s="3">
        <v>-3.09E-2</v>
      </c>
      <c r="M1107" s="3"/>
      <c r="N1107" s="3">
        <f t="shared" si="70"/>
        <v>2020</v>
      </c>
      <c r="O1107" s="3" t="str">
        <f t="shared" si="71"/>
        <v>July</v>
      </c>
      <c r="P1107" s="3" t="s">
        <v>37</v>
      </c>
      <c r="Q1107" s="3"/>
    </row>
    <row r="1108" spans="1:17" hidden="1" x14ac:dyDescent="0.3">
      <c r="A1108" s="2">
        <v>43983</v>
      </c>
      <c r="B1108" s="3" t="s">
        <v>31</v>
      </c>
      <c r="C1108" s="3" t="s">
        <v>32</v>
      </c>
      <c r="D1108" s="3" t="s">
        <v>33</v>
      </c>
      <c r="E1108" s="3" t="s">
        <v>34</v>
      </c>
      <c r="F1108" s="3">
        <v>693.56</v>
      </c>
      <c r="G1108" s="3" t="s">
        <v>35</v>
      </c>
      <c r="H1108" s="3" t="s">
        <v>36</v>
      </c>
      <c r="I1108" s="3">
        <f>IF(C1108="India",1,IF(C1108="USA",INDEX('Currency Master'!B:B,MATCH(DATE(N1108,MONTH(DATEVALUE(O1108&amp;" 1")),1),'Currency Master'!A:A,0)),IF(C1108="Australia",INDEX('Currency Master'!T:T,MATCH(DATE(N1108,MONTH(DATEVALUE(O1108&amp;" 1")),1),'Currency Master'!A:A,0)),"")))</f>
        <v>47.866999999999997</v>
      </c>
      <c r="J1108" s="3">
        <f t="shared" si="68"/>
        <v>331.99</v>
      </c>
      <c r="K1108" s="3" t="str">
        <f t="shared" si="69"/>
        <v>₹/Kg</v>
      </c>
      <c r="L1108" s="3">
        <v>1.9099999999999999E-2</v>
      </c>
      <c r="M1108" s="3"/>
      <c r="N1108" s="3">
        <f t="shared" si="70"/>
        <v>2020</v>
      </c>
      <c r="O1108" s="3" t="str">
        <f t="shared" si="71"/>
        <v>June</v>
      </c>
      <c r="P1108" s="3" t="s">
        <v>37</v>
      </c>
      <c r="Q1108" s="3"/>
    </row>
    <row r="1109" spans="1:17" hidden="1" x14ac:dyDescent="0.3">
      <c r="A1109" s="2">
        <v>43952</v>
      </c>
      <c r="B1109" s="3" t="s">
        <v>31</v>
      </c>
      <c r="C1109" s="3" t="s">
        <v>32</v>
      </c>
      <c r="D1109" s="3" t="s">
        <v>33</v>
      </c>
      <c r="E1109" s="3" t="s">
        <v>34</v>
      </c>
      <c r="F1109" s="3">
        <v>680.55</v>
      </c>
      <c r="G1109" s="3" t="s">
        <v>35</v>
      </c>
      <c r="H1109" s="3" t="s">
        <v>36</v>
      </c>
      <c r="I1109" s="3">
        <f>IF(C1109="India",1,IF(C1109="USA",INDEX('Currency Master'!B:B,MATCH(DATE(N1109,MONTH(DATEVALUE(O1109&amp;" 1")),1),'Currency Master'!A:A,0)),IF(C1109="Australia",INDEX('Currency Master'!T:T,MATCH(DATE(N1109,MONTH(DATEVALUE(O1109&amp;" 1")),1),'Currency Master'!A:A,0)),"")))</f>
        <v>50.094999999999999</v>
      </c>
      <c r="J1109" s="3">
        <f t="shared" si="68"/>
        <v>340.92</v>
      </c>
      <c r="K1109" s="3" t="str">
        <f t="shared" si="69"/>
        <v>₹/Kg</v>
      </c>
      <c r="L1109" s="3">
        <v>-4.7E-2</v>
      </c>
      <c r="M1109" s="3"/>
      <c r="N1109" s="3">
        <f t="shared" si="70"/>
        <v>2020</v>
      </c>
      <c r="O1109" s="3" t="str">
        <f t="shared" si="71"/>
        <v>May</v>
      </c>
      <c r="P1109" s="3" t="s">
        <v>37</v>
      </c>
      <c r="Q1109" s="3"/>
    </row>
    <row r="1110" spans="1:17" hidden="1" x14ac:dyDescent="0.3">
      <c r="A1110" s="2">
        <v>43922</v>
      </c>
      <c r="B1110" s="3" t="s">
        <v>31</v>
      </c>
      <c r="C1110" s="3" t="s">
        <v>32</v>
      </c>
      <c r="D1110" s="3" t="s">
        <v>33</v>
      </c>
      <c r="E1110" s="3" t="s">
        <v>34</v>
      </c>
      <c r="F1110" s="3">
        <v>714.14</v>
      </c>
      <c r="G1110" s="3" t="s">
        <v>35</v>
      </c>
      <c r="H1110" s="3" t="s">
        <v>36</v>
      </c>
      <c r="I1110" s="3">
        <f>IF(C1110="India",1,IF(C1110="USA",INDEX('Currency Master'!B:B,MATCH(DATE(N1110,MONTH(DATEVALUE(O1110&amp;" 1")),1),'Currency Master'!A:A,0)),IF(C1110="Australia",INDEX('Currency Master'!T:T,MATCH(DATE(N1110,MONTH(DATEVALUE(O1110&amp;" 1")),1),'Currency Master'!A:A,0)),"")))</f>
        <v>48.529000000000003</v>
      </c>
      <c r="J1110" s="3">
        <f t="shared" si="68"/>
        <v>346.57</v>
      </c>
      <c r="K1110" s="3" t="str">
        <f t="shared" si="69"/>
        <v>₹/Kg</v>
      </c>
      <c r="L1110" s="3">
        <v>-9.8599999999999993E-2</v>
      </c>
      <c r="M1110" s="3"/>
      <c r="N1110" s="3">
        <f t="shared" si="70"/>
        <v>2020</v>
      </c>
      <c r="O1110" s="3" t="str">
        <f t="shared" si="71"/>
        <v>April</v>
      </c>
      <c r="P1110" s="3" t="s">
        <v>37</v>
      </c>
      <c r="Q1110" s="3"/>
    </row>
    <row r="1111" spans="1:17" hidden="1" x14ac:dyDescent="0.3">
      <c r="A1111" s="2">
        <v>43891</v>
      </c>
      <c r="B1111" s="3" t="s">
        <v>31</v>
      </c>
      <c r="C1111" s="3" t="s">
        <v>32</v>
      </c>
      <c r="D1111" s="3" t="s">
        <v>33</v>
      </c>
      <c r="E1111" s="3" t="s">
        <v>34</v>
      </c>
      <c r="F1111" s="3">
        <v>792.29</v>
      </c>
      <c r="G1111" s="3" t="s">
        <v>35</v>
      </c>
      <c r="H1111" s="3" t="s">
        <v>36</v>
      </c>
      <c r="I1111" s="3">
        <f>IF(C1111="India",1,IF(C1111="USA",INDEX('Currency Master'!B:B,MATCH(DATE(N1111,MONTH(DATEVALUE(O1111&amp;" 1")),1),'Currency Master'!A:A,0)),IF(C1111="Australia",INDEX('Currency Master'!T:T,MATCH(DATE(N1111,MONTH(DATEVALUE(O1111&amp;" 1")),1),'Currency Master'!A:A,0)),"")))</f>
        <v>48.924999999999997</v>
      </c>
      <c r="J1111" s="3">
        <f t="shared" si="68"/>
        <v>387.63</v>
      </c>
      <c r="K1111" s="3" t="str">
        <f t="shared" si="69"/>
        <v>₹/Kg</v>
      </c>
      <c r="L1111" s="3">
        <v>-9.4200000000000006E-2</v>
      </c>
      <c r="M1111" s="3"/>
      <c r="N1111" s="3">
        <f t="shared" si="70"/>
        <v>2020</v>
      </c>
      <c r="O1111" s="3" t="str">
        <f t="shared" si="71"/>
        <v>March</v>
      </c>
      <c r="P1111" s="3" t="s">
        <v>37</v>
      </c>
      <c r="Q1111" s="3"/>
    </row>
    <row r="1112" spans="1:17" hidden="1" x14ac:dyDescent="0.3">
      <c r="A1112" s="2">
        <v>43862</v>
      </c>
      <c r="B1112" s="3" t="s">
        <v>31</v>
      </c>
      <c r="C1112" s="3" t="s">
        <v>32</v>
      </c>
      <c r="D1112" s="3" t="s">
        <v>33</v>
      </c>
      <c r="E1112" s="3" t="s">
        <v>34</v>
      </c>
      <c r="F1112" s="3">
        <v>874.69</v>
      </c>
      <c r="G1112" s="3" t="s">
        <v>35</v>
      </c>
      <c r="H1112" s="3" t="s">
        <v>36</v>
      </c>
      <c r="I1112" s="3">
        <f>IF(C1112="India",1,IF(C1112="USA",INDEX('Currency Master'!B:B,MATCH(DATE(N1112,MONTH(DATEVALUE(O1112&amp;" 1")),1),'Currency Master'!A:A,0)),IF(C1112="Australia",INDEX('Currency Master'!T:T,MATCH(DATE(N1112,MONTH(DATEVALUE(O1112&amp;" 1")),1),'Currency Master'!A:A,0)),"")))</f>
        <v>47.654000000000003</v>
      </c>
      <c r="J1112" s="3">
        <f t="shared" si="68"/>
        <v>416.82</v>
      </c>
      <c r="K1112" s="3" t="str">
        <f t="shared" si="69"/>
        <v>₹/Kg</v>
      </c>
      <c r="L1112" s="3">
        <v>-2.3E-2</v>
      </c>
      <c r="M1112" s="3"/>
      <c r="N1112" s="3">
        <f t="shared" si="70"/>
        <v>2020</v>
      </c>
      <c r="O1112" s="3" t="str">
        <f t="shared" si="71"/>
        <v>February</v>
      </c>
      <c r="P1112" s="3" t="s">
        <v>37</v>
      </c>
      <c r="Q1112" s="3"/>
    </row>
    <row r="1113" spans="1:17" hidden="1" x14ac:dyDescent="0.3">
      <c r="A1113" s="2">
        <v>43831</v>
      </c>
      <c r="B1113" s="3" t="s">
        <v>31</v>
      </c>
      <c r="C1113" s="3" t="s">
        <v>32</v>
      </c>
      <c r="D1113" s="3" t="s">
        <v>33</v>
      </c>
      <c r="E1113" s="3" t="s">
        <v>34</v>
      </c>
      <c r="F1113" s="3">
        <v>895.29</v>
      </c>
      <c r="G1113" s="3" t="s">
        <v>35</v>
      </c>
      <c r="H1113" s="3" t="s">
        <v>36</v>
      </c>
      <c r="I1113" s="3">
        <f>IF(C1113="India",1,IF(C1113="USA",INDEX('Currency Master'!B:B,MATCH(DATE(N1113,MONTH(DATEVALUE(O1113&amp;" 1")),1),'Currency Master'!A:A,0)),IF(C1113="Australia",INDEX('Currency Master'!T:T,MATCH(DATE(N1113,MONTH(DATEVALUE(O1113&amp;" 1")),1),'Currency Master'!A:A,0)),"")))</f>
        <v>48.128999999999998</v>
      </c>
      <c r="J1113" s="3">
        <f t="shared" si="68"/>
        <v>430.89</v>
      </c>
      <c r="K1113" s="3" t="str">
        <f t="shared" si="69"/>
        <v>₹/Kg</v>
      </c>
      <c r="L1113" s="3">
        <v>4.1300000000000003E-2</v>
      </c>
      <c r="M1113" s="3"/>
      <c r="N1113" s="3">
        <f t="shared" si="70"/>
        <v>2020</v>
      </c>
      <c r="O1113" s="3" t="str">
        <f t="shared" si="71"/>
        <v>January</v>
      </c>
      <c r="P1113" s="3" t="s">
        <v>37</v>
      </c>
      <c r="Q1113" s="3"/>
    </row>
    <row r="1114" spans="1:17" hidden="1" x14ac:dyDescent="0.3">
      <c r="A1114" s="2">
        <v>43800</v>
      </c>
      <c r="B1114" s="3" t="s">
        <v>31</v>
      </c>
      <c r="C1114" s="3" t="s">
        <v>32</v>
      </c>
      <c r="D1114" s="3" t="s">
        <v>33</v>
      </c>
      <c r="E1114" s="3" t="s">
        <v>34</v>
      </c>
      <c r="F1114" s="3">
        <v>859.8</v>
      </c>
      <c r="G1114" s="3" t="s">
        <v>35</v>
      </c>
      <c r="H1114" s="3" t="s">
        <v>36</v>
      </c>
      <c r="I1114" s="3">
        <f>IF(C1114="India",1,IF(C1114="USA",INDEX('Currency Master'!B:B,MATCH(DATE(N1114,MONTH(DATEVALUE(O1114&amp;" 1")),1),'Currency Master'!A:A,0)),IF(C1114="Australia",INDEX('Currency Master'!T:T,MATCH(DATE(N1114,MONTH(DATEVALUE(O1114&amp;" 1")),1),'Currency Master'!A:A,0)),"")))</f>
        <v>47.128</v>
      </c>
      <c r="J1114" s="3">
        <f t="shared" si="68"/>
        <v>405.21</v>
      </c>
      <c r="K1114" s="3" t="str">
        <f t="shared" si="69"/>
        <v>₹/Kg</v>
      </c>
      <c r="L1114" s="3">
        <v>-1.4E-2</v>
      </c>
      <c r="M1114" s="3"/>
      <c r="N1114" s="3">
        <f t="shared" si="70"/>
        <v>2019</v>
      </c>
      <c r="O1114" s="3" t="str">
        <f t="shared" si="71"/>
        <v>December</v>
      </c>
      <c r="P1114" s="3" t="s">
        <v>37</v>
      </c>
      <c r="Q1114" s="3"/>
    </row>
    <row r="1115" spans="1:17" hidden="1" x14ac:dyDescent="0.3">
      <c r="A1115" s="2">
        <v>43770</v>
      </c>
      <c r="B1115" s="3" t="s">
        <v>31</v>
      </c>
      <c r="C1115" s="3" t="s">
        <v>32</v>
      </c>
      <c r="D1115" s="3" t="s">
        <v>33</v>
      </c>
      <c r="E1115" s="3" t="s">
        <v>34</v>
      </c>
      <c r="F1115" s="3">
        <v>872.01</v>
      </c>
      <c r="G1115" s="3" t="s">
        <v>35</v>
      </c>
      <c r="H1115" s="3" t="s">
        <v>36</v>
      </c>
      <c r="I1115" s="3">
        <f>IF(C1115="India",1,IF(C1115="USA",INDEX('Currency Master'!B:B,MATCH(DATE(N1115,MONTH(DATEVALUE(O1115&amp;" 1")),1),'Currency Master'!A:A,0)),IF(C1115="Australia",INDEX('Currency Master'!T:T,MATCH(DATE(N1115,MONTH(DATEVALUE(O1115&amp;" 1")),1),'Currency Master'!A:A,0)),"")))</f>
        <v>48.396000000000001</v>
      </c>
      <c r="J1115" s="3">
        <f t="shared" si="68"/>
        <v>422.02</v>
      </c>
      <c r="K1115" s="3" t="str">
        <f t="shared" si="69"/>
        <v>₹/Kg</v>
      </c>
      <c r="L1115" s="3">
        <v>8.3000000000000001E-3</v>
      </c>
      <c r="M1115" s="3"/>
      <c r="N1115" s="3">
        <f t="shared" si="70"/>
        <v>2019</v>
      </c>
      <c r="O1115" s="3" t="str">
        <f t="shared" si="71"/>
        <v>November</v>
      </c>
      <c r="P1115" s="3" t="s">
        <v>37</v>
      </c>
      <c r="Q1115" s="3"/>
    </row>
    <row r="1116" spans="1:17" hidden="1" x14ac:dyDescent="0.3">
      <c r="A1116" s="2">
        <v>43739</v>
      </c>
      <c r="B1116" s="3" t="s">
        <v>31</v>
      </c>
      <c r="C1116" s="3" t="s">
        <v>32</v>
      </c>
      <c r="D1116" s="3" t="s">
        <v>33</v>
      </c>
      <c r="E1116" s="3" t="s">
        <v>34</v>
      </c>
      <c r="F1116" s="3">
        <v>864.82</v>
      </c>
      <c r="G1116" s="3" t="s">
        <v>35</v>
      </c>
      <c r="H1116" s="3" t="s">
        <v>36</v>
      </c>
      <c r="I1116" s="3">
        <f>IF(C1116="India",1,IF(C1116="USA",INDEX('Currency Master'!B:B,MATCH(DATE(N1116,MONTH(DATEVALUE(O1116&amp;" 1")),1),'Currency Master'!A:A,0)),IF(C1116="Australia",INDEX('Currency Master'!T:T,MATCH(DATE(N1116,MONTH(DATEVALUE(O1116&amp;" 1")),1),'Currency Master'!A:A,0)),"")))</f>
        <v>48.268000000000001</v>
      </c>
      <c r="J1116" s="3">
        <f t="shared" si="68"/>
        <v>417.43</v>
      </c>
      <c r="K1116" s="3" t="str">
        <f t="shared" si="69"/>
        <v>₹/Kg</v>
      </c>
      <c r="L1116" s="3">
        <v>2.9499999999999998E-2</v>
      </c>
      <c r="M1116" s="3"/>
      <c r="N1116" s="3">
        <f t="shared" si="70"/>
        <v>2019</v>
      </c>
      <c r="O1116" s="3" t="str">
        <f t="shared" si="71"/>
        <v>October</v>
      </c>
      <c r="P1116" s="3" t="s">
        <v>37</v>
      </c>
      <c r="Q1116" s="3"/>
    </row>
    <row r="1117" spans="1:17" hidden="1" x14ac:dyDescent="0.3">
      <c r="A1117" s="2">
        <v>43709</v>
      </c>
      <c r="B1117" s="3" t="s">
        <v>31</v>
      </c>
      <c r="C1117" s="3" t="s">
        <v>32</v>
      </c>
      <c r="D1117" s="3" t="s">
        <v>33</v>
      </c>
      <c r="E1117" s="3" t="s">
        <v>34</v>
      </c>
      <c r="F1117" s="3">
        <v>840.05</v>
      </c>
      <c r="G1117" s="3" t="s">
        <v>35</v>
      </c>
      <c r="H1117" s="3" t="s">
        <v>36</v>
      </c>
      <c r="I1117" s="3">
        <f>IF(C1117="India",1,IF(C1117="USA",INDEX('Currency Master'!B:B,MATCH(DATE(N1117,MONTH(DATEVALUE(O1117&amp;" 1")),1),'Currency Master'!A:A,0)),IF(C1117="Australia",INDEX('Currency Master'!T:T,MATCH(DATE(N1117,MONTH(DATEVALUE(O1117&amp;" 1")),1),'Currency Master'!A:A,0)),"")))</f>
        <v>49.079000000000001</v>
      </c>
      <c r="J1117" s="3">
        <f t="shared" si="68"/>
        <v>412.29</v>
      </c>
      <c r="K1117" s="3" t="str">
        <f t="shared" si="69"/>
        <v>₹/Kg</v>
      </c>
      <c r="L1117" s="3">
        <v>-3.6299999999999999E-2</v>
      </c>
      <c r="M1117" s="3"/>
      <c r="N1117" s="3">
        <f t="shared" si="70"/>
        <v>2019</v>
      </c>
      <c r="O1117" s="3" t="str">
        <f t="shared" si="71"/>
        <v>September</v>
      </c>
      <c r="P1117" s="3" t="s">
        <v>37</v>
      </c>
      <c r="Q1117" s="3"/>
    </row>
    <row r="1118" spans="1:17" hidden="1" x14ac:dyDescent="0.3">
      <c r="A1118" s="2">
        <v>43678</v>
      </c>
      <c r="B1118" s="3" t="s">
        <v>31</v>
      </c>
      <c r="C1118" s="3" t="s">
        <v>32</v>
      </c>
      <c r="D1118" s="3" t="s">
        <v>33</v>
      </c>
      <c r="E1118" s="3" t="s">
        <v>34</v>
      </c>
      <c r="F1118" s="3">
        <v>871.73</v>
      </c>
      <c r="G1118" s="3" t="s">
        <v>35</v>
      </c>
      <c r="H1118" s="3" t="s">
        <v>36</v>
      </c>
      <c r="I1118" s="3">
        <f>IF(C1118="India",1,IF(C1118="USA",INDEX('Currency Master'!B:B,MATCH(DATE(N1118,MONTH(DATEVALUE(O1118&amp;" 1")),1),'Currency Master'!A:A,0)),IF(C1118="Australia",INDEX('Currency Master'!T:T,MATCH(DATE(N1118,MONTH(DATEVALUE(O1118&amp;" 1")),1),'Currency Master'!A:A,0)),"")))</f>
        <v>49.076000000000001</v>
      </c>
      <c r="J1118" s="3">
        <f t="shared" si="68"/>
        <v>427.81</v>
      </c>
      <c r="K1118" s="3" t="str">
        <f t="shared" si="69"/>
        <v>₹/Kg</v>
      </c>
      <c r="L1118" s="3">
        <v>-0.1067</v>
      </c>
      <c r="M1118" s="3"/>
      <c r="N1118" s="3">
        <f t="shared" si="70"/>
        <v>2019</v>
      </c>
      <c r="O1118" s="3" t="str">
        <f t="shared" si="71"/>
        <v>August</v>
      </c>
      <c r="P1118" s="3" t="s">
        <v>37</v>
      </c>
      <c r="Q1118" s="3"/>
    </row>
    <row r="1119" spans="1:17" hidden="1" x14ac:dyDescent="0.3">
      <c r="A1119" s="2">
        <v>43647</v>
      </c>
      <c r="B1119" s="3" t="s">
        <v>31</v>
      </c>
      <c r="C1119" s="3" t="s">
        <v>32</v>
      </c>
      <c r="D1119" s="3" t="s">
        <v>33</v>
      </c>
      <c r="E1119" s="3" t="s">
        <v>34</v>
      </c>
      <c r="F1119" s="3">
        <v>975.9</v>
      </c>
      <c r="G1119" s="3" t="s">
        <v>35</v>
      </c>
      <c r="H1119" s="3" t="s">
        <v>36</v>
      </c>
      <c r="I1119" s="3">
        <f>IF(C1119="India",1,IF(C1119="USA",INDEX('Currency Master'!B:B,MATCH(DATE(N1119,MONTH(DATEVALUE(O1119&amp;" 1")),1),'Currency Master'!A:A,0)),IF(C1119="Australia",INDEX('Currency Master'!T:T,MATCH(DATE(N1119,MONTH(DATEVALUE(O1119&amp;" 1")),1),'Currency Master'!A:A,0)),"")))</f>
        <v>50.247</v>
      </c>
      <c r="J1119" s="3">
        <f t="shared" si="68"/>
        <v>490.36</v>
      </c>
      <c r="K1119" s="3" t="str">
        <f t="shared" si="69"/>
        <v>₹/Kg</v>
      </c>
      <c r="L1119" s="3">
        <v>-4.48E-2</v>
      </c>
      <c r="M1119" s="3"/>
      <c r="N1119" s="3">
        <f t="shared" si="70"/>
        <v>2019</v>
      </c>
      <c r="O1119" s="3" t="str">
        <f t="shared" si="71"/>
        <v>July</v>
      </c>
      <c r="P1119" s="3" t="s">
        <v>37</v>
      </c>
      <c r="Q1119" s="3"/>
    </row>
    <row r="1120" spans="1:17" hidden="1" x14ac:dyDescent="0.3">
      <c r="A1120" s="2">
        <v>43617</v>
      </c>
      <c r="B1120" s="3" t="s">
        <v>31</v>
      </c>
      <c r="C1120" s="3" t="s">
        <v>32</v>
      </c>
      <c r="D1120" s="3" t="s">
        <v>33</v>
      </c>
      <c r="E1120" s="3" t="s">
        <v>34</v>
      </c>
      <c r="F1120" s="3">
        <v>1021.7</v>
      </c>
      <c r="G1120" s="3" t="s">
        <v>35</v>
      </c>
      <c r="H1120" s="3" t="s">
        <v>36</v>
      </c>
      <c r="I1120" s="3">
        <f>IF(C1120="India",1,IF(C1120="USA",INDEX('Currency Master'!B:B,MATCH(DATE(N1120,MONTH(DATEVALUE(O1120&amp;" 1")),1),'Currency Master'!A:A,0)),IF(C1120="Australia",INDEX('Currency Master'!T:T,MATCH(DATE(N1120,MONTH(DATEVALUE(O1120&amp;" 1")),1),'Currency Master'!A:A,0)),"")))</f>
        <v>51.616</v>
      </c>
      <c r="J1120" s="3">
        <f t="shared" si="68"/>
        <v>527.36</v>
      </c>
      <c r="K1120" s="3" t="str">
        <f t="shared" si="69"/>
        <v>₹/Kg</v>
      </c>
      <c r="L1120" s="3">
        <v>-6.13E-2</v>
      </c>
      <c r="M1120" s="3"/>
      <c r="N1120" s="3">
        <f t="shared" si="70"/>
        <v>2019</v>
      </c>
      <c r="O1120" s="3" t="str">
        <f t="shared" si="71"/>
        <v>June</v>
      </c>
      <c r="P1120" s="3" t="s">
        <v>37</v>
      </c>
      <c r="Q1120" s="3"/>
    </row>
    <row r="1121" spans="1:17" hidden="1" x14ac:dyDescent="0.3">
      <c r="A1121" s="2">
        <v>43586</v>
      </c>
      <c r="B1121" s="3" t="s">
        <v>31</v>
      </c>
      <c r="C1121" s="3" t="s">
        <v>32</v>
      </c>
      <c r="D1121" s="3" t="s">
        <v>33</v>
      </c>
      <c r="E1121" s="3" t="s">
        <v>34</v>
      </c>
      <c r="F1121" s="3">
        <v>1088.45</v>
      </c>
      <c r="G1121" s="3" t="s">
        <v>35</v>
      </c>
      <c r="H1121" s="3" t="s">
        <v>36</v>
      </c>
      <c r="I1121" s="3">
        <f>IF(C1121="India",1,IF(C1121="USA",INDEX('Currency Master'!B:B,MATCH(DATE(N1121,MONTH(DATEVALUE(O1121&amp;" 1")),1),'Currency Master'!A:A,0)),IF(C1121="Australia",INDEX('Currency Master'!T:T,MATCH(DATE(N1121,MONTH(DATEVALUE(O1121&amp;" 1")),1),'Currency Master'!A:A,0)),"")))</f>
        <v>49.033000000000001</v>
      </c>
      <c r="J1121" s="3">
        <f t="shared" si="68"/>
        <v>533.70000000000005</v>
      </c>
      <c r="K1121" s="3" t="str">
        <f t="shared" si="69"/>
        <v>₹/Kg</v>
      </c>
      <c r="L1121" s="3">
        <v>-4.2099999999999999E-2</v>
      </c>
      <c r="M1121" s="3"/>
      <c r="N1121" s="3">
        <f t="shared" si="70"/>
        <v>2019</v>
      </c>
      <c r="O1121" s="3" t="str">
        <f t="shared" si="71"/>
        <v>May</v>
      </c>
      <c r="P1121" s="3" t="s">
        <v>37</v>
      </c>
      <c r="Q1121" s="3"/>
    </row>
    <row r="1122" spans="1:17" hidden="1" x14ac:dyDescent="0.3">
      <c r="A1122" s="2">
        <v>43556</v>
      </c>
      <c r="B1122" s="3" t="s">
        <v>31</v>
      </c>
      <c r="C1122" s="3" t="s">
        <v>32</v>
      </c>
      <c r="D1122" s="3" t="s">
        <v>33</v>
      </c>
      <c r="E1122" s="3" t="s">
        <v>34</v>
      </c>
      <c r="F1122" s="3">
        <v>1136.3</v>
      </c>
      <c r="G1122" s="3" t="s">
        <v>35</v>
      </c>
      <c r="H1122" s="3" t="s">
        <v>36</v>
      </c>
      <c r="I1122" s="3">
        <f>IF(C1122="India",1,IF(C1122="USA",INDEX('Currency Master'!B:B,MATCH(DATE(N1122,MONTH(DATEVALUE(O1122&amp;" 1")),1),'Currency Master'!A:A,0)),IF(C1122="Australia",INDEX('Currency Master'!T:T,MATCH(DATE(N1122,MONTH(DATEVALUE(O1122&amp;" 1")),1),'Currency Master'!A:A,0)),"")))</f>
        <v>50.942</v>
      </c>
      <c r="J1122" s="3">
        <f t="shared" si="68"/>
        <v>578.85</v>
      </c>
      <c r="K1122" s="3" t="str">
        <f t="shared" si="69"/>
        <v>₹/Kg</v>
      </c>
      <c r="L1122" s="3">
        <v>-1.5100000000000001E-2</v>
      </c>
      <c r="M1122" s="3"/>
      <c r="N1122" s="3">
        <f t="shared" si="70"/>
        <v>2019</v>
      </c>
      <c r="O1122" s="3" t="str">
        <f t="shared" si="71"/>
        <v>April</v>
      </c>
      <c r="P1122" s="3" t="s">
        <v>37</v>
      </c>
      <c r="Q1122" s="3"/>
    </row>
    <row r="1123" spans="1:17" hidden="1" x14ac:dyDescent="0.3">
      <c r="A1123" s="2">
        <v>43525</v>
      </c>
      <c r="B1123" s="3" t="s">
        <v>31</v>
      </c>
      <c r="C1123" s="3" t="s">
        <v>32</v>
      </c>
      <c r="D1123" s="3" t="s">
        <v>33</v>
      </c>
      <c r="E1123" s="3" t="s">
        <v>34</v>
      </c>
      <c r="F1123" s="3">
        <v>1153.67</v>
      </c>
      <c r="G1123" s="3" t="s">
        <v>35</v>
      </c>
      <c r="H1123" s="3" t="s">
        <v>36</v>
      </c>
      <c r="I1123" s="3">
        <f>IF(C1123="India",1,IF(C1123="USA",INDEX('Currency Master'!B:B,MATCH(DATE(N1123,MONTH(DATEVALUE(O1123&amp;" 1")),1),'Currency Master'!A:A,0)),IF(C1123="Australia",INDEX('Currency Master'!T:T,MATCH(DATE(N1123,MONTH(DATEVALUE(O1123&amp;" 1")),1),'Currency Master'!A:A,0)),"")))</f>
        <v>52.305</v>
      </c>
      <c r="J1123" s="3">
        <f t="shared" si="68"/>
        <v>603.42999999999995</v>
      </c>
      <c r="K1123" s="3" t="str">
        <f t="shared" si="69"/>
        <v>₹/Kg</v>
      </c>
      <c r="L1123" s="3">
        <v>-4.1200000000000001E-2</v>
      </c>
      <c r="M1123" s="3"/>
      <c r="N1123" s="3">
        <f t="shared" si="70"/>
        <v>2019</v>
      </c>
      <c r="O1123" s="3" t="str">
        <f t="shared" si="71"/>
        <v>March</v>
      </c>
      <c r="P1123" s="3" t="s">
        <v>37</v>
      </c>
      <c r="Q1123" s="3"/>
    </row>
    <row r="1124" spans="1:17" hidden="1" x14ac:dyDescent="0.3">
      <c r="A1124" s="2">
        <v>43497</v>
      </c>
      <c r="B1124" s="3" t="s">
        <v>31</v>
      </c>
      <c r="C1124" s="3" t="s">
        <v>32</v>
      </c>
      <c r="D1124" s="3" t="s">
        <v>33</v>
      </c>
      <c r="E1124" s="3" t="s">
        <v>34</v>
      </c>
      <c r="F1124" s="3">
        <v>1203.23</v>
      </c>
      <c r="G1124" s="3" t="s">
        <v>35</v>
      </c>
      <c r="H1124" s="3" t="s">
        <v>36</v>
      </c>
      <c r="I1124" s="3">
        <f>IF(C1124="India",1,IF(C1124="USA",INDEX('Currency Master'!B:B,MATCH(DATE(N1124,MONTH(DATEVALUE(O1124&amp;" 1")),1),'Currency Master'!A:A,0)),IF(C1124="Australia",INDEX('Currency Master'!T:T,MATCH(DATE(N1124,MONTH(DATEVALUE(O1124&amp;" 1")),1),'Currency Master'!A:A,0)),"")))</f>
        <v>52.402999999999999</v>
      </c>
      <c r="J1124" s="3">
        <f t="shared" si="68"/>
        <v>630.53</v>
      </c>
      <c r="K1124" s="3" t="str">
        <f t="shared" si="69"/>
        <v>₹/Kg</v>
      </c>
      <c r="L1124" s="3">
        <v>3.3399999999999999E-2</v>
      </c>
      <c r="M1124" s="3"/>
      <c r="N1124" s="3">
        <f t="shared" si="70"/>
        <v>2019</v>
      </c>
      <c r="O1124" s="3" t="str">
        <f t="shared" si="71"/>
        <v>February</v>
      </c>
      <c r="P1124" s="3" t="s">
        <v>37</v>
      </c>
      <c r="Q1124" s="3"/>
    </row>
    <row r="1125" spans="1:17" hidden="1" x14ac:dyDescent="0.3">
      <c r="A1125" s="2">
        <v>43466</v>
      </c>
      <c r="B1125" s="3" t="s">
        <v>31</v>
      </c>
      <c r="C1125" s="3" t="s">
        <v>32</v>
      </c>
      <c r="D1125" s="3" t="s">
        <v>33</v>
      </c>
      <c r="E1125" s="3" t="s">
        <v>34</v>
      </c>
      <c r="F1125" s="3">
        <v>1164.33</v>
      </c>
      <c r="G1125" s="3" t="s">
        <v>35</v>
      </c>
      <c r="H1125" s="3" t="s">
        <v>36</v>
      </c>
      <c r="I1125" s="3">
        <f>IF(C1125="India",1,IF(C1125="USA",INDEX('Currency Master'!B:B,MATCH(DATE(N1125,MONTH(DATEVALUE(O1125&amp;" 1")),1),'Currency Master'!A:A,0)),IF(C1125="Australia",INDEX('Currency Master'!T:T,MATCH(DATE(N1125,MONTH(DATEVALUE(O1125&amp;" 1")),1),'Currency Master'!A:A,0)),"")))</f>
        <v>51.048999999999999</v>
      </c>
      <c r="J1125" s="3">
        <f t="shared" si="68"/>
        <v>594.38</v>
      </c>
      <c r="K1125" s="3" t="str">
        <f t="shared" si="69"/>
        <v>₹/Kg</v>
      </c>
      <c r="L1125" s="3">
        <v>2.5600000000000001E-2</v>
      </c>
      <c r="M1125" s="3"/>
      <c r="N1125" s="3">
        <f t="shared" si="70"/>
        <v>2019</v>
      </c>
      <c r="O1125" s="3" t="str">
        <f t="shared" si="71"/>
        <v>January</v>
      </c>
      <c r="P1125" s="3" t="s">
        <v>37</v>
      </c>
      <c r="Q1125" s="3"/>
    </row>
    <row r="1126" spans="1:17" hidden="1" x14ac:dyDescent="0.3">
      <c r="A1126" s="2">
        <v>43435</v>
      </c>
      <c r="B1126" s="3" t="s">
        <v>31</v>
      </c>
      <c r="C1126" s="3" t="s">
        <v>32</v>
      </c>
      <c r="D1126" s="3" t="s">
        <v>33</v>
      </c>
      <c r="E1126" s="3" t="s">
        <v>34</v>
      </c>
      <c r="F1126" s="3">
        <v>1135.31</v>
      </c>
      <c r="G1126" s="3" t="s">
        <v>35</v>
      </c>
      <c r="H1126" s="3" t="s">
        <v>36</v>
      </c>
      <c r="I1126" s="3">
        <f>IF(C1126="India",1,IF(C1126="USA",INDEX('Currency Master'!B:B,MATCH(DATE(N1126,MONTH(DATEVALUE(O1126&amp;" 1")),1),'Currency Master'!A:A,0)),IF(C1126="Australia",INDEX('Currency Master'!T:T,MATCH(DATE(N1126,MONTH(DATEVALUE(O1126&amp;" 1")),1),'Currency Master'!A:A,0)),"")))</f>
        <v>50.831000000000003</v>
      </c>
      <c r="J1126" s="3">
        <f t="shared" si="68"/>
        <v>577.09</v>
      </c>
      <c r="K1126" s="3" t="str">
        <f t="shared" si="69"/>
        <v>₹/Kg</v>
      </c>
      <c r="L1126" s="3">
        <v>0.01</v>
      </c>
      <c r="M1126" s="3"/>
      <c r="N1126" s="3">
        <f t="shared" si="70"/>
        <v>2018</v>
      </c>
      <c r="O1126" s="3" t="str">
        <f t="shared" si="71"/>
        <v>December</v>
      </c>
      <c r="P1126" s="3" t="s">
        <v>37</v>
      </c>
      <c r="Q1126" s="3"/>
    </row>
    <row r="1127" spans="1:17" hidden="1" x14ac:dyDescent="0.3">
      <c r="A1127" s="2">
        <v>43405</v>
      </c>
      <c r="B1127" s="3" t="s">
        <v>31</v>
      </c>
      <c r="C1127" s="3" t="s">
        <v>32</v>
      </c>
      <c r="D1127" s="3" t="s">
        <v>33</v>
      </c>
      <c r="E1127" s="3" t="s">
        <v>34</v>
      </c>
      <c r="F1127" s="3">
        <v>1124.02</v>
      </c>
      <c r="G1127" s="3" t="s">
        <v>35</v>
      </c>
      <c r="H1127" s="3" t="s">
        <v>36</v>
      </c>
      <c r="I1127" s="3">
        <f>IF(C1127="India",1,IF(C1127="USA",INDEX('Currency Master'!B:B,MATCH(DATE(N1127,MONTH(DATEVALUE(O1127&amp;" 1")),1),'Currency Master'!A:A,0)),IF(C1127="Australia",INDEX('Currency Master'!T:T,MATCH(DATE(N1127,MONTH(DATEVALUE(O1127&amp;" 1")),1),'Currency Master'!A:A,0)),"")))</f>
        <v>50.667000000000002</v>
      </c>
      <c r="J1127" s="3">
        <f t="shared" si="68"/>
        <v>569.51</v>
      </c>
      <c r="K1127" s="3" t="str">
        <f t="shared" si="69"/>
        <v>₹/Kg</v>
      </c>
      <c r="L1127" s="3">
        <v>-7.5999999999999998E-2</v>
      </c>
      <c r="M1127" s="3"/>
      <c r="N1127" s="3">
        <f t="shared" si="70"/>
        <v>2018</v>
      </c>
      <c r="O1127" s="3" t="str">
        <f t="shared" si="71"/>
        <v>November</v>
      </c>
      <c r="P1127" s="3" t="s">
        <v>37</v>
      </c>
      <c r="Q1127" s="3"/>
    </row>
    <row r="1128" spans="1:17" hidden="1" x14ac:dyDescent="0.3">
      <c r="A1128" s="2">
        <v>43374</v>
      </c>
      <c r="B1128" s="3" t="s">
        <v>31</v>
      </c>
      <c r="C1128" s="3" t="s">
        <v>32</v>
      </c>
      <c r="D1128" s="3" t="s">
        <v>33</v>
      </c>
      <c r="E1128" s="3" t="s">
        <v>34</v>
      </c>
      <c r="F1128" s="3">
        <v>1216.42</v>
      </c>
      <c r="G1128" s="3" t="s">
        <v>35</v>
      </c>
      <c r="H1128" s="3" t="s">
        <v>36</v>
      </c>
      <c r="I1128" s="3">
        <f>IF(C1128="India",1,IF(C1128="USA",INDEX('Currency Master'!B:B,MATCH(DATE(N1128,MONTH(DATEVALUE(O1128&amp;" 1")),1),'Currency Master'!A:A,0)),IF(C1128="Australia",INDEX('Currency Master'!T:T,MATCH(DATE(N1128,MONTH(DATEVALUE(O1128&amp;" 1")),1),'Currency Master'!A:A,0)),"")))</f>
        <v>51.017000000000003</v>
      </c>
      <c r="J1128" s="3">
        <f t="shared" si="68"/>
        <v>620.58000000000004</v>
      </c>
      <c r="K1128" s="3" t="str">
        <f t="shared" si="69"/>
        <v>₹/Kg</v>
      </c>
      <c r="L1128" s="3">
        <v>-3.6999999999999998E-2</v>
      </c>
      <c r="M1128" s="3"/>
      <c r="N1128" s="3">
        <f t="shared" si="70"/>
        <v>2018</v>
      </c>
      <c r="O1128" s="3" t="str">
        <f t="shared" si="71"/>
        <v>October</v>
      </c>
      <c r="P1128" s="3" t="s">
        <v>37</v>
      </c>
      <c r="Q1128" s="3"/>
    </row>
    <row r="1129" spans="1:17" hidden="1" x14ac:dyDescent="0.3">
      <c r="A1129" s="2">
        <v>43344</v>
      </c>
      <c r="B1129" s="3" t="s">
        <v>31</v>
      </c>
      <c r="C1129" s="3" t="s">
        <v>32</v>
      </c>
      <c r="D1129" s="3" t="s">
        <v>33</v>
      </c>
      <c r="E1129" s="3" t="s">
        <v>34</v>
      </c>
      <c r="F1129" s="3">
        <v>1263.17</v>
      </c>
      <c r="G1129" s="3" t="s">
        <v>35</v>
      </c>
      <c r="H1129" s="3" t="s">
        <v>36</v>
      </c>
      <c r="I1129" s="3">
        <f>IF(C1129="India",1,IF(C1129="USA",INDEX('Currency Master'!B:B,MATCH(DATE(N1129,MONTH(DATEVALUE(O1129&amp;" 1")),1),'Currency Master'!A:A,0)),IF(C1129="Australia",INDEX('Currency Master'!T:T,MATCH(DATE(N1129,MONTH(DATEVALUE(O1129&amp;" 1")),1),'Currency Master'!A:A,0)),"")))</f>
        <v>50.042999999999999</v>
      </c>
      <c r="J1129" s="3">
        <f t="shared" si="68"/>
        <v>632.13</v>
      </c>
      <c r="K1129" s="3" t="str">
        <f t="shared" si="69"/>
        <v>₹/Kg</v>
      </c>
      <c r="L1129" s="3">
        <v>4.3900000000000002E-2</v>
      </c>
      <c r="M1129" s="3"/>
      <c r="N1129" s="3">
        <f t="shared" si="70"/>
        <v>2018</v>
      </c>
      <c r="O1129" s="3" t="str">
        <f t="shared" si="71"/>
        <v>September</v>
      </c>
      <c r="P1129" s="3" t="s">
        <v>37</v>
      </c>
      <c r="Q1129" s="3"/>
    </row>
    <row r="1130" spans="1:17" hidden="1" x14ac:dyDescent="0.3">
      <c r="A1130" s="2">
        <v>43313</v>
      </c>
      <c r="B1130" s="3" t="s">
        <v>31</v>
      </c>
      <c r="C1130" s="3" t="s">
        <v>32</v>
      </c>
      <c r="D1130" s="3" t="s">
        <v>33</v>
      </c>
      <c r="E1130" s="3" t="s">
        <v>34</v>
      </c>
      <c r="F1130" s="3">
        <v>1210</v>
      </c>
      <c r="G1130" s="3" t="s">
        <v>35</v>
      </c>
      <c r="H1130" s="3" t="s">
        <v>36</v>
      </c>
      <c r="I1130" s="3">
        <f>IF(C1130="India",1,IF(C1130="USA",INDEX('Currency Master'!B:B,MATCH(DATE(N1130,MONTH(DATEVALUE(O1130&amp;" 1")),1),'Currency Master'!A:A,0)),IF(C1130="Australia",INDEX('Currency Master'!T:T,MATCH(DATE(N1130,MONTH(DATEVALUE(O1130&amp;" 1")),1),'Currency Master'!A:A,0)),"")))</f>
        <v>49.991</v>
      </c>
      <c r="J1130" s="3">
        <f t="shared" si="68"/>
        <v>604.89</v>
      </c>
      <c r="K1130" s="3" t="str">
        <f t="shared" si="69"/>
        <v>₹/Kg</v>
      </c>
      <c r="L1130" s="3">
        <v>4.2700000000000002E-2</v>
      </c>
      <c r="M1130" s="3"/>
      <c r="N1130" s="3">
        <f t="shared" si="70"/>
        <v>2018</v>
      </c>
      <c r="O1130" s="3" t="str">
        <f t="shared" si="71"/>
        <v>August</v>
      </c>
      <c r="P1130" s="3" t="s">
        <v>37</v>
      </c>
      <c r="Q1130" s="3"/>
    </row>
    <row r="1131" spans="1:17" hidden="1" x14ac:dyDescent="0.3">
      <c r="A1131" s="2">
        <v>43282</v>
      </c>
      <c r="B1131" s="3" t="s">
        <v>31</v>
      </c>
      <c r="C1131" s="3" t="s">
        <v>32</v>
      </c>
      <c r="D1131" s="3" t="s">
        <v>33</v>
      </c>
      <c r="E1131" s="3" t="s">
        <v>34</v>
      </c>
      <c r="F1131" s="3">
        <v>1160.42</v>
      </c>
      <c r="G1131" s="3" t="s">
        <v>35</v>
      </c>
      <c r="H1131" s="3" t="s">
        <v>36</v>
      </c>
      <c r="I1131" s="3">
        <f>IF(C1131="India",1,IF(C1131="USA",INDEX('Currency Master'!B:B,MATCH(DATE(N1131,MONTH(DATEVALUE(O1131&amp;" 1")),1),'Currency Master'!A:A,0)),IF(C1131="Australia",INDEX('Currency Master'!T:T,MATCH(DATE(N1131,MONTH(DATEVALUE(O1131&amp;" 1")),1),'Currency Master'!A:A,0)),"")))</f>
        <v>50.601999999999997</v>
      </c>
      <c r="J1131" s="3">
        <f t="shared" si="68"/>
        <v>587.20000000000005</v>
      </c>
      <c r="K1131" s="3" t="str">
        <f t="shared" si="69"/>
        <v>₹/Kg</v>
      </c>
      <c r="L1131" s="3">
        <v>-1.61E-2</v>
      </c>
      <c r="M1131" s="3"/>
      <c r="N1131" s="3">
        <f t="shared" si="70"/>
        <v>2018</v>
      </c>
      <c r="O1131" s="3" t="str">
        <f t="shared" si="71"/>
        <v>July</v>
      </c>
      <c r="P1131" s="3" t="s">
        <v>37</v>
      </c>
      <c r="Q1131" s="3"/>
    </row>
    <row r="1132" spans="1:17" hidden="1" x14ac:dyDescent="0.3">
      <c r="A1132" s="2">
        <v>43252</v>
      </c>
      <c r="B1132" s="3" t="s">
        <v>31</v>
      </c>
      <c r="C1132" s="3" t="s">
        <v>32</v>
      </c>
      <c r="D1132" s="3" t="s">
        <v>33</v>
      </c>
      <c r="E1132" s="3" t="s">
        <v>34</v>
      </c>
      <c r="F1132" s="3">
        <v>1179.3699999999999</v>
      </c>
      <c r="G1132" s="3" t="s">
        <v>35</v>
      </c>
      <c r="H1132" s="3" t="s">
        <v>36</v>
      </c>
      <c r="I1132" s="3">
        <f>IF(C1132="India",1,IF(C1132="USA",INDEX('Currency Master'!B:B,MATCH(DATE(N1132,MONTH(DATEVALUE(O1132&amp;" 1")),1),'Currency Master'!A:A,0)),IF(C1132="Australia",INDEX('Currency Master'!T:T,MATCH(DATE(N1132,MONTH(DATEVALUE(O1132&amp;" 1")),1),'Currency Master'!A:A,0)),"")))</f>
        <v>51.174999999999997</v>
      </c>
      <c r="J1132" s="3">
        <f t="shared" si="68"/>
        <v>603.54</v>
      </c>
      <c r="K1132" s="3" t="str">
        <f t="shared" si="69"/>
        <v>₹/Kg</v>
      </c>
      <c r="L1132" s="3">
        <v>5.8900000000000001E-2</v>
      </c>
      <c r="M1132" s="3"/>
      <c r="N1132" s="3">
        <f t="shared" si="70"/>
        <v>2018</v>
      </c>
      <c r="O1132" s="3" t="str">
        <f t="shared" si="71"/>
        <v>June</v>
      </c>
      <c r="P1132" s="3" t="s">
        <v>37</v>
      </c>
      <c r="Q1132" s="3"/>
    </row>
    <row r="1133" spans="1:17" hidden="1" x14ac:dyDescent="0.3">
      <c r="A1133" s="2">
        <v>43221</v>
      </c>
      <c r="B1133" s="3" t="s">
        <v>31</v>
      </c>
      <c r="C1133" s="3" t="s">
        <v>32</v>
      </c>
      <c r="D1133" s="3" t="s">
        <v>33</v>
      </c>
      <c r="E1133" s="3" t="s">
        <v>34</v>
      </c>
      <c r="F1133" s="3">
        <v>1113.72</v>
      </c>
      <c r="G1133" s="3" t="s">
        <v>35</v>
      </c>
      <c r="H1133" s="3" t="s">
        <v>36</v>
      </c>
      <c r="I1133" s="3">
        <f>IF(C1133="India",1,IF(C1133="USA",INDEX('Currency Master'!B:B,MATCH(DATE(N1133,MONTH(DATEVALUE(O1133&amp;" 1")),1),'Currency Master'!A:A,0)),IF(C1133="Australia",INDEX('Currency Master'!T:T,MATCH(DATE(N1133,MONTH(DATEVALUE(O1133&amp;" 1")),1),'Currency Master'!A:A,0)),"")))</f>
        <v>49.793999999999997</v>
      </c>
      <c r="J1133" s="3">
        <f t="shared" si="68"/>
        <v>554.57000000000005</v>
      </c>
      <c r="K1133" s="3" t="str">
        <f t="shared" si="69"/>
        <v>₹/Kg</v>
      </c>
      <c r="L1133" s="3">
        <v>6.0600000000000001E-2</v>
      </c>
      <c r="M1133" s="3"/>
      <c r="N1133" s="3">
        <f t="shared" si="70"/>
        <v>2018</v>
      </c>
      <c r="O1133" s="3" t="str">
        <f t="shared" si="71"/>
        <v>May</v>
      </c>
      <c r="P1133" s="3" t="s">
        <v>37</v>
      </c>
      <c r="Q1133" s="3"/>
    </row>
    <row r="1134" spans="1:17" hidden="1" x14ac:dyDescent="0.3">
      <c r="A1134" s="2">
        <v>43191</v>
      </c>
      <c r="B1134" s="3" t="s">
        <v>31</v>
      </c>
      <c r="C1134" s="3" t="s">
        <v>32</v>
      </c>
      <c r="D1134" s="3" t="s">
        <v>33</v>
      </c>
      <c r="E1134" s="3" t="s">
        <v>34</v>
      </c>
      <c r="F1134" s="3">
        <v>1050.05</v>
      </c>
      <c r="G1134" s="3" t="s">
        <v>35</v>
      </c>
      <c r="H1134" s="3" t="s">
        <v>36</v>
      </c>
      <c r="I1134" s="3">
        <f>IF(C1134="India",1,IF(C1134="USA",INDEX('Currency Master'!B:B,MATCH(DATE(N1134,MONTH(DATEVALUE(O1134&amp;" 1")),1),'Currency Master'!A:A,0)),IF(C1134="Australia",INDEX('Currency Master'!T:T,MATCH(DATE(N1134,MONTH(DATEVALUE(O1134&amp;" 1")),1),'Currency Master'!A:A,0)),"")))</f>
        <v>48.786000000000001</v>
      </c>
      <c r="J1134" s="3">
        <f t="shared" si="68"/>
        <v>512.28</v>
      </c>
      <c r="K1134" s="3" t="str">
        <f t="shared" si="69"/>
        <v>₹/Kg</v>
      </c>
      <c r="L1134" s="3">
        <v>4.4000000000000003E-3</v>
      </c>
      <c r="M1134" s="3"/>
      <c r="N1134" s="3">
        <f t="shared" si="70"/>
        <v>2018</v>
      </c>
      <c r="O1134" s="3" t="str">
        <f t="shared" si="71"/>
        <v>April</v>
      </c>
      <c r="P1134" s="3" t="s">
        <v>37</v>
      </c>
      <c r="Q1134" s="3"/>
    </row>
    <row r="1135" spans="1:17" hidden="1" x14ac:dyDescent="0.3">
      <c r="A1135" s="2">
        <v>43160</v>
      </c>
      <c r="B1135" s="3" t="s">
        <v>31</v>
      </c>
      <c r="C1135" s="3" t="s">
        <v>32</v>
      </c>
      <c r="D1135" s="3" t="s">
        <v>33</v>
      </c>
      <c r="E1135" s="3" t="s">
        <v>34</v>
      </c>
      <c r="F1135" s="3">
        <v>1045.49</v>
      </c>
      <c r="G1135" s="3" t="s">
        <v>35</v>
      </c>
      <c r="H1135" s="3" t="s">
        <v>36</v>
      </c>
      <c r="I1135" s="3">
        <f>IF(C1135="India",1,IF(C1135="USA",INDEX('Currency Master'!B:B,MATCH(DATE(N1135,MONTH(DATEVALUE(O1135&amp;" 1")),1),'Currency Master'!A:A,0)),IF(C1135="Australia",INDEX('Currency Master'!T:T,MATCH(DATE(N1135,MONTH(DATEVALUE(O1135&amp;" 1")),1),'Currency Master'!A:A,0)),"")))</f>
        <v>49.558</v>
      </c>
      <c r="J1135" s="3">
        <f t="shared" si="68"/>
        <v>518.12</v>
      </c>
      <c r="K1135" s="3" t="str">
        <f t="shared" si="69"/>
        <v>₹/Kg</v>
      </c>
      <c r="L1135" s="3">
        <v>-3.5499999999999997E-2</v>
      </c>
      <c r="M1135" s="3"/>
      <c r="N1135" s="3">
        <f t="shared" si="70"/>
        <v>2018</v>
      </c>
      <c r="O1135" s="3" t="str">
        <f t="shared" si="71"/>
        <v>March</v>
      </c>
      <c r="P1135" s="3" t="s">
        <v>37</v>
      </c>
      <c r="Q1135" s="3"/>
    </row>
    <row r="1136" spans="1:17" hidden="1" x14ac:dyDescent="0.3">
      <c r="A1136" s="2">
        <v>43132</v>
      </c>
      <c r="B1136" s="3" t="s">
        <v>31</v>
      </c>
      <c r="C1136" s="3" t="s">
        <v>32</v>
      </c>
      <c r="D1136" s="3" t="s">
        <v>33</v>
      </c>
      <c r="E1136" s="3" t="s">
        <v>34</v>
      </c>
      <c r="F1136" s="3">
        <v>1083.97</v>
      </c>
      <c r="G1136" s="3" t="s">
        <v>35</v>
      </c>
      <c r="H1136" s="3" t="s">
        <v>36</v>
      </c>
      <c r="I1136" s="3">
        <f>IF(C1136="India",1,IF(C1136="USA",INDEX('Currency Master'!B:B,MATCH(DATE(N1136,MONTH(DATEVALUE(O1136&amp;" 1")),1),'Currency Master'!A:A,0)),IF(C1136="Australia",INDEX('Currency Master'!T:T,MATCH(DATE(N1136,MONTH(DATEVALUE(O1136&amp;" 1")),1),'Currency Master'!A:A,0)),"")))</f>
        <v>51.152999999999999</v>
      </c>
      <c r="J1136" s="3">
        <f t="shared" si="68"/>
        <v>554.48</v>
      </c>
      <c r="K1136" s="3" t="str">
        <f t="shared" si="69"/>
        <v>₹/Kg</v>
      </c>
      <c r="L1136" s="3">
        <v>5.4000000000000003E-3</v>
      </c>
      <c r="M1136" s="3"/>
      <c r="N1136" s="3">
        <f t="shared" si="70"/>
        <v>2018</v>
      </c>
      <c r="O1136" s="3" t="str">
        <f t="shared" si="71"/>
        <v>February</v>
      </c>
      <c r="P1136" s="3" t="s">
        <v>37</v>
      </c>
      <c r="Q1136" s="3"/>
    </row>
    <row r="1137" spans="1:17" hidden="1" x14ac:dyDescent="0.3">
      <c r="A1137" s="2">
        <v>43101</v>
      </c>
      <c r="B1137" s="3" t="s">
        <v>31</v>
      </c>
      <c r="C1137" s="3" t="s">
        <v>32</v>
      </c>
      <c r="D1137" s="3" t="s">
        <v>33</v>
      </c>
      <c r="E1137" s="3" t="s">
        <v>34</v>
      </c>
      <c r="F1137" s="3">
        <v>1078.1600000000001</v>
      </c>
      <c r="G1137" s="3" t="s">
        <v>35</v>
      </c>
      <c r="H1137" s="3" t="s">
        <v>36</v>
      </c>
      <c r="I1137" s="3">
        <f>IF(C1137="India",1,IF(C1137="USA",INDEX('Currency Master'!B:B,MATCH(DATE(N1137,MONTH(DATEVALUE(O1137&amp;" 1")),1),'Currency Master'!A:A,0)),IF(C1137="Australia",INDEX('Currency Master'!T:T,MATCH(DATE(N1137,MONTH(DATEVALUE(O1137&amp;" 1")),1),'Currency Master'!A:A,0)),"")))</f>
        <v>50.798999999999999</v>
      </c>
      <c r="J1137" s="3">
        <f t="shared" si="68"/>
        <v>547.69000000000005</v>
      </c>
      <c r="K1137" s="3" t="str">
        <f t="shared" si="69"/>
        <v>₹/Kg</v>
      </c>
      <c r="L1137" s="3">
        <v>7.6499999999999999E-2</v>
      </c>
      <c r="M1137" s="3"/>
      <c r="N1137" s="3">
        <f t="shared" si="70"/>
        <v>2018</v>
      </c>
      <c r="O1137" s="3" t="str">
        <f t="shared" si="71"/>
        <v>January</v>
      </c>
      <c r="P1137" s="3" t="s">
        <v>37</v>
      </c>
      <c r="Q1137" s="3"/>
    </row>
    <row r="1138" spans="1:17" hidden="1" x14ac:dyDescent="0.3">
      <c r="A1138" s="2">
        <v>43070</v>
      </c>
      <c r="B1138" s="3" t="s">
        <v>31</v>
      </c>
      <c r="C1138" s="3" t="s">
        <v>32</v>
      </c>
      <c r="D1138" s="3" t="s">
        <v>33</v>
      </c>
      <c r="E1138" s="3" t="s">
        <v>34</v>
      </c>
      <c r="F1138" s="3">
        <v>1001.55</v>
      </c>
      <c r="G1138" s="3" t="s">
        <v>35</v>
      </c>
      <c r="H1138" s="3" t="s">
        <v>36</v>
      </c>
      <c r="I1138" s="3">
        <f>IF(C1138="India",1,IF(C1138="USA",INDEX('Currency Master'!B:B,MATCH(DATE(N1138,MONTH(DATEVALUE(O1138&amp;" 1")),1),'Currency Master'!A:A,0)),IF(C1138="Australia",INDEX('Currency Master'!T:T,MATCH(DATE(N1138,MONTH(DATEVALUE(O1138&amp;" 1")),1),'Currency Master'!A:A,0)),"")))</f>
        <v>51.348999999999997</v>
      </c>
      <c r="J1138" s="3">
        <f t="shared" si="68"/>
        <v>514.29</v>
      </c>
      <c r="K1138" s="3" t="str">
        <f t="shared" si="69"/>
        <v>₹/Kg</v>
      </c>
      <c r="L1138" s="3">
        <v>1.7100000000000001E-2</v>
      </c>
      <c r="M1138" s="3"/>
      <c r="N1138" s="3">
        <f t="shared" si="70"/>
        <v>2017</v>
      </c>
      <c r="O1138" s="3" t="str">
        <f t="shared" si="71"/>
        <v>December</v>
      </c>
      <c r="P1138" s="3" t="s">
        <v>37</v>
      </c>
      <c r="Q1138" s="3"/>
    </row>
    <row r="1139" spans="1:17" hidden="1" x14ac:dyDescent="0.3">
      <c r="A1139" s="2">
        <v>43040</v>
      </c>
      <c r="B1139" s="3" t="s">
        <v>31</v>
      </c>
      <c r="C1139" s="3" t="s">
        <v>32</v>
      </c>
      <c r="D1139" s="3" t="s">
        <v>33</v>
      </c>
      <c r="E1139" s="3" t="s">
        <v>34</v>
      </c>
      <c r="F1139" s="3">
        <v>984.7</v>
      </c>
      <c r="G1139" s="3" t="s">
        <v>35</v>
      </c>
      <c r="H1139" s="3" t="s">
        <v>36</v>
      </c>
      <c r="I1139" s="3">
        <f>IF(C1139="India",1,IF(C1139="USA",INDEX('Currency Master'!B:B,MATCH(DATE(N1139,MONTH(DATEVALUE(O1139&amp;" 1")),1),'Currency Master'!A:A,0)),IF(C1139="Australia",INDEX('Currency Master'!T:T,MATCH(DATE(N1139,MONTH(DATEVALUE(O1139&amp;" 1")),1),'Currency Master'!A:A,0)),"")))</f>
        <v>49.662999999999997</v>
      </c>
      <c r="J1139" s="3">
        <f t="shared" si="68"/>
        <v>489.03</v>
      </c>
      <c r="K1139" s="3" t="str">
        <f t="shared" si="69"/>
        <v>₹/Kg</v>
      </c>
      <c r="L1139" s="3">
        <v>3.3700000000000001E-2</v>
      </c>
      <c r="M1139" s="3"/>
      <c r="N1139" s="3">
        <f t="shared" si="70"/>
        <v>2017</v>
      </c>
      <c r="O1139" s="3" t="str">
        <f t="shared" si="71"/>
        <v>November</v>
      </c>
      <c r="P1139" s="3" t="s">
        <v>37</v>
      </c>
      <c r="Q1139" s="3"/>
    </row>
    <row r="1140" spans="1:17" hidden="1" x14ac:dyDescent="0.3">
      <c r="A1140" s="2">
        <v>43009</v>
      </c>
      <c r="B1140" s="3" t="s">
        <v>31</v>
      </c>
      <c r="C1140" s="3" t="s">
        <v>32</v>
      </c>
      <c r="D1140" s="3" t="s">
        <v>33</v>
      </c>
      <c r="E1140" s="3" t="s">
        <v>34</v>
      </c>
      <c r="F1140" s="3">
        <v>952.63</v>
      </c>
      <c r="G1140" s="3" t="s">
        <v>35</v>
      </c>
      <c r="H1140" s="3" t="s">
        <v>36</v>
      </c>
      <c r="I1140" s="3">
        <f>IF(C1140="India",1,IF(C1140="USA",INDEX('Currency Master'!B:B,MATCH(DATE(N1140,MONTH(DATEVALUE(O1140&amp;" 1")),1),'Currency Master'!A:A,0)),IF(C1140="Australia",INDEX('Currency Master'!T:T,MATCH(DATE(N1140,MONTH(DATEVALUE(O1140&amp;" 1")),1),'Currency Master'!A:A,0)),"")))</f>
        <v>47.920999999999999</v>
      </c>
      <c r="J1140" s="3">
        <f t="shared" si="68"/>
        <v>456.51</v>
      </c>
      <c r="K1140" s="3" t="str">
        <f t="shared" si="69"/>
        <v>₹/Kg</v>
      </c>
      <c r="L1140" s="3">
        <v>3.3700000000000001E-2</v>
      </c>
      <c r="M1140" s="3"/>
      <c r="N1140" s="3">
        <f t="shared" si="70"/>
        <v>2017</v>
      </c>
      <c r="O1140" s="3" t="str">
        <f t="shared" si="71"/>
        <v>October</v>
      </c>
      <c r="P1140" s="3" t="s">
        <v>37</v>
      </c>
      <c r="Q1140" s="3"/>
    </row>
    <row r="1141" spans="1:17" hidden="1" x14ac:dyDescent="0.3">
      <c r="A1141" s="2">
        <v>42979</v>
      </c>
      <c r="B1141" s="3" t="s">
        <v>31</v>
      </c>
      <c r="C1141" s="3" t="s">
        <v>32</v>
      </c>
      <c r="D1141" s="3" t="s">
        <v>33</v>
      </c>
      <c r="E1141" s="3" t="s">
        <v>34</v>
      </c>
      <c r="F1141" s="3">
        <v>921.61</v>
      </c>
      <c r="G1141" s="3" t="s">
        <v>35</v>
      </c>
      <c r="H1141" s="3" t="s">
        <v>36</v>
      </c>
      <c r="I1141" s="3">
        <f>IF(C1141="India",1,IF(C1141="USA",INDEX('Currency Master'!B:B,MATCH(DATE(N1141,MONTH(DATEVALUE(O1141&amp;" 1")),1),'Currency Master'!A:A,0)),IF(C1141="Australia",INDEX('Currency Master'!T:T,MATCH(DATE(N1141,MONTH(DATEVALUE(O1141&amp;" 1")),1),'Currency Master'!A:A,0)),"")))</f>
        <v>48.1</v>
      </c>
      <c r="J1141" s="3">
        <f t="shared" si="68"/>
        <v>443.29</v>
      </c>
      <c r="K1141" s="3" t="str">
        <f t="shared" si="69"/>
        <v>₹/Kg</v>
      </c>
      <c r="L1141" s="3">
        <v>-2.0299999999999999E-2</v>
      </c>
      <c r="M1141" s="3"/>
      <c r="N1141" s="3">
        <f t="shared" si="70"/>
        <v>2017</v>
      </c>
      <c r="O1141" s="3" t="str">
        <f t="shared" si="71"/>
        <v>September</v>
      </c>
      <c r="P1141" s="3" t="s">
        <v>37</v>
      </c>
      <c r="Q1141" s="3"/>
    </row>
    <row r="1142" spans="1:17" hidden="1" x14ac:dyDescent="0.3">
      <c r="A1142" s="2">
        <v>42948</v>
      </c>
      <c r="B1142" s="3" t="s">
        <v>31</v>
      </c>
      <c r="C1142" s="3" t="s">
        <v>32</v>
      </c>
      <c r="D1142" s="3" t="s">
        <v>33</v>
      </c>
      <c r="E1142" s="3" t="s">
        <v>34</v>
      </c>
      <c r="F1142" s="3">
        <v>940.68</v>
      </c>
      <c r="G1142" s="3" t="s">
        <v>35</v>
      </c>
      <c r="H1142" s="3" t="s">
        <v>36</v>
      </c>
      <c r="I1142" s="3">
        <f>IF(C1142="India",1,IF(C1142="USA",INDEX('Currency Master'!B:B,MATCH(DATE(N1142,MONTH(DATEVALUE(O1142&amp;" 1")),1),'Currency Master'!A:A,0)),IF(C1142="Australia",INDEX('Currency Master'!T:T,MATCH(DATE(N1142,MONTH(DATEVALUE(O1142&amp;" 1")),1),'Currency Master'!A:A,0)),"")))</f>
        <v>49.468000000000004</v>
      </c>
      <c r="J1142" s="3">
        <f t="shared" si="68"/>
        <v>465.34</v>
      </c>
      <c r="K1142" s="3" t="str">
        <f t="shared" si="69"/>
        <v>₹/Kg</v>
      </c>
      <c r="L1142" s="3">
        <v>3.7999999999999999E-2</v>
      </c>
      <c r="M1142" s="3"/>
      <c r="N1142" s="3">
        <f t="shared" si="70"/>
        <v>2017</v>
      </c>
      <c r="O1142" s="3" t="str">
        <f t="shared" si="71"/>
        <v>August</v>
      </c>
      <c r="P1142" s="3" t="s">
        <v>37</v>
      </c>
      <c r="Q1142" s="3"/>
    </row>
    <row r="1143" spans="1:17" hidden="1" x14ac:dyDescent="0.3">
      <c r="A1143" s="2">
        <v>42917</v>
      </c>
      <c r="B1143" s="3" t="s">
        <v>31</v>
      </c>
      <c r="C1143" s="3" t="s">
        <v>32</v>
      </c>
      <c r="D1143" s="3" t="s">
        <v>33</v>
      </c>
      <c r="E1143" s="3" t="s">
        <v>34</v>
      </c>
      <c r="F1143" s="3">
        <v>906.26</v>
      </c>
      <c r="G1143" s="3" t="s">
        <v>35</v>
      </c>
      <c r="H1143" s="3" t="s">
        <v>36</v>
      </c>
      <c r="I1143" s="3">
        <f>IF(C1143="India",1,IF(C1143="USA",INDEX('Currency Master'!B:B,MATCH(DATE(N1143,MONTH(DATEVALUE(O1143&amp;" 1")),1),'Currency Master'!A:A,0)),IF(C1143="Australia",INDEX('Currency Master'!T:T,MATCH(DATE(N1143,MONTH(DATEVALUE(O1143&amp;" 1")),1),'Currency Master'!A:A,0)),"")))</f>
        <v>51.072000000000003</v>
      </c>
      <c r="J1143" s="3">
        <f t="shared" si="68"/>
        <v>462.85</v>
      </c>
      <c r="K1143" s="3" t="str">
        <f t="shared" si="69"/>
        <v>₹/Kg</v>
      </c>
      <c r="L1143" s="3">
        <v>1.9E-3</v>
      </c>
      <c r="M1143" s="3"/>
      <c r="N1143" s="3">
        <f t="shared" si="70"/>
        <v>2017</v>
      </c>
      <c r="O1143" s="3" t="str">
        <f t="shared" si="71"/>
        <v>July</v>
      </c>
      <c r="P1143" s="3" t="s">
        <v>37</v>
      </c>
      <c r="Q1143" s="3"/>
    </row>
    <row r="1144" spans="1:17" hidden="1" x14ac:dyDescent="0.3">
      <c r="A1144" s="2">
        <v>42887</v>
      </c>
      <c r="B1144" s="3" t="s">
        <v>31</v>
      </c>
      <c r="C1144" s="3" t="s">
        <v>32</v>
      </c>
      <c r="D1144" s="3" t="s">
        <v>33</v>
      </c>
      <c r="E1144" s="3" t="s">
        <v>34</v>
      </c>
      <c r="F1144" s="3">
        <v>904.57</v>
      </c>
      <c r="G1144" s="3" t="s">
        <v>35</v>
      </c>
      <c r="H1144" s="3" t="s">
        <v>36</v>
      </c>
      <c r="I1144" s="3">
        <f>IF(C1144="India",1,IF(C1144="USA",INDEX('Currency Master'!B:B,MATCH(DATE(N1144,MONTH(DATEVALUE(O1144&amp;" 1")),1),'Currency Master'!A:A,0)),IF(C1144="Australia",INDEX('Currency Master'!T:T,MATCH(DATE(N1144,MONTH(DATEVALUE(O1144&amp;" 1")),1),'Currency Master'!A:A,0)),"")))</f>
        <v>51.177999999999997</v>
      </c>
      <c r="J1144" s="3">
        <f t="shared" si="68"/>
        <v>462.94</v>
      </c>
      <c r="K1144" s="3" t="str">
        <f t="shared" si="69"/>
        <v>₹/Kg</v>
      </c>
      <c r="L1144" s="3">
        <v>-2.0400000000000001E-2</v>
      </c>
      <c r="M1144" s="3"/>
      <c r="N1144" s="3">
        <f t="shared" si="70"/>
        <v>2017</v>
      </c>
      <c r="O1144" s="3" t="str">
        <f t="shared" si="71"/>
        <v>June</v>
      </c>
      <c r="P1144" s="3" t="s">
        <v>37</v>
      </c>
      <c r="Q1144" s="3"/>
    </row>
    <row r="1145" spans="1:17" hidden="1" x14ac:dyDescent="0.3">
      <c r="A1145" s="2">
        <v>42856</v>
      </c>
      <c r="B1145" s="3" t="s">
        <v>31</v>
      </c>
      <c r="C1145" s="3" t="s">
        <v>32</v>
      </c>
      <c r="D1145" s="3" t="s">
        <v>33</v>
      </c>
      <c r="E1145" s="3" t="s">
        <v>34</v>
      </c>
      <c r="F1145" s="3">
        <v>923.42</v>
      </c>
      <c r="G1145" s="3" t="s">
        <v>35</v>
      </c>
      <c r="H1145" s="3" t="s">
        <v>36</v>
      </c>
      <c r="I1145" s="3">
        <f>IF(C1145="India",1,IF(C1145="USA",INDEX('Currency Master'!B:B,MATCH(DATE(N1145,MONTH(DATEVALUE(O1145&amp;" 1")),1),'Currency Master'!A:A,0)),IF(C1145="Australia",INDEX('Currency Master'!T:T,MATCH(DATE(N1145,MONTH(DATEVALUE(O1145&amp;" 1")),1),'Currency Master'!A:A,0)),"")))</f>
        <v>49.021999999999998</v>
      </c>
      <c r="J1145" s="3">
        <f t="shared" si="68"/>
        <v>452.68</v>
      </c>
      <c r="K1145" s="3" t="str">
        <f t="shared" si="69"/>
        <v>₹/Kg</v>
      </c>
      <c r="L1145" s="3">
        <v>2.1700000000000001E-2</v>
      </c>
      <c r="M1145" s="3"/>
      <c r="N1145" s="3">
        <f t="shared" si="70"/>
        <v>2017</v>
      </c>
      <c r="O1145" s="3" t="str">
        <f t="shared" si="71"/>
        <v>May</v>
      </c>
      <c r="P1145" s="3" t="s">
        <v>37</v>
      </c>
      <c r="Q1145" s="3"/>
    </row>
    <row r="1146" spans="1:17" hidden="1" x14ac:dyDescent="0.3">
      <c r="A1146" s="2">
        <v>42826</v>
      </c>
      <c r="B1146" s="3" t="s">
        <v>31</v>
      </c>
      <c r="C1146" s="3" t="s">
        <v>32</v>
      </c>
      <c r="D1146" s="3" t="s">
        <v>33</v>
      </c>
      <c r="E1146" s="3" t="s">
        <v>34</v>
      </c>
      <c r="F1146" s="3">
        <v>903.79</v>
      </c>
      <c r="G1146" s="3" t="s">
        <v>35</v>
      </c>
      <c r="H1146" s="3" t="s">
        <v>36</v>
      </c>
      <c r="I1146" s="3">
        <f>IF(C1146="India",1,IF(C1146="USA",INDEX('Currency Master'!B:B,MATCH(DATE(N1146,MONTH(DATEVALUE(O1146&amp;" 1")),1),'Currency Master'!A:A,0)),IF(C1146="Australia",INDEX('Currency Master'!T:T,MATCH(DATE(N1146,MONTH(DATEVALUE(O1146&amp;" 1")),1),'Currency Master'!A:A,0)),"")))</f>
        <v>50.631999999999998</v>
      </c>
      <c r="J1146" s="3">
        <f t="shared" si="68"/>
        <v>457.61</v>
      </c>
      <c r="K1146" s="3" t="str">
        <f t="shared" si="69"/>
        <v>₹/Kg</v>
      </c>
      <c r="L1146" s="3">
        <v>-5.7500000000000002E-2</v>
      </c>
      <c r="M1146" s="3"/>
      <c r="N1146" s="3">
        <f t="shared" si="70"/>
        <v>2017</v>
      </c>
      <c r="O1146" s="3" t="str">
        <f t="shared" si="71"/>
        <v>April</v>
      </c>
      <c r="P1146" s="3" t="s">
        <v>37</v>
      </c>
      <c r="Q1146" s="3"/>
    </row>
    <row r="1147" spans="1:17" hidden="1" x14ac:dyDescent="0.3">
      <c r="A1147" s="2">
        <v>42795</v>
      </c>
      <c r="B1147" s="3" t="s">
        <v>31</v>
      </c>
      <c r="C1147" s="3" t="s">
        <v>32</v>
      </c>
      <c r="D1147" s="3" t="s">
        <v>33</v>
      </c>
      <c r="E1147" s="3" t="s">
        <v>34</v>
      </c>
      <c r="F1147" s="3">
        <v>958.96</v>
      </c>
      <c r="G1147" s="3" t="s">
        <v>35</v>
      </c>
      <c r="H1147" s="3" t="s">
        <v>36</v>
      </c>
      <c r="I1147" s="3">
        <f>IF(C1147="India",1,IF(C1147="USA",INDEX('Currency Master'!B:B,MATCH(DATE(N1147,MONTH(DATEVALUE(O1147&amp;" 1")),1),'Currency Master'!A:A,0)),IF(C1147="Australia",INDEX('Currency Master'!T:T,MATCH(DATE(N1147,MONTH(DATEVALUE(O1147&amp;" 1")),1),'Currency Master'!A:A,0)),"")))</f>
        <v>50.732999999999997</v>
      </c>
      <c r="J1147" s="3">
        <f t="shared" si="68"/>
        <v>486.51</v>
      </c>
      <c r="K1147" s="3" t="str">
        <f t="shared" si="69"/>
        <v>₹/Kg</v>
      </c>
      <c r="L1147" s="3">
        <v>4.6600000000000003E-2</v>
      </c>
      <c r="M1147" s="3"/>
      <c r="N1147" s="3">
        <f t="shared" si="70"/>
        <v>2017</v>
      </c>
      <c r="O1147" s="3" t="str">
        <f t="shared" si="71"/>
        <v>March</v>
      </c>
      <c r="P1147" s="3" t="s">
        <v>37</v>
      </c>
      <c r="Q1147" s="3"/>
    </row>
    <row r="1148" spans="1:17" hidden="1" x14ac:dyDescent="0.3">
      <c r="A1148" s="2">
        <v>42767</v>
      </c>
      <c r="B1148" s="3" t="s">
        <v>31</v>
      </c>
      <c r="C1148" s="3" t="s">
        <v>32</v>
      </c>
      <c r="D1148" s="3" t="s">
        <v>33</v>
      </c>
      <c r="E1148" s="3" t="s">
        <v>34</v>
      </c>
      <c r="F1148" s="3">
        <v>916.25</v>
      </c>
      <c r="G1148" s="3" t="s">
        <v>35</v>
      </c>
      <c r="H1148" s="3" t="s">
        <v>36</v>
      </c>
      <c r="I1148" s="3">
        <f>IF(C1148="India",1,IF(C1148="USA",INDEX('Currency Master'!B:B,MATCH(DATE(N1148,MONTH(DATEVALUE(O1148&amp;" 1")),1),'Currency Master'!A:A,0)),IF(C1148="Australia",INDEX('Currency Master'!T:T,MATCH(DATE(N1148,MONTH(DATEVALUE(O1148&amp;" 1")),1),'Currency Master'!A:A,0)),"")))</f>
        <v>50.933999999999997</v>
      </c>
      <c r="J1148" s="3">
        <f t="shared" si="68"/>
        <v>466.68</v>
      </c>
      <c r="K1148" s="3" t="str">
        <f t="shared" si="69"/>
        <v>₹/Kg</v>
      </c>
      <c r="L1148" s="3">
        <v>3.04E-2</v>
      </c>
      <c r="M1148" s="3"/>
      <c r="N1148" s="3">
        <f t="shared" si="70"/>
        <v>2017</v>
      </c>
      <c r="O1148" s="3" t="str">
        <f t="shared" si="71"/>
        <v>February</v>
      </c>
      <c r="P1148" s="3" t="s">
        <v>37</v>
      </c>
      <c r="Q1148" s="3"/>
    </row>
    <row r="1149" spans="1:17" hidden="1" x14ac:dyDescent="0.3">
      <c r="A1149" s="2">
        <v>42736</v>
      </c>
      <c r="B1149" s="3" t="s">
        <v>31</v>
      </c>
      <c r="C1149" s="3" t="s">
        <v>32</v>
      </c>
      <c r="D1149" s="3" t="s">
        <v>33</v>
      </c>
      <c r="E1149" s="3" t="s">
        <v>34</v>
      </c>
      <c r="F1149" s="3">
        <v>889.23</v>
      </c>
      <c r="G1149" s="3" t="s">
        <v>35</v>
      </c>
      <c r="H1149" s="3" t="s">
        <v>36</v>
      </c>
      <c r="I1149" s="3">
        <f>IF(C1149="India",1,IF(C1149="USA",INDEX('Currency Master'!B:B,MATCH(DATE(N1149,MONTH(DATEVALUE(O1149&amp;" 1")),1),'Currency Master'!A:A,0)),IF(C1149="Australia",INDEX('Currency Master'!T:T,MATCH(DATE(N1149,MONTH(DATEVALUE(O1149&amp;" 1")),1),'Currency Master'!A:A,0)),"")))</f>
        <v>50.316000000000003</v>
      </c>
      <c r="J1149" s="3">
        <f t="shared" si="68"/>
        <v>447.42</v>
      </c>
      <c r="K1149" s="3" t="str">
        <f t="shared" si="69"/>
        <v>₹/Kg</v>
      </c>
      <c r="L1149" s="3">
        <v>8.5699999999999998E-2</v>
      </c>
      <c r="M1149" s="3"/>
      <c r="N1149" s="3">
        <f t="shared" si="70"/>
        <v>2017</v>
      </c>
      <c r="O1149" s="3" t="str">
        <f t="shared" si="71"/>
        <v>January</v>
      </c>
      <c r="P1149" s="3" t="s">
        <v>37</v>
      </c>
      <c r="Q1149" s="3"/>
    </row>
    <row r="1150" spans="1:17" hidden="1" x14ac:dyDescent="0.3">
      <c r="A1150" s="2">
        <v>42705</v>
      </c>
      <c r="B1150" s="3" t="s">
        <v>31</v>
      </c>
      <c r="C1150" s="3" t="s">
        <v>32</v>
      </c>
      <c r="D1150" s="3" t="s">
        <v>33</v>
      </c>
      <c r="E1150" s="3" t="s">
        <v>34</v>
      </c>
      <c r="F1150" s="3">
        <v>819</v>
      </c>
      <c r="G1150" s="3" t="s">
        <v>35</v>
      </c>
      <c r="H1150" s="3" t="s">
        <v>36</v>
      </c>
      <c r="I1150" s="3">
        <f>IF(C1150="India",1,IF(C1150="USA",INDEX('Currency Master'!B:B,MATCH(DATE(N1150,MONTH(DATEVALUE(O1150&amp;" 1")),1),'Currency Master'!A:A,0)),IF(C1150="Australia",INDEX('Currency Master'!T:T,MATCH(DATE(N1150,MONTH(DATEVALUE(O1150&amp;" 1")),1),'Currency Master'!A:A,0)),"")))</f>
        <v>50.604999999999997</v>
      </c>
      <c r="J1150" s="3">
        <f t="shared" si="68"/>
        <v>414.45</v>
      </c>
      <c r="K1150" s="3" t="str">
        <f t="shared" si="69"/>
        <v>₹/Kg</v>
      </c>
      <c r="L1150" s="3">
        <v>1.9800000000000002E-2</v>
      </c>
      <c r="M1150" s="3"/>
      <c r="N1150" s="3">
        <f t="shared" si="70"/>
        <v>2016</v>
      </c>
      <c r="O1150" s="3" t="str">
        <f t="shared" si="71"/>
        <v>December</v>
      </c>
      <c r="P1150" s="3" t="s">
        <v>37</v>
      </c>
      <c r="Q1150" s="3"/>
    </row>
    <row r="1151" spans="1:17" hidden="1" x14ac:dyDescent="0.3">
      <c r="A1151" s="2">
        <v>42675</v>
      </c>
      <c r="B1151" s="3" t="s">
        <v>31</v>
      </c>
      <c r="C1151" s="3" t="s">
        <v>32</v>
      </c>
      <c r="D1151" s="3" t="s">
        <v>33</v>
      </c>
      <c r="E1151" s="3" t="s">
        <v>34</v>
      </c>
      <c r="F1151" s="3">
        <v>803.09</v>
      </c>
      <c r="G1151" s="3" t="s">
        <v>35</v>
      </c>
      <c r="H1151" s="3" t="s">
        <v>36</v>
      </c>
      <c r="I1151" s="3">
        <f>IF(C1151="India",1,IF(C1151="USA",INDEX('Currency Master'!B:B,MATCH(DATE(N1151,MONTH(DATEVALUE(O1151&amp;" 1")),1),'Currency Master'!A:A,0)),IF(C1151="Australia",INDEX('Currency Master'!T:T,MATCH(DATE(N1151,MONTH(DATEVALUE(O1151&amp;" 1")),1),'Currency Master'!A:A,0)),"")))</f>
        <v>50.262</v>
      </c>
      <c r="J1151" s="3">
        <f t="shared" si="68"/>
        <v>403.65</v>
      </c>
      <c r="K1151" s="3" t="str">
        <f t="shared" si="69"/>
        <v>₹/Kg</v>
      </c>
      <c r="L1151" s="3">
        <v>1.35E-2</v>
      </c>
      <c r="M1151" s="3"/>
      <c r="N1151" s="3">
        <f t="shared" si="70"/>
        <v>2016</v>
      </c>
      <c r="O1151" s="3" t="str">
        <f t="shared" si="71"/>
        <v>November</v>
      </c>
      <c r="P1151" s="3" t="s">
        <v>37</v>
      </c>
      <c r="Q1151" s="3"/>
    </row>
    <row r="1152" spans="1:17" hidden="1" x14ac:dyDescent="0.3">
      <c r="A1152" s="2">
        <v>42644</v>
      </c>
      <c r="B1152" s="3" t="s">
        <v>31</v>
      </c>
      <c r="C1152" s="3" t="s">
        <v>32</v>
      </c>
      <c r="D1152" s="3" t="s">
        <v>33</v>
      </c>
      <c r="E1152" s="3" t="s">
        <v>34</v>
      </c>
      <c r="F1152" s="3">
        <v>792.35</v>
      </c>
      <c r="G1152" s="3" t="s">
        <v>35</v>
      </c>
      <c r="H1152" s="3" t="s">
        <v>36</v>
      </c>
      <c r="I1152" s="3">
        <f>IF(C1152="India",1,IF(C1152="USA",INDEX('Currency Master'!B:B,MATCH(DATE(N1152,MONTH(DATEVALUE(O1152&amp;" 1")),1),'Currency Master'!A:A,0)),IF(C1152="Australia",INDEX('Currency Master'!T:T,MATCH(DATE(N1152,MONTH(DATEVALUE(O1152&amp;" 1")),1),'Currency Master'!A:A,0)),"")))</f>
        <v>48.578000000000003</v>
      </c>
      <c r="J1152" s="3">
        <f t="shared" si="68"/>
        <v>384.91</v>
      </c>
      <c r="K1152" s="3" t="str">
        <f t="shared" si="69"/>
        <v>₹/Kg</v>
      </c>
      <c r="L1152" s="3">
        <v>3.4700000000000002E-2</v>
      </c>
      <c r="M1152" s="3"/>
      <c r="N1152" s="3">
        <f t="shared" si="70"/>
        <v>2016</v>
      </c>
      <c r="O1152" s="3" t="str">
        <f t="shared" si="71"/>
        <v>October</v>
      </c>
      <c r="P1152" s="3" t="s">
        <v>37</v>
      </c>
      <c r="Q1152" s="3"/>
    </row>
    <row r="1153" spans="1:17" hidden="1" x14ac:dyDescent="0.3">
      <c r="A1153" s="2">
        <v>42614</v>
      </c>
      <c r="B1153" s="3" t="s">
        <v>31</v>
      </c>
      <c r="C1153" s="3" t="s">
        <v>32</v>
      </c>
      <c r="D1153" s="3" t="s">
        <v>33</v>
      </c>
      <c r="E1153" s="3" t="s">
        <v>34</v>
      </c>
      <c r="F1153" s="3">
        <v>765.8</v>
      </c>
      <c r="G1153" s="3" t="s">
        <v>35</v>
      </c>
      <c r="H1153" s="3" t="s">
        <v>36</v>
      </c>
      <c r="I1153" s="3">
        <f>IF(C1153="India",1,IF(C1153="USA",INDEX('Currency Master'!B:B,MATCH(DATE(N1153,MONTH(DATEVALUE(O1153&amp;" 1")),1),'Currency Master'!A:A,0)),IF(C1153="Australia",INDEX('Currency Master'!T:T,MATCH(DATE(N1153,MONTH(DATEVALUE(O1153&amp;" 1")),1),'Currency Master'!A:A,0)),"")))</f>
        <v>50.488999999999997</v>
      </c>
      <c r="J1153" s="3">
        <f t="shared" si="68"/>
        <v>386.64</v>
      </c>
      <c r="K1153" s="3" t="str">
        <f t="shared" si="69"/>
        <v>₹/Kg</v>
      </c>
      <c r="L1153" s="3">
        <v>1.4E-3</v>
      </c>
      <c r="M1153" s="3"/>
      <c r="N1153" s="3">
        <f t="shared" si="70"/>
        <v>2016</v>
      </c>
      <c r="O1153" s="3" t="str">
        <f t="shared" si="71"/>
        <v>September</v>
      </c>
      <c r="P1153" s="3" t="s">
        <v>37</v>
      </c>
      <c r="Q1153" s="3"/>
    </row>
    <row r="1154" spans="1:17" hidden="1" x14ac:dyDescent="0.3">
      <c r="A1154" s="2">
        <v>42583</v>
      </c>
      <c r="B1154" s="3" t="s">
        <v>31</v>
      </c>
      <c r="C1154" s="3" t="s">
        <v>32</v>
      </c>
      <c r="D1154" s="3" t="s">
        <v>33</v>
      </c>
      <c r="E1154" s="3" t="s">
        <v>34</v>
      </c>
      <c r="F1154" s="3">
        <v>764.75</v>
      </c>
      <c r="G1154" s="3" t="s">
        <v>35</v>
      </c>
      <c r="H1154" s="3" t="s">
        <v>36</v>
      </c>
      <c r="I1154" s="3">
        <f>IF(C1154="India",1,IF(C1154="USA",INDEX('Currency Master'!B:B,MATCH(DATE(N1154,MONTH(DATEVALUE(O1154&amp;" 1")),1),'Currency Master'!A:A,0)),IF(C1154="Australia",INDEX('Currency Master'!T:T,MATCH(DATE(N1154,MONTH(DATEVALUE(O1154&amp;" 1")),1),'Currency Master'!A:A,0)),"")))</f>
        <v>50.707999999999998</v>
      </c>
      <c r="J1154" s="3">
        <f t="shared" si="68"/>
        <v>387.79</v>
      </c>
      <c r="K1154" s="3" t="str">
        <f t="shared" si="69"/>
        <v>₹/Kg</v>
      </c>
      <c r="L1154" s="3">
        <v>-2.9999999999999997E-4</v>
      </c>
      <c r="M1154" s="3"/>
      <c r="N1154" s="3">
        <f t="shared" si="70"/>
        <v>2016</v>
      </c>
      <c r="O1154" s="3" t="str">
        <f t="shared" si="71"/>
        <v>August</v>
      </c>
      <c r="P1154" s="3" t="s">
        <v>37</v>
      </c>
      <c r="Q1154" s="3"/>
    </row>
    <row r="1155" spans="1:17" hidden="1" x14ac:dyDescent="0.3">
      <c r="A1155" s="2">
        <v>42552</v>
      </c>
      <c r="B1155" s="3" t="s">
        <v>31</v>
      </c>
      <c r="C1155" s="3" t="s">
        <v>32</v>
      </c>
      <c r="D1155" s="3" t="s">
        <v>33</v>
      </c>
      <c r="E1155" s="3" t="s">
        <v>34</v>
      </c>
      <c r="F1155" s="3">
        <v>765.02</v>
      </c>
      <c r="G1155" s="3" t="s">
        <v>35</v>
      </c>
      <c r="H1155" s="3" t="s">
        <v>36</v>
      </c>
      <c r="I1155" s="3">
        <f>IF(C1155="India",1,IF(C1155="USA",INDEX('Currency Master'!B:B,MATCH(DATE(N1155,MONTH(DATEVALUE(O1155&amp;" 1")),1),'Currency Master'!A:A,0)),IF(C1155="Australia",INDEX('Currency Master'!T:T,MATCH(DATE(N1155,MONTH(DATEVALUE(O1155&amp;" 1")),1),'Currency Master'!A:A,0)),"")))</f>
        <v>48.68</v>
      </c>
      <c r="J1155" s="3">
        <f t="shared" ref="J1155:J1218" si="72">IF(C1155="India",F1155,IF(C1155="USA",IF(G1155="US Cents/Lb",ROUND(((F1155/100)/0.453592)*I1155*356,0),F1155),IF(C1155="Australia",IF(G1155="AUc/kg",ROUND((F1155/100)*I1155,2),F1155),"")))</f>
        <v>372.41</v>
      </c>
      <c r="K1155" s="3" t="str">
        <f t="shared" ref="K1155:K1218" si="73">IF(C1155="India",G1155,IF(C1155="USA","₹/Candy",IF(C1155="Australia","₹/Kg","")))</f>
        <v>₹/Kg</v>
      </c>
      <c r="L1155" s="3">
        <v>3.9100000000000003E-2</v>
      </c>
      <c r="M1155" s="3"/>
      <c r="N1155" s="3">
        <f t="shared" ref="N1155:N1218" si="74">YEAR(A1155)</f>
        <v>2016</v>
      </c>
      <c r="O1155" s="3" t="str">
        <f t="shared" ref="O1155:O1218" si="75">TEXT(A1155,"mmmm")</f>
        <v>July</v>
      </c>
      <c r="P1155" s="3" t="s">
        <v>37</v>
      </c>
      <c r="Q1155" s="3"/>
    </row>
    <row r="1156" spans="1:17" hidden="1" x14ac:dyDescent="0.3">
      <c r="A1156" s="2">
        <v>42522</v>
      </c>
      <c r="B1156" s="3" t="s">
        <v>31</v>
      </c>
      <c r="C1156" s="3" t="s">
        <v>32</v>
      </c>
      <c r="D1156" s="3" t="s">
        <v>33</v>
      </c>
      <c r="E1156" s="3" t="s">
        <v>34</v>
      </c>
      <c r="F1156" s="3">
        <v>736.2</v>
      </c>
      <c r="G1156" s="3" t="s">
        <v>35</v>
      </c>
      <c r="H1156" s="3" t="s">
        <v>36</v>
      </c>
      <c r="I1156" s="3">
        <f>IF(C1156="India",1,IF(C1156="USA",INDEX('Currency Master'!B:B,MATCH(DATE(N1156,MONTH(DATEVALUE(O1156&amp;" 1")),1),'Currency Master'!A:A,0)),IF(C1156="Australia",INDEX('Currency Master'!T:T,MATCH(DATE(N1156,MONTH(DATEVALUE(O1156&amp;" 1")),1),'Currency Master'!A:A,0)),"")))</f>
        <v>48.064</v>
      </c>
      <c r="J1156" s="3">
        <f t="shared" si="72"/>
        <v>353.85</v>
      </c>
      <c r="K1156" s="3" t="str">
        <f t="shared" si="73"/>
        <v>₹/Kg</v>
      </c>
      <c r="L1156" s="3">
        <v>3.5999999999999999E-3</v>
      </c>
      <c r="M1156" s="3"/>
      <c r="N1156" s="3">
        <f t="shared" si="74"/>
        <v>2016</v>
      </c>
      <c r="O1156" s="3" t="str">
        <f t="shared" si="75"/>
        <v>June</v>
      </c>
      <c r="P1156" s="3" t="s">
        <v>37</v>
      </c>
      <c r="Q1156" s="3"/>
    </row>
    <row r="1157" spans="1:17" hidden="1" x14ac:dyDescent="0.3">
      <c r="A1157" s="2">
        <v>42491</v>
      </c>
      <c r="B1157" s="3" t="s">
        <v>31</v>
      </c>
      <c r="C1157" s="3" t="s">
        <v>32</v>
      </c>
      <c r="D1157" s="3" t="s">
        <v>33</v>
      </c>
      <c r="E1157" s="3" t="s">
        <v>34</v>
      </c>
      <c r="F1157" s="3">
        <v>733.55</v>
      </c>
      <c r="G1157" s="3" t="s">
        <v>35</v>
      </c>
      <c r="H1157" s="3" t="s">
        <v>36</v>
      </c>
      <c r="I1157" s="3">
        <f>IF(C1157="India",1,IF(C1157="USA",INDEX('Currency Master'!B:B,MATCH(DATE(N1157,MONTH(DATEVALUE(O1157&amp;" 1")),1),'Currency Master'!A:A,0)),IF(C1157="Australia",INDEX('Currency Master'!T:T,MATCH(DATE(N1157,MONTH(DATEVALUE(O1157&amp;" 1")),1),'Currency Master'!A:A,0)),"")))</f>
        <v>48.158999999999999</v>
      </c>
      <c r="J1157" s="3">
        <f t="shared" si="72"/>
        <v>353.27</v>
      </c>
      <c r="K1157" s="3" t="str">
        <f t="shared" si="73"/>
        <v>₹/Kg</v>
      </c>
      <c r="L1157" s="3">
        <v>1.44E-2</v>
      </c>
      <c r="M1157" s="3"/>
      <c r="N1157" s="3">
        <f t="shared" si="74"/>
        <v>2016</v>
      </c>
      <c r="O1157" s="3" t="str">
        <f t="shared" si="75"/>
        <v>May</v>
      </c>
      <c r="P1157" s="3" t="s">
        <v>37</v>
      </c>
      <c r="Q1157" s="3"/>
    </row>
    <row r="1158" spans="1:17" hidden="1" x14ac:dyDescent="0.3">
      <c r="A1158" s="2">
        <v>42461</v>
      </c>
      <c r="B1158" s="3" t="s">
        <v>31</v>
      </c>
      <c r="C1158" s="3" t="s">
        <v>32</v>
      </c>
      <c r="D1158" s="3" t="s">
        <v>33</v>
      </c>
      <c r="E1158" s="3" t="s">
        <v>34</v>
      </c>
      <c r="F1158" s="3">
        <v>723.14</v>
      </c>
      <c r="G1158" s="3" t="s">
        <v>35</v>
      </c>
      <c r="H1158" s="3" t="s">
        <v>36</v>
      </c>
      <c r="I1158" s="3">
        <f>IF(C1158="India",1,IF(C1158="USA",INDEX('Currency Master'!B:B,MATCH(DATE(N1158,MONTH(DATEVALUE(O1158&amp;" 1")),1),'Currency Master'!A:A,0)),IF(C1158="Australia",INDEX('Currency Master'!T:T,MATCH(DATE(N1158,MONTH(DATEVALUE(O1158&amp;" 1")),1),'Currency Master'!A:A,0)),"")))</f>
        <v>48.018999999999998</v>
      </c>
      <c r="J1158" s="3">
        <f t="shared" si="72"/>
        <v>347.24</v>
      </c>
      <c r="K1158" s="3" t="str">
        <f t="shared" si="73"/>
        <v>₹/Kg</v>
      </c>
      <c r="L1158" s="3">
        <v>4.1099999999999998E-2</v>
      </c>
      <c r="M1158" s="3"/>
      <c r="N1158" s="3">
        <f t="shared" si="74"/>
        <v>2016</v>
      </c>
      <c r="O1158" s="3" t="str">
        <f t="shared" si="75"/>
        <v>April</v>
      </c>
      <c r="P1158" s="3" t="s">
        <v>37</v>
      </c>
      <c r="Q1158" s="3"/>
    </row>
    <row r="1159" spans="1:17" hidden="1" x14ac:dyDescent="0.3">
      <c r="A1159" s="2">
        <v>42430</v>
      </c>
      <c r="B1159" s="3" t="s">
        <v>31</v>
      </c>
      <c r="C1159" s="3" t="s">
        <v>32</v>
      </c>
      <c r="D1159" s="3" t="s">
        <v>33</v>
      </c>
      <c r="E1159" s="3" t="s">
        <v>34</v>
      </c>
      <c r="F1159" s="3">
        <v>694.61</v>
      </c>
      <c r="G1159" s="3" t="s">
        <v>35</v>
      </c>
      <c r="H1159" s="3" t="s">
        <v>36</v>
      </c>
      <c r="I1159" s="3">
        <f>IF(C1159="India",1,IF(C1159="USA",INDEX('Currency Master'!B:B,MATCH(DATE(N1159,MONTH(DATEVALUE(O1159&amp;" 1")),1),'Currency Master'!A:A,0)),IF(C1159="Australia",INDEX('Currency Master'!T:T,MATCH(DATE(N1159,MONTH(DATEVALUE(O1159&amp;" 1")),1),'Currency Master'!A:A,0)),"")))</f>
        <v>46.685000000000002</v>
      </c>
      <c r="J1159" s="3">
        <f t="shared" si="72"/>
        <v>324.27999999999997</v>
      </c>
      <c r="K1159" s="3" t="str">
        <f t="shared" si="73"/>
        <v>₹/Kg</v>
      </c>
      <c r="L1159" s="3">
        <v>4.0000000000000002E-4</v>
      </c>
      <c r="M1159" s="3"/>
      <c r="N1159" s="3">
        <f t="shared" si="74"/>
        <v>2016</v>
      </c>
      <c r="O1159" s="3" t="str">
        <f t="shared" si="75"/>
        <v>March</v>
      </c>
      <c r="P1159" s="3" t="s">
        <v>37</v>
      </c>
      <c r="Q1159" s="3"/>
    </row>
    <row r="1160" spans="1:17" hidden="1" x14ac:dyDescent="0.3">
      <c r="A1160" s="2">
        <v>42401</v>
      </c>
      <c r="B1160" s="3" t="s">
        <v>31</v>
      </c>
      <c r="C1160" s="3" t="s">
        <v>32</v>
      </c>
      <c r="D1160" s="3" t="s">
        <v>33</v>
      </c>
      <c r="E1160" s="3" t="s">
        <v>34</v>
      </c>
      <c r="F1160" s="3">
        <v>694.32</v>
      </c>
      <c r="G1160" s="3" t="s">
        <v>35</v>
      </c>
      <c r="H1160" s="3" t="s">
        <v>36</v>
      </c>
      <c r="I1160" s="3">
        <f>IF(C1160="India",1,IF(C1160="USA",INDEX('Currency Master'!B:B,MATCH(DATE(N1160,MONTH(DATEVALUE(O1160&amp;" 1")),1),'Currency Master'!A:A,0)),IF(C1160="Australia",INDEX('Currency Master'!T:T,MATCH(DATE(N1160,MONTH(DATEVALUE(O1160&amp;" 1")),1),'Currency Master'!A:A,0)),"")))</f>
        <v>45.966000000000001</v>
      </c>
      <c r="J1160" s="3">
        <f t="shared" si="72"/>
        <v>319.14999999999998</v>
      </c>
      <c r="K1160" s="3" t="str">
        <f t="shared" si="73"/>
        <v>₹/Kg</v>
      </c>
      <c r="L1160" s="3">
        <v>1.8200000000000001E-2</v>
      </c>
      <c r="M1160" s="3"/>
      <c r="N1160" s="3">
        <f t="shared" si="74"/>
        <v>2016</v>
      </c>
      <c r="O1160" s="3" t="str">
        <f t="shared" si="75"/>
        <v>February</v>
      </c>
      <c r="P1160" s="3" t="s">
        <v>37</v>
      </c>
      <c r="Q1160" s="3"/>
    </row>
    <row r="1161" spans="1:17" hidden="1" x14ac:dyDescent="0.3">
      <c r="A1161" s="2">
        <v>42370</v>
      </c>
      <c r="B1161" s="3" t="s">
        <v>31</v>
      </c>
      <c r="C1161" s="3" t="s">
        <v>32</v>
      </c>
      <c r="D1161" s="3" t="s">
        <v>33</v>
      </c>
      <c r="E1161" s="3" t="s">
        <v>34</v>
      </c>
      <c r="F1161" s="3">
        <v>681.92</v>
      </c>
      <c r="G1161" s="3" t="s">
        <v>35</v>
      </c>
      <c r="H1161" s="3" t="s">
        <v>36</v>
      </c>
      <c r="I1161" s="3">
        <f>IF(C1161="India",1,IF(C1161="USA",INDEX('Currency Master'!B:B,MATCH(DATE(N1161,MONTH(DATEVALUE(O1161&amp;" 1")),1),'Currency Master'!A:A,0)),IF(C1161="Australia",INDEX('Currency Master'!T:T,MATCH(DATE(N1161,MONTH(DATEVALUE(O1161&amp;" 1")),1),'Currency Master'!A:A,0)),"")))</f>
        <v>47.212000000000003</v>
      </c>
      <c r="J1161" s="3">
        <f t="shared" si="72"/>
        <v>321.95</v>
      </c>
      <c r="K1161" s="3" t="str">
        <f t="shared" si="73"/>
        <v>₹/Kg</v>
      </c>
      <c r="L1161" s="3">
        <v>-1.8E-3</v>
      </c>
      <c r="M1161" s="3"/>
      <c r="N1161" s="3">
        <f t="shared" si="74"/>
        <v>2016</v>
      </c>
      <c r="O1161" s="3" t="str">
        <f t="shared" si="75"/>
        <v>January</v>
      </c>
      <c r="P1161" s="3" t="s">
        <v>37</v>
      </c>
      <c r="Q1161" s="3"/>
    </row>
    <row r="1162" spans="1:17" hidden="1" x14ac:dyDescent="0.3">
      <c r="A1162" s="2">
        <v>42339</v>
      </c>
      <c r="B1162" s="3" t="s">
        <v>31</v>
      </c>
      <c r="C1162" s="3" t="s">
        <v>32</v>
      </c>
      <c r="D1162" s="3" t="s">
        <v>33</v>
      </c>
      <c r="E1162" s="3" t="s">
        <v>34</v>
      </c>
      <c r="F1162" s="3">
        <v>683.18</v>
      </c>
      <c r="G1162" s="3" t="s">
        <v>35</v>
      </c>
      <c r="H1162" s="3" t="s">
        <v>36</v>
      </c>
      <c r="I1162" s="3">
        <f>IF(C1162="India",1,IF(C1162="USA",INDEX('Currency Master'!B:B,MATCH(DATE(N1162,MONTH(DATEVALUE(O1162&amp;" 1")),1),'Currency Master'!A:A,0)),IF(C1162="Australia",INDEX('Currency Master'!T:T,MATCH(DATE(N1162,MONTH(DATEVALUE(O1162&amp;" 1")),1),'Currency Master'!A:A,0)),"")))</f>
        <v>46.716999999999999</v>
      </c>
      <c r="J1162" s="3">
        <f t="shared" si="72"/>
        <v>319.16000000000003</v>
      </c>
      <c r="K1162" s="3" t="str">
        <f t="shared" si="73"/>
        <v>₹/Kg</v>
      </c>
      <c r="L1162" s="3">
        <v>3.1800000000000002E-2</v>
      </c>
      <c r="M1162" s="3"/>
      <c r="N1162" s="3">
        <f t="shared" si="74"/>
        <v>2015</v>
      </c>
      <c r="O1162" s="3" t="str">
        <f t="shared" si="75"/>
        <v>December</v>
      </c>
      <c r="P1162" s="3" t="s">
        <v>37</v>
      </c>
      <c r="Q1162" s="3"/>
    </row>
    <row r="1163" spans="1:17" hidden="1" x14ac:dyDescent="0.3">
      <c r="A1163" s="2">
        <v>42309</v>
      </c>
      <c r="B1163" s="3" t="s">
        <v>31</v>
      </c>
      <c r="C1163" s="3" t="s">
        <v>32</v>
      </c>
      <c r="D1163" s="3" t="s">
        <v>33</v>
      </c>
      <c r="E1163" s="3" t="s">
        <v>34</v>
      </c>
      <c r="F1163" s="3">
        <v>662.12</v>
      </c>
      <c r="G1163" s="3" t="s">
        <v>35</v>
      </c>
      <c r="H1163" s="3" t="s">
        <v>36</v>
      </c>
      <c r="I1163" s="3">
        <f>IF(C1163="India",1,IF(C1163="USA",INDEX('Currency Master'!B:B,MATCH(DATE(N1163,MONTH(DATEVALUE(O1163&amp;" 1")),1),'Currency Master'!A:A,0)),IF(C1163="Australia",INDEX('Currency Master'!T:T,MATCH(DATE(N1163,MONTH(DATEVALUE(O1163&amp;" 1")),1),'Currency Master'!A:A,0)),"")))</f>
        <v>48.993000000000002</v>
      </c>
      <c r="J1163" s="3">
        <f t="shared" si="72"/>
        <v>324.39</v>
      </c>
      <c r="K1163" s="3" t="str">
        <f t="shared" si="73"/>
        <v>₹/Kg</v>
      </c>
      <c r="L1163" s="3">
        <v>6.4199999999999993E-2</v>
      </c>
      <c r="M1163" s="3"/>
      <c r="N1163" s="3">
        <f t="shared" si="74"/>
        <v>2015</v>
      </c>
      <c r="O1163" s="3" t="str">
        <f t="shared" si="75"/>
        <v>November</v>
      </c>
      <c r="P1163" s="3" t="s">
        <v>37</v>
      </c>
      <c r="Q1163" s="3"/>
    </row>
    <row r="1164" spans="1:17" hidden="1" x14ac:dyDescent="0.3">
      <c r="A1164" s="2">
        <v>42278</v>
      </c>
      <c r="B1164" s="3" t="s">
        <v>31</v>
      </c>
      <c r="C1164" s="3" t="s">
        <v>32</v>
      </c>
      <c r="D1164" s="3" t="s">
        <v>33</v>
      </c>
      <c r="E1164" s="3" t="s">
        <v>34</v>
      </c>
      <c r="F1164" s="3">
        <v>622.16</v>
      </c>
      <c r="G1164" s="3" t="s">
        <v>35</v>
      </c>
      <c r="H1164" s="3" t="s">
        <v>36</v>
      </c>
      <c r="I1164" s="3">
        <f>IF(C1164="India",1,IF(C1164="USA",INDEX('Currency Master'!B:B,MATCH(DATE(N1164,MONTH(DATEVALUE(O1164&amp;" 1")),1),'Currency Master'!A:A,0)),IF(C1164="Australia",INDEX('Currency Master'!T:T,MATCH(DATE(N1164,MONTH(DATEVALUE(O1164&amp;" 1")),1),'Currency Master'!A:A,0)),"")))</f>
        <v>48.667000000000002</v>
      </c>
      <c r="J1164" s="3">
        <f t="shared" si="72"/>
        <v>302.79000000000002</v>
      </c>
      <c r="K1164" s="3" t="str">
        <f t="shared" si="73"/>
        <v>₹/Kg</v>
      </c>
      <c r="L1164" s="3">
        <v>-2.81E-2</v>
      </c>
      <c r="M1164" s="3"/>
      <c r="N1164" s="3">
        <f t="shared" si="74"/>
        <v>2015</v>
      </c>
      <c r="O1164" s="3" t="str">
        <f t="shared" si="75"/>
        <v>October</v>
      </c>
      <c r="P1164" s="3" t="s">
        <v>37</v>
      </c>
      <c r="Q1164" s="3"/>
    </row>
    <row r="1165" spans="1:17" hidden="1" x14ac:dyDescent="0.3">
      <c r="A1165" s="2">
        <v>42248</v>
      </c>
      <c r="B1165" s="3" t="s">
        <v>31</v>
      </c>
      <c r="C1165" s="3" t="s">
        <v>32</v>
      </c>
      <c r="D1165" s="3" t="s">
        <v>33</v>
      </c>
      <c r="E1165" s="3" t="s">
        <v>34</v>
      </c>
      <c r="F1165" s="3">
        <v>640.13</v>
      </c>
      <c r="G1165" s="3" t="s">
        <v>35</v>
      </c>
      <c r="H1165" s="3" t="s">
        <v>36</v>
      </c>
      <c r="I1165" s="3">
        <f>IF(C1165="India",1,IF(C1165="USA",INDEX('Currency Master'!B:B,MATCH(DATE(N1165,MONTH(DATEVALUE(O1165&amp;" 1")),1),'Currency Master'!A:A,0)),IF(C1165="Australia",INDEX('Currency Master'!T:T,MATCH(DATE(N1165,MONTH(DATEVALUE(O1165&amp;" 1")),1),'Currency Master'!A:A,0)),"")))</f>
        <v>50.198999999999998</v>
      </c>
      <c r="J1165" s="3">
        <f t="shared" si="72"/>
        <v>321.33999999999997</v>
      </c>
      <c r="K1165" s="3" t="str">
        <f t="shared" si="73"/>
        <v>₹/Kg</v>
      </c>
      <c r="L1165" s="3">
        <v>-3.8100000000000002E-2</v>
      </c>
      <c r="M1165" s="3"/>
      <c r="N1165" s="3">
        <f t="shared" si="74"/>
        <v>2015</v>
      </c>
      <c r="O1165" s="3" t="str">
        <f t="shared" si="75"/>
        <v>September</v>
      </c>
      <c r="P1165" s="3" t="s">
        <v>37</v>
      </c>
      <c r="Q1165" s="3"/>
    </row>
    <row r="1166" spans="1:17" hidden="1" x14ac:dyDescent="0.3">
      <c r="A1166" s="2">
        <v>42217</v>
      </c>
      <c r="B1166" s="3" t="s">
        <v>31</v>
      </c>
      <c r="C1166" s="3" t="s">
        <v>32</v>
      </c>
      <c r="D1166" s="3" t="s">
        <v>33</v>
      </c>
      <c r="E1166" s="3" t="s">
        <v>34</v>
      </c>
      <c r="F1166" s="3">
        <v>665.48</v>
      </c>
      <c r="G1166" s="3" t="s">
        <v>35</v>
      </c>
      <c r="H1166" s="3" t="s">
        <v>36</v>
      </c>
      <c r="I1166" s="3">
        <f>IF(C1166="India",1,IF(C1166="USA",INDEX('Currency Master'!B:B,MATCH(DATE(N1166,MONTH(DATEVALUE(O1166&amp;" 1")),1),'Currency Master'!A:A,0)),IF(C1166="Australia",INDEX('Currency Master'!T:T,MATCH(DATE(N1166,MONTH(DATEVALUE(O1166&amp;" 1")),1),'Currency Master'!A:A,0)),"")))</f>
        <v>47.365000000000002</v>
      </c>
      <c r="J1166" s="3">
        <f t="shared" si="72"/>
        <v>315.2</v>
      </c>
      <c r="K1166" s="3" t="str">
        <f t="shared" si="73"/>
        <v>₹/Kg</v>
      </c>
      <c r="L1166" s="3">
        <v>2.29E-2</v>
      </c>
      <c r="M1166" s="3"/>
      <c r="N1166" s="3">
        <f t="shared" si="74"/>
        <v>2015</v>
      </c>
      <c r="O1166" s="3" t="str">
        <f t="shared" si="75"/>
        <v>August</v>
      </c>
      <c r="P1166" s="3" t="s">
        <v>37</v>
      </c>
      <c r="Q1166" s="3"/>
    </row>
    <row r="1167" spans="1:17" hidden="1" x14ac:dyDescent="0.3">
      <c r="A1167" s="2">
        <v>42186</v>
      </c>
      <c r="B1167" s="3" t="s">
        <v>31</v>
      </c>
      <c r="C1167" s="3" t="s">
        <v>32</v>
      </c>
      <c r="D1167" s="3" t="s">
        <v>33</v>
      </c>
      <c r="E1167" s="3" t="s">
        <v>34</v>
      </c>
      <c r="F1167" s="3">
        <v>650.57000000000005</v>
      </c>
      <c r="G1167" s="3" t="s">
        <v>35</v>
      </c>
      <c r="H1167" s="3" t="s">
        <v>36</v>
      </c>
      <c r="I1167" s="3">
        <f>IF(C1167="India",1,IF(C1167="USA",INDEX('Currency Master'!B:B,MATCH(DATE(N1167,MONTH(DATEVALUE(O1167&amp;" 1")),1),'Currency Master'!A:A,0)),IF(C1167="Australia",INDEX('Currency Master'!T:T,MATCH(DATE(N1167,MONTH(DATEVALUE(O1167&amp;" 1")),1),'Currency Master'!A:A,0)),"")))</f>
        <v>48.142000000000003</v>
      </c>
      <c r="J1167" s="3">
        <f t="shared" si="72"/>
        <v>313.2</v>
      </c>
      <c r="K1167" s="3" t="str">
        <f t="shared" si="73"/>
        <v>₹/Kg</v>
      </c>
      <c r="L1167" s="3">
        <v>-0.11269999999999999</v>
      </c>
      <c r="M1167" s="3"/>
      <c r="N1167" s="3">
        <f t="shared" si="74"/>
        <v>2015</v>
      </c>
      <c r="O1167" s="3" t="str">
        <f t="shared" si="75"/>
        <v>July</v>
      </c>
      <c r="P1167" s="3" t="s">
        <v>37</v>
      </c>
      <c r="Q1167" s="3"/>
    </row>
    <row r="1168" spans="1:17" hidden="1" x14ac:dyDescent="0.3">
      <c r="A1168" s="2">
        <v>42156</v>
      </c>
      <c r="B1168" s="3" t="s">
        <v>31</v>
      </c>
      <c r="C1168" s="3" t="s">
        <v>32</v>
      </c>
      <c r="D1168" s="3" t="s">
        <v>33</v>
      </c>
      <c r="E1168" s="3" t="s">
        <v>34</v>
      </c>
      <c r="F1168" s="3">
        <v>733.2</v>
      </c>
      <c r="G1168" s="3" t="s">
        <v>35</v>
      </c>
      <c r="H1168" s="3" t="s">
        <v>36</v>
      </c>
      <c r="I1168" s="3">
        <f>IF(C1168="India",1,IF(C1168="USA",INDEX('Currency Master'!B:B,MATCH(DATE(N1168,MONTH(DATEVALUE(O1168&amp;" 1")),1),'Currency Master'!A:A,0)),IF(C1168="Australia",INDEX('Currency Master'!T:T,MATCH(DATE(N1168,MONTH(DATEVALUE(O1168&amp;" 1")),1),'Currency Master'!A:A,0)),"")))</f>
        <v>48.156999999999996</v>
      </c>
      <c r="J1168" s="3">
        <f t="shared" si="72"/>
        <v>353.09</v>
      </c>
      <c r="K1168" s="3" t="str">
        <f t="shared" si="73"/>
        <v>₹/Kg</v>
      </c>
      <c r="L1168" s="3">
        <v>3.09E-2</v>
      </c>
      <c r="M1168" s="3"/>
      <c r="N1168" s="3">
        <f t="shared" si="74"/>
        <v>2015</v>
      </c>
      <c r="O1168" s="3" t="str">
        <f t="shared" si="75"/>
        <v>June</v>
      </c>
      <c r="P1168" s="3" t="s">
        <v>37</v>
      </c>
      <c r="Q1168" s="3"/>
    </row>
    <row r="1169" spans="1:17" hidden="1" x14ac:dyDescent="0.3">
      <c r="A1169" s="2">
        <v>42125</v>
      </c>
      <c r="B1169" s="3" t="s">
        <v>31</v>
      </c>
      <c r="C1169" s="3" t="s">
        <v>32</v>
      </c>
      <c r="D1169" s="3" t="s">
        <v>33</v>
      </c>
      <c r="E1169" s="3" t="s">
        <v>34</v>
      </c>
      <c r="F1169" s="3">
        <v>711.22</v>
      </c>
      <c r="G1169" s="3" t="s">
        <v>35</v>
      </c>
      <c r="H1169" s="3" t="s">
        <v>36</v>
      </c>
      <c r="I1169" s="3">
        <f>IF(C1169="India",1,IF(C1169="USA",INDEX('Currency Master'!B:B,MATCH(DATE(N1169,MONTH(DATEVALUE(O1169&amp;" 1")),1),'Currency Master'!A:A,0)),IF(C1169="Australia",INDEX('Currency Master'!T:T,MATCH(DATE(N1169,MONTH(DATEVALUE(O1169&amp;" 1")),1),'Currency Master'!A:A,0)),"")))</f>
        <v>51.482999999999997</v>
      </c>
      <c r="J1169" s="3">
        <f t="shared" si="72"/>
        <v>366.16</v>
      </c>
      <c r="K1169" s="3" t="str">
        <f t="shared" si="73"/>
        <v>₹/Kg</v>
      </c>
      <c r="L1169" s="3">
        <v>0.14050000000000001</v>
      </c>
      <c r="M1169" s="3"/>
      <c r="N1169" s="3">
        <f t="shared" si="74"/>
        <v>2015</v>
      </c>
      <c r="O1169" s="3" t="str">
        <f t="shared" si="75"/>
        <v>May</v>
      </c>
      <c r="P1169" s="3" t="s">
        <v>37</v>
      </c>
      <c r="Q1169" s="3"/>
    </row>
    <row r="1170" spans="1:17" hidden="1" x14ac:dyDescent="0.3">
      <c r="A1170" s="2">
        <v>42095</v>
      </c>
      <c r="B1170" s="3" t="s">
        <v>31</v>
      </c>
      <c r="C1170" s="3" t="s">
        <v>32</v>
      </c>
      <c r="D1170" s="3" t="s">
        <v>33</v>
      </c>
      <c r="E1170" s="3" t="s">
        <v>34</v>
      </c>
      <c r="F1170" s="3">
        <v>623.6</v>
      </c>
      <c r="G1170" s="3" t="s">
        <v>35</v>
      </c>
      <c r="H1170" s="3" t="s">
        <v>36</v>
      </c>
      <c r="I1170" s="3">
        <f>IF(C1170="India",1,IF(C1170="USA",INDEX('Currency Master'!B:B,MATCH(DATE(N1170,MONTH(DATEVALUE(O1170&amp;" 1")),1),'Currency Master'!A:A,0)),IF(C1170="Australia",INDEX('Currency Master'!T:T,MATCH(DATE(N1170,MONTH(DATEVALUE(O1170&amp;" 1")),1),'Currency Master'!A:A,0)),"")))</f>
        <v>52.921999999999997</v>
      </c>
      <c r="J1170" s="3">
        <f t="shared" si="72"/>
        <v>330.02</v>
      </c>
      <c r="K1170" s="3" t="str">
        <f t="shared" si="73"/>
        <v>₹/Kg</v>
      </c>
      <c r="L1170" s="3">
        <v>7.4399999999999994E-2</v>
      </c>
      <c r="M1170" s="3"/>
      <c r="N1170" s="3">
        <f t="shared" si="74"/>
        <v>2015</v>
      </c>
      <c r="O1170" s="3" t="str">
        <f t="shared" si="75"/>
        <v>April</v>
      </c>
      <c r="P1170" s="3" t="s">
        <v>37</v>
      </c>
      <c r="Q1170" s="3"/>
    </row>
    <row r="1171" spans="1:17" hidden="1" x14ac:dyDescent="0.3">
      <c r="A1171" s="2">
        <v>42064</v>
      </c>
      <c r="B1171" s="3" t="s">
        <v>31</v>
      </c>
      <c r="C1171" s="3" t="s">
        <v>32</v>
      </c>
      <c r="D1171" s="3" t="s">
        <v>33</v>
      </c>
      <c r="E1171" s="3" t="s">
        <v>34</v>
      </c>
      <c r="F1171" s="3">
        <v>580.44000000000005</v>
      </c>
      <c r="G1171" s="3" t="s">
        <v>35</v>
      </c>
      <c r="H1171" s="3" t="s">
        <v>36</v>
      </c>
      <c r="I1171" s="3">
        <f>IF(C1171="India",1,IF(C1171="USA",INDEX('Currency Master'!B:B,MATCH(DATE(N1171,MONTH(DATEVALUE(O1171&amp;" 1")),1),'Currency Master'!A:A,0)),IF(C1171="Australia",INDEX('Currency Master'!T:T,MATCH(DATE(N1171,MONTH(DATEVALUE(O1171&amp;" 1")),1),'Currency Master'!A:A,0)),"")))</f>
        <v>53.985999999999997</v>
      </c>
      <c r="J1171" s="3">
        <f t="shared" si="72"/>
        <v>313.36</v>
      </c>
      <c r="K1171" s="3" t="str">
        <f t="shared" si="73"/>
        <v>₹/Kg</v>
      </c>
      <c r="L1171" s="3">
        <v>-1.18E-2</v>
      </c>
      <c r="M1171" s="3"/>
      <c r="N1171" s="3">
        <f t="shared" si="74"/>
        <v>2015</v>
      </c>
      <c r="O1171" s="3" t="str">
        <f t="shared" si="75"/>
        <v>March</v>
      </c>
      <c r="P1171" s="3" t="s">
        <v>37</v>
      </c>
      <c r="Q1171" s="3"/>
    </row>
    <row r="1172" spans="1:17" hidden="1" x14ac:dyDescent="0.3">
      <c r="A1172" s="2">
        <v>42036</v>
      </c>
      <c r="B1172" s="3" t="s">
        <v>31</v>
      </c>
      <c r="C1172" s="3" t="s">
        <v>32</v>
      </c>
      <c r="D1172" s="3" t="s">
        <v>33</v>
      </c>
      <c r="E1172" s="3" t="s">
        <v>34</v>
      </c>
      <c r="F1172" s="3">
        <v>587.35</v>
      </c>
      <c r="G1172" s="3" t="s">
        <v>35</v>
      </c>
      <c r="H1172" s="3" t="s">
        <v>36</v>
      </c>
      <c r="I1172" s="3">
        <f>IF(C1172="India",1,IF(C1172="USA",INDEX('Currency Master'!B:B,MATCH(DATE(N1172,MONTH(DATEVALUE(O1172&amp;" 1")),1),'Currency Master'!A:A,0)),IF(C1172="Australia",INDEX('Currency Master'!T:T,MATCH(DATE(N1172,MONTH(DATEVALUE(O1172&amp;" 1")),1),'Currency Master'!A:A,0)),"")))</f>
        <v>54.152999999999999</v>
      </c>
      <c r="J1172" s="3">
        <f t="shared" si="72"/>
        <v>318.07</v>
      </c>
      <c r="K1172" s="3" t="str">
        <f t="shared" si="73"/>
        <v>₹/Kg</v>
      </c>
      <c r="L1172" s="3">
        <v>-2.2499999999999999E-2</v>
      </c>
      <c r="M1172" s="3"/>
      <c r="N1172" s="3">
        <f t="shared" si="74"/>
        <v>2015</v>
      </c>
      <c r="O1172" s="3" t="str">
        <f t="shared" si="75"/>
        <v>February</v>
      </c>
      <c r="P1172" s="3" t="s">
        <v>37</v>
      </c>
      <c r="Q1172" s="3"/>
    </row>
    <row r="1173" spans="1:17" hidden="1" x14ac:dyDescent="0.3">
      <c r="A1173" s="2">
        <v>42005</v>
      </c>
      <c r="B1173" s="3" t="s">
        <v>31</v>
      </c>
      <c r="C1173" s="3" t="s">
        <v>32</v>
      </c>
      <c r="D1173" s="3" t="s">
        <v>33</v>
      </c>
      <c r="E1173" s="3" t="s">
        <v>34</v>
      </c>
      <c r="F1173" s="3">
        <v>600.87</v>
      </c>
      <c r="G1173" s="3" t="s">
        <v>35</v>
      </c>
      <c r="H1173" s="3" t="s">
        <v>36</v>
      </c>
      <c r="I1173" s="3">
        <f>IF(C1173="India",1,IF(C1173="USA",INDEX('Currency Master'!B:B,MATCH(DATE(N1173,MONTH(DATEVALUE(O1173&amp;" 1")),1),'Currency Master'!A:A,0)),IF(C1173="Australia",INDEX('Currency Master'!T:T,MATCH(DATE(N1173,MONTH(DATEVALUE(O1173&amp;" 1")),1),'Currency Master'!A:A,0)),"")))</f>
        <v>56.469000000000001</v>
      </c>
      <c r="J1173" s="3">
        <f t="shared" si="72"/>
        <v>339.31</v>
      </c>
      <c r="K1173" s="3" t="str">
        <f t="shared" si="73"/>
        <v>₹/Kg</v>
      </c>
      <c r="L1173" s="3">
        <v>-5.5E-2</v>
      </c>
      <c r="M1173" s="3"/>
      <c r="N1173" s="3">
        <f t="shared" si="74"/>
        <v>2015</v>
      </c>
      <c r="O1173" s="3" t="str">
        <f t="shared" si="75"/>
        <v>January</v>
      </c>
      <c r="P1173" s="3" t="s">
        <v>37</v>
      </c>
      <c r="Q1173" s="3"/>
    </row>
    <row r="1174" spans="1:17" hidden="1" x14ac:dyDescent="0.3">
      <c r="A1174" s="2">
        <v>41974</v>
      </c>
      <c r="B1174" s="3" t="s">
        <v>31</v>
      </c>
      <c r="C1174" s="3" t="s">
        <v>32</v>
      </c>
      <c r="D1174" s="3" t="s">
        <v>33</v>
      </c>
      <c r="E1174" s="3" t="s">
        <v>34</v>
      </c>
      <c r="F1174" s="3">
        <v>635.84</v>
      </c>
      <c r="G1174" s="3" t="s">
        <v>35</v>
      </c>
      <c r="H1174" s="3" t="s">
        <v>36</v>
      </c>
      <c r="I1174" s="3">
        <f>IF(C1174="India",1,IF(C1174="USA",INDEX('Currency Master'!B:B,MATCH(DATE(N1174,MONTH(DATEVALUE(O1174&amp;" 1")),1),'Currency Master'!A:A,0)),IF(C1174="Australia",INDEX('Currency Master'!T:T,MATCH(DATE(N1174,MONTH(DATEVALUE(O1174&amp;" 1")),1),'Currency Master'!A:A,0)),"")))</f>
        <v>56.280999999999999</v>
      </c>
      <c r="J1174" s="3">
        <f t="shared" si="72"/>
        <v>357.86</v>
      </c>
      <c r="K1174" s="3" t="str">
        <f t="shared" si="73"/>
        <v>₹/Kg</v>
      </c>
      <c r="L1174" s="3">
        <v>-1.06E-2</v>
      </c>
      <c r="M1174" s="3"/>
      <c r="N1174" s="3">
        <f t="shared" si="74"/>
        <v>2014</v>
      </c>
      <c r="O1174" s="3" t="str">
        <f t="shared" si="75"/>
        <v>December</v>
      </c>
      <c r="P1174" s="3" t="s">
        <v>37</v>
      </c>
      <c r="Q1174" s="3"/>
    </row>
    <row r="1175" spans="1:17" hidden="1" x14ac:dyDescent="0.3">
      <c r="A1175" s="2">
        <v>41944</v>
      </c>
      <c r="B1175" s="3" t="s">
        <v>31</v>
      </c>
      <c r="C1175" s="3" t="s">
        <v>32</v>
      </c>
      <c r="D1175" s="3" t="s">
        <v>33</v>
      </c>
      <c r="E1175" s="3" t="s">
        <v>34</v>
      </c>
      <c r="F1175" s="3">
        <v>642.66</v>
      </c>
      <c r="G1175" s="3" t="s">
        <v>35</v>
      </c>
      <c r="H1175" s="3" t="s">
        <v>36</v>
      </c>
      <c r="I1175" s="3">
        <f>IF(C1175="India",1,IF(C1175="USA",INDEX('Currency Master'!B:B,MATCH(DATE(N1175,MONTH(DATEVALUE(O1175&amp;" 1")),1),'Currency Master'!A:A,0)),IF(C1175="Australia",INDEX('Currency Master'!T:T,MATCH(DATE(N1175,MONTH(DATEVALUE(O1175&amp;" 1")),1),'Currency Master'!A:A,0)),"")))</f>
        <v>56.622</v>
      </c>
      <c r="J1175" s="3">
        <f t="shared" si="72"/>
        <v>363.89</v>
      </c>
      <c r="K1175" s="3" t="str">
        <f t="shared" si="73"/>
        <v>₹/Kg</v>
      </c>
      <c r="L1175" s="3">
        <v>3.3999999999999998E-3</v>
      </c>
      <c r="M1175" s="3"/>
      <c r="N1175" s="3">
        <f t="shared" si="74"/>
        <v>2014</v>
      </c>
      <c r="O1175" s="3" t="str">
        <f t="shared" si="75"/>
        <v>November</v>
      </c>
      <c r="P1175" s="3" t="s">
        <v>37</v>
      </c>
      <c r="Q1175" s="3"/>
    </row>
    <row r="1176" spans="1:17" hidden="1" x14ac:dyDescent="0.3">
      <c r="A1176" s="2">
        <v>41913</v>
      </c>
      <c r="B1176" s="3" t="s">
        <v>31</v>
      </c>
      <c r="C1176" s="3" t="s">
        <v>32</v>
      </c>
      <c r="D1176" s="3" t="s">
        <v>33</v>
      </c>
      <c r="E1176" s="3" t="s">
        <v>34</v>
      </c>
      <c r="F1176" s="3">
        <v>640.48</v>
      </c>
      <c r="G1176" s="3" t="s">
        <v>35</v>
      </c>
      <c r="H1176" s="3" t="s">
        <v>36</v>
      </c>
      <c r="I1176" s="3">
        <f>IF(C1176="India",1,IF(C1176="USA",INDEX('Currency Master'!B:B,MATCH(DATE(N1176,MONTH(DATEVALUE(O1176&amp;" 1")),1),'Currency Master'!A:A,0)),IF(C1176="Australia",INDEX('Currency Master'!T:T,MATCH(DATE(N1176,MONTH(DATEVALUE(O1176&amp;" 1")),1),'Currency Master'!A:A,0)),"")))</f>
        <v>55.091000000000001</v>
      </c>
      <c r="J1176" s="3">
        <f t="shared" si="72"/>
        <v>352.85</v>
      </c>
      <c r="K1176" s="3" t="str">
        <f t="shared" si="73"/>
        <v>₹/Kg</v>
      </c>
      <c r="L1176" s="3">
        <v>-4.3E-3</v>
      </c>
      <c r="M1176" s="3"/>
      <c r="N1176" s="3">
        <f t="shared" si="74"/>
        <v>2014</v>
      </c>
      <c r="O1176" s="3" t="str">
        <f t="shared" si="75"/>
        <v>October</v>
      </c>
      <c r="P1176" s="3" t="s">
        <v>37</v>
      </c>
      <c r="Q1176" s="3"/>
    </row>
    <row r="1177" spans="1:17" hidden="1" x14ac:dyDescent="0.3">
      <c r="A1177" s="2">
        <v>41883</v>
      </c>
      <c r="B1177" s="3" t="s">
        <v>31</v>
      </c>
      <c r="C1177" s="3" t="s">
        <v>32</v>
      </c>
      <c r="D1177" s="3" t="s">
        <v>33</v>
      </c>
      <c r="E1177" s="3" t="s">
        <v>34</v>
      </c>
      <c r="F1177" s="3">
        <v>643.23</v>
      </c>
      <c r="G1177" s="3" t="s">
        <v>35</v>
      </c>
      <c r="H1177" s="3" t="s">
        <v>36</v>
      </c>
      <c r="I1177" s="3">
        <f>IF(C1177="India",1,IF(C1177="USA",INDEX('Currency Master'!B:B,MATCH(DATE(N1177,MONTH(DATEVALUE(O1177&amp;" 1")),1),'Currency Master'!A:A,0)),IF(C1177="Australia",INDEX('Currency Master'!T:T,MATCH(DATE(N1177,MONTH(DATEVALUE(O1177&amp;" 1")),1),'Currency Master'!A:A,0)),"")))</f>
        <v>56.014000000000003</v>
      </c>
      <c r="J1177" s="3">
        <f t="shared" si="72"/>
        <v>360.3</v>
      </c>
      <c r="K1177" s="3" t="str">
        <f t="shared" si="73"/>
        <v>₹/Kg</v>
      </c>
      <c r="L1177" s="3">
        <v>-1.26E-2</v>
      </c>
      <c r="M1177" s="3"/>
      <c r="N1177" s="3">
        <f t="shared" si="74"/>
        <v>2014</v>
      </c>
      <c r="O1177" s="3" t="str">
        <f t="shared" si="75"/>
        <v>September</v>
      </c>
      <c r="P1177" s="3" t="s">
        <v>37</v>
      </c>
      <c r="Q1177" s="3"/>
    </row>
    <row r="1178" spans="1:17" hidden="1" x14ac:dyDescent="0.3">
      <c r="A1178" s="2">
        <v>41852</v>
      </c>
      <c r="B1178" s="3" t="s">
        <v>31</v>
      </c>
      <c r="C1178" s="3" t="s">
        <v>32</v>
      </c>
      <c r="D1178" s="3" t="s">
        <v>33</v>
      </c>
      <c r="E1178" s="3" t="s">
        <v>34</v>
      </c>
      <c r="F1178" s="3">
        <v>651.42999999999995</v>
      </c>
      <c r="G1178" s="3" t="s">
        <v>35</v>
      </c>
      <c r="H1178" s="3" t="s">
        <v>36</v>
      </c>
      <c r="I1178" s="3">
        <f>IF(C1178="India",1,IF(C1178="USA",INDEX('Currency Master'!B:B,MATCH(DATE(N1178,MONTH(DATEVALUE(O1178&amp;" 1")),1),'Currency Master'!A:A,0)),IF(C1178="Australia",INDEX('Currency Master'!T:T,MATCH(DATE(N1178,MONTH(DATEVALUE(O1178&amp;" 1")),1),'Currency Master'!A:A,0)),"")))</f>
        <v>55.576999999999998</v>
      </c>
      <c r="J1178" s="3">
        <f t="shared" si="72"/>
        <v>362.05</v>
      </c>
      <c r="K1178" s="3" t="str">
        <f t="shared" si="73"/>
        <v>₹/Kg</v>
      </c>
      <c r="L1178" s="3">
        <v>5.8999999999999999E-3</v>
      </c>
      <c r="M1178" s="3"/>
      <c r="N1178" s="3">
        <f t="shared" si="74"/>
        <v>2014</v>
      </c>
      <c r="O1178" s="3" t="str">
        <f t="shared" si="75"/>
        <v>August</v>
      </c>
      <c r="P1178" s="3" t="s">
        <v>37</v>
      </c>
      <c r="Q1178" s="3"/>
    </row>
    <row r="1179" spans="1:17" hidden="1" x14ac:dyDescent="0.3">
      <c r="A1179" s="2">
        <v>41821</v>
      </c>
      <c r="B1179" s="3" t="s">
        <v>31</v>
      </c>
      <c r="C1179" s="3" t="s">
        <v>32</v>
      </c>
      <c r="D1179" s="3" t="s">
        <v>33</v>
      </c>
      <c r="E1179" s="3" t="s">
        <v>34</v>
      </c>
      <c r="F1179" s="3">
        <v>647.58000000000004</v>
      </c>
      <c r="G1179" s="3" t="s">
        <v>35</v>
      </c>
      <c r="H1179" s="3" t="s">
        <v>36</v>
      </c>
      <c r="I1179" s="3">
        <f>IF(C1179="India",1,IF(C1179="USA",INDEX('Currency Master'!B:B,MATCH(DATE(N1179,MONTH(DATEVALUE(O1179&amp;" 1")),1),'Currency Master'!A:A,0)),IF(C1179="Australia",INDEX('Currency Master'!T:T,MATCH(DATE(N1179,MONTH(DATEVALUE(O1179&amp;" 1")),1),'Currency Master'!A:A,0)),"")))</f>
        <v>55.154000000000003</v>
      </c>
      <c r="J1179" s="3">
        <f t="shared" si="72"/>
        <v>357.17</v>
      </c>
      <c r="K1179" s="3" t="str">
        <f t="shared" si="73"/>
        <v>₹/Kg</v>
      </c>
      <c r="L1179" s="3">
        <v>1.0500000000000001E-2</v>
      </c>
      <c r="M1179" s="3"/>
      <c r="N1179" s="3">
        <f t="shared" si="74"/>
        <v>2014</v>
      </c>
      <c r="O1179" s="3" t="str">
        <f t="shared" si="75"/>
        <v>July</v>
      </c>
      <c r="P1179" s="3" t="s">
        <v>37</v>
      </c>
      <c r="Q1179" s="3"/>
    </row>
    <row r="1180" spans="1:17" hidden="1" x14ac:dyDescent="0.3">
      <c r="A1180" s="2">
        <v>41791</v>
      </c>
      <c r="B1180" s="3" t="s">
        <v>31</v>
      </c>
      <c r="C1180" s="3" t="s">
        <v>32</v>
      </c>
      <c r="D1180" s="3" t="s">
        <v>33</v>
      </c>
      <c r="E1180" s="3" t="s">
        <v>34</v>
      </c>
      <c r="F1180" s="3">
        <v>640.82000000000005</v>
      </c>
      <c r="G1180" s="3" t="s">
        <v>35</v>
      </c>
      <c r="H1180" s="3" t="s">
        <v>36</v>
      </c>
      <c r="I1180" s="3">
        <f>IF(C1180="India",1,IF(C1180="USA",INDEX('Currency Master'!B:B,MATCH(DATE(N1180,MONTH(DATEVALUE(O1180&amp;" 1")),1),'Currency Master'!A:A,0)),IF(C1180="Australia",INDEX('Currency Master'!T:T,MATCH(DATE(N1180,MONTH(DATEVALUE(O1180&amp;" 1")),1),'Currency Master'!A:A,0)),"")))</f>
        <v>54.863999999999997</v>
      </c>
      <c r="J1180" s="3">
        <f t="shared" si="72"/>
        <v>351.58</v>
      </c>
      <c r="K1180" s="3" t="str">
        <f t="shared" si="73"/>
        <v>₹/Kg</v>
      </c>
      <c r="L1180" s="3">
        <v>-1.55E-2</v>
      </c>
      <c r="M1180" s="3"/>
      <c r="N1180" s="3">
        <f t="shared" si="74"/>
        <v>2014</v>
      </c>
      <c r="O1180" s="3" t="str">
        <f t="shared" si="75"/>
        <v>June</v>
      </c>
      <c r="P1180" s="3" t="s">
        <v>37</v>
      </c>
      <c r="Q1180" s="3"/>
    </row>
    <row r="1181" spans="1:17" hidden="1" x14ac:dyDescent="0.3">
      <c r="A1181" s="2">
        <v>41760</v>
      </c>
      <c r="B1181" s="3" t="s">
        <v>31</v>
      </c>
      <c r="C1181" s="3" t="s">
        <v>32</v>
      </c>
      <c r="D1181" s="3" t="s">
        <v>33</v>
      </c>
      <c r="E1181" s="3" t="s">
        <v>34</v>
      </c>
      <c r="F1181" s="3">
        <v>650.9</v>
      </c>
      <c r="G1181" s="3" t="s">
        <v>35</v>
      </c>
      <c r="H1181" s="3" t="s">
        <v>36</v>
      </c>
      <c r="I1181" s="3">
        <f>IF(C1181="India",1,IF(C1181="USA",INDEX('Currency Master'!B:B,MATCH(DATE(N1181,MONTH(DATEVALUE(O1181&amp;" 1")),1),'Currency Master'!A:A,0)),IF(C1181="Australia",INDEX('Currency Master'!T:T,MATCH(DATE(N1181,MONTH(DATEVALUE(O1181&amp;" 1")),1),'Currency Master'!A:A,0)),"")))</f>
        <v>55.082000000000001</v>
      </c>
      <c r="J1181" s="3">
        <f t="shared" si="72"/>
        <v>358.53</v>
      </c>
      <c r="K1181" s="3" t="str">
        <f t="shared" si="73"/>
        <v>₹/Kg</v>
      </c>
      <c r="L1181" s="3">
        <v>-8.8000000000000005E-3</v>
      </c>
      <c r="M1181" s="3"/>
      <c r="N1181" s="3">
        <f t="shared" si="74"/>
        <v>2014</v>
      </c>
      <c r="O1181" s="3" t="str">
        <f t="shared" si="75"/>
        <v>May</v>
      </c>
      <c r="P1181" s="3" t="s">
        <v>37</v>
      </c>
      <c r="Q1181" s="3"/>
    </row>
    <row r="1182" spans="1:17" hidden="1" x14ac:dyDescent="0.3">
      <c r="A1182" s="2">
        <v>41730</v>
      </c>
      <c r="B1182" s="3" t="s">
        <v>31</v>
      </c>
      <c r="C1182" s="3" t="s">
        <v>32</v>
      </c>
      <c r="D1182" s="3" t="s">
        <v>33</v>
      </c>
      <c r="E1182" s="3" t="s">
        <v>34</v>
      </c>
      <c r="F1182" s="3">
        <v>656.69</v>
      </c>
      <c r="G1182" s="3" t="s">
        <v>35</v>
      </c>
      <c r="H1182" s="3" t="s">
        <v>36</v>
      </c>
      <c r="I1182" s="3">
        <f>IF(C1182="India",1,IF(C1182="USA",INDEX('Currency Master'!B:B,MATCH(DATE(N1182,MONTH(DATEVALUE(O1182&amp;" 1")),1),'Currency Master'!A:A,0)),IF(C1182="Australia",INDEX('Currency Master'!T:T,MATCH(DATE(N1182,MONTH(DATEVALUE(O1182&amp;" 1")),1),'Currency Master'!A:A,0)),"")))</f>
        <v>56.835999999999999</v>
      </c>
      <c r="J1182" s="3">
        <f t="shared" si="72"/>
        <v>373.24</v>
      </c>
      <c r="K1182" s="3" t="str">
        <f t="shared" si="73"/>
        <v>₹/Kg</v>
      </c>
      <c r="L1182" s="3">
        <v>-4.0000000000000002E-4</v>
      </c>
      <c r="M1182" s="3"/>
      <c r="N1182" s="3">
        <f t="shared" si="74"/>
        <v>2014</v>
      </c>
      <c r="O1182" s="3" t="str">
        <f t="shared" si="75"/>
        <v>April</v>
      </c>
      <c r="P1182" s="3" t="s">
        <v>37</v>
      </c>
      <c r="Q1182" s="3"/>
    </row>
    <row r="1183" spans="1:17" hidden="1" x14ac:dyDescent="0.3">
      <c r="A1183" s="2">
        <v>41699</v>
      </c>
      <c r="B1183" s="3" t="s">
        <v>31</v>
      </c>
      <c r="C1183" s="3" t="s">
        <v>32</v>
      </c>
      <c r="D1183" s="3" t="s">
        <v>33</v>
      </c>
      <c r="E1183" s="3" t="s">
        <v>34</v>
      </c>
      <c r="F1183" s="3">
        <v>656.96</v>
      </c>
      <c r="G1183" s="3" t="s">
        <v>35</v>
      </c>
      <c r="H1183" s="3" t="s">
        <v>36</v>
      </c>
      <c r="I1183" s="3">
        <f>IF(C1183="India",1,IF(C1183="USA",INDEX('Currency Master'!B:B,MATCH(DATE(N1183,MONTH(DATEVALUE(O1183&amp;" 1")),1),'Currency Master'!A:A,0)),IF(C1183="Australia",INDEX('Currency Master'!T:T,MATCH(DATE(N1183,MONTH(DATEVALUE(O1183&amp;" 1")),1),'Currency Master'!A:A,0)),"")))</f>
        <v>58.274999999999999</v>
      </c>
      <c r="J1183" s="3">
        <f t="shared" si="72"/>
        <v>382.84</v>
      </c>
      <c r="K1183" s="3" t="str">
        <f t="shared" si="73"/>
        <v>₹/Kg</v>
      </c>
      <c r="L1183" s="3">
        <v>-5.5899999999999998E-2</v>
      </c>
      <c r="M1183" s="3"/>
      <c r="N1183" s="3">
        <f t="shared" si="74"/>
        <v>2014</v>
      </c>
      <c r="O1183" s="3" t="str">
        <f t="shared" si="75"/>
        <v>March</v>
      </c>
      <c r="P1183" s="3" t="s">
        <v>37</v>
      </c>
      <c r="Q1183" s="3"/>
    </row>
    <row r="1184" spans="1:17" hidden="1" x14ac:dyDescent="0.3">
      <c r="A1184" s="2">
        <v>41671</v>
      </c>
      <c r="B1184" s="3" t="s">
        <v>31</v>
      </c>
      <c r="C1184" s="3" t="s">
        <v>32</v>
      </c>
      <c r="D1184" s="3" t="s">
        <v>33</v>
      </c>
      <c r="E1184" s="3" t="s">
        <v>34</v>
      </c>
      <c r="F1184" s="3">
        <v>695.85</v>
      </c>
      <c r="G1184" s="3" t="s">
        <v>35</v>
      </c>
      <c r="H1184" s="3" t="s">
        <v>36</v>
      </c>
      <c r="I1184" s="3">
        <f>IF(C1184="India",1,IF(C1184="USA",INDEX('Currency Master'!B:B,MATCH(DATE(N1184,MONTH(DATEVALUE(O1184&amp;" 1")),1),'Currency Master'!A:A,0)),IF(C1184="Australia",INDEX('Currency Master'!T:T,MATCH(DATE(N1184,MONTH(DATEVALUE(O1184&amp;" 1")),1),'Currency Master'!A:A,0)),"")))</f>
        <v>58.27</v>
      </c>
      <c r="J1184" s="3">
        <f t="shared" si="72"/>
        <v>405.47</v>
      </c>
      <c r="K1184" s="3" t="str">
        <f t="shared" si="73"/>
        <v>₹/Kg</v>
      </c>
      <c r="L1184" s="3">
        <v>-2.3800000000000002E-2</v>
      </c>
      <c r="M1184" s="3"/>
      <c r="N1184" s="3">
        <f t="shared" si="74"/>
        <v>2014</v>
      </c>
      <c r="O1184" s="3" t="str">
        <f t="shared" si="75"/>
        <v>February</v>
      </c>
      <c r="P1184" s="3" t="s">
        <v>37</v>
      </c>
      <c r="Q1184" s="3"/>
    </row>
    <row r="1185" spans="1:17" hidden="1" x14ac:dyDescent="0.3">
      <c r="A1185" s="2">
        <v>41640</v>
      </c>
      <c r="B1185" s="3" t="s">
        <v>31</v>
      </c>
      <c r="C1185" s="3" t="s">
        <v>32</v>
      </c>
      <c r="D1185" s="3" t="s">
        <v>33</v>
      </c>
      <c r="E1185" s="3" t="s">
        <v>34</v>
      </c>
      <c r="F1185" s="3">
        <v>712.84</v>
      </c>
      <c r="G1185" s="3" t="s">
        <v>35</v>
      </c>
      <c r="H1185" s="3" t="s">
        <v>36</v>
      </c>
      <c r="I1185" s="3">
        <f>IF(C1185="India",1,IF(C1185="USA",INDEX('Currency Master'!B:B,MATCH(DATE(N1185,MONTH(DATEVALUE(O1185&amp;" 1")),1),'Currency Master'!A:A,0)),IF(C1185="Australia",INDEX('Currency Master'!T:T,MATCH(DATE(N1185,MONTH(DATEVALUE(O1185&amp;" 1")),1),'Currency Master'!A:A,0)),"")))</f>
        <v>58.447000000000003</v>
      </c>
      <c r="J1185" s="3">
        <f t="shared" si="72"/>
        <v>416.63</v>
      </c>
      <c r="K1185" s="3" t="str">
        <f t="shared" si="73"/>
        <v>₹/Kg</v>
      </c>
      <c r="L1185" s="3">
        <v>-3.9600000000000003E-2</v>
      </c>
      <c r="M1185" s="3"/>
      <c r="N1185" s="3">
        <f t="shared" si="74"/>
        <v>2014</v>
      </c>
      <c r="O1185" s="3" t="str">
        <f t="shared" si="75"/>
        <v>January</v>
      </c>
      <c r="P1185" s="3" t="s">
        <v>37</v>
      </c>
      <c r="Q1185" s="3"/>
    </row>
    <row r="1186" spans="1:17" hidden="1" x14ac:dyDescent="0.3">
      <c r="A1186" s="2">
        <v>41609</v>
      </c>
      <c r="B1186" s="3" t="s">
        <v>31</v>
      </c>
      <c r="C1186" s="3" t="s">
        <v>32</v>
      </c>
      <c r="D1186" s="3" t="s">
        <v>33</v>
      </c>
      <c r="E1186" s="3" t="s">
        <v>34</v>
      </c>
      <c r="F1186" s="3">
        <v>742.23</v>
      </c>
      <c r="G1186" s="3" t="s">
        <v>35</v>
      </c>
      <c r="H1186" s="3" t="s">
        <v>36</v>
      </c>
      <c r="I1186" s="3">
        <f>IF(C1186="India",1,IF(C1186="USA",INDEX('Currency Master'!B:B,MATCH(DATE(N1186,MONTH(DATEVALUE(O1186&amp;" 1")),1),'Currency Master'!A:A,0)),IF(C1186="Australia",INDEX('Currency Master'!T:T,MATCH(DATE(N1186,MONTH(DATEVALUE(O1186&amp;" 1")),1),'Currency Master'!A:A,0)),"")))</f>
        <v>54.634</v>
      </c>
      <c r="J1186" s="3">
        <f t="shared" si="72"/>
        <v>405.51</v>
      </c>
      <c r="K1186" s="3" t="str">
        <f t="shared" si="73"/>
        <v>₹/Kg</v>
      </c>
      <c r="L1186" s="3">
        <v>-5.0000000000000001E-3</v>
      </c>
      <c r="M1186" s="3"/>
      <c r="N1186" s="3">
        <f t="shared" si="74"/>
        <v>2013</v>
      </c>
      <c r="O1186" s="3" t="str">
        <f t="shared" si="75"/>
        <v>December</v>
      </c>
      <c r="P1186" s="3" t="s">
        <v>37</v>
      </c>
      <c r="Q1186" s="3"/>
    </row>
    <row r="1187" spans="1:17" hidden="1" x14ac:dyDescent="0.3">
      <c r="A1187" s="2">
        <v>41579</v>
      </c>
      <c r="B1187" s="3" t="s">
        <v>31</v>
      </c>
      <c r="C1187" s="3" t="s">
        <v>32</v>
      </c>
      <c r="D1187" s="3" t="s">
        <v>33</v>
      </c>
      <c r="E1187" s="3" t="s">
        <v>34</v>
      </c>
      <c r="F1187" s="3">
        <v>745.97</v>
      </c>
      <c r="G1187" s="3" t="s">
        <v>35</v>
      </c>
      <c r="H1187" s="3" t="s">
        <v>36</v>
      </c>
      <c r="I1187" s="3">
        <f>IF(C1187="India",1,IF(C1187="USA",INDEX('Currency Master'!B:B,MATCH(DATE(N1187,MONTH(DATEVALUE(O1187&amp;" 1")),1),'Currency Master'!A:A,0)),IF(C1187="Australia",INDEX('Currency Master'!T:T,MATCH(DATE(N1187,MONTH(DATEVALUE(O1187&amp;" 1")),1),'Currency Master'!A:A,0)),"")))</f>
        <v>54.38</v>
      </c>
      <c r="J1187" s="3">
        <f t="shared" si="72"/>
        <v>405.66</v>
      </c>
      <c r="K1187" s="3" t="str">
        <f t="shared" si="73"/>
        <v>₹/Kg</v>
      </c>
      <c r="L1187" s="3">
        <v>9.7000000000000003E-3</v>
      </c>
      <c r="M1187" s="3"/>
      <c r="N1187" s="3">
        <f t="shared" si="74"/>
        <v>2013</v>
      </c>
      <c r="O1187" s="3" t="str">
        <f t="shared" si="75"/>
        <v>November</v>
      </c>
      <c r="P1187" s="3" t="s">
        <v>37</v>
      </c>
      <c r="Q1187" s="3"/>
    </row>
    <row r="1188" spans="1:17" hidden="1" x14ac:dyDescent="0.3">
      <c r="A1188" s="2">
        <v>41548</v>
      </c>
      <c r="B1188" s="3" t="s">
        <v>31</v>
      </c>
      <c r="C1188" s="3" t="s">
        <v>32</v>
      </c>
      <c r="D1188" s="3" t="s">
        <v>33</v>
      </c>
      <c r="E1188" s="3" t="s">
        <v>34</v>
      </c>
      <c r="F1188" s="3">
        <v>738.79</v>
      </c>
      <c r="G1188" s="3" t="s">
        <v>35</v>
      </c>
      <c r="H1188" s="3" t="s">
        <v>36</v>
      </c>
      <c r="I1188" s="3">
        <f>IF(C1188="India",1,IF(C1188="USA",INDEX('Currency Master'!B:B,MATCH(DATE(N1188,MONTH(DATEVALUE(O1188&amp;" 1")),1),'Currency Master'!A:A,0)),IF(C1188="Australia",INDEX('Currency Master'!T:T,MATCH(DATE(N1188,MONTH(DATEVALUE(O1188&amp;" 1")),1),'Currency Master'!A:A,0)),"")))</f>
        <v>54.137</v>
      </c>
      <c r="J1188" s="3">
        <f t="shared" si="72"/>
        <v>399.96</v>
      </c>
      <c r="K1188" s="3" t="str">
        <f t="shared" si="73"/>
        <v>₹/Kg</v>
      </c>
      <c r="L1188" s="3">
        <v>8.0000000000000004E-4</v>
      </c>
      <c r="M1188" s="3"/>
      <c r="N1188" s="3">
        <f t="shared" si="74"/>
        <v>2013</v>
      </c>
      <c r="O1188" s="3" t="str">
        <f t="shared" si="75"/>
        <v>October</v>
      </c>
      <c r="P1188" s="3" t="s">
        <v>37</v>
      </c>
      <c r="Q1188" s="3"/>
    </row>
    <row r="1189" spans="1:17" hidden="1" x14ac:dyDescent="0.3">
      <c r="A1189" s="2">
        <v>41518</v>
      </c>
      <c r="B1189" s="3" t="s">
        <v>31</v>
      </c>
      <c r="C1189" s="3" t="s">
        <v>32</v>
      </c>
      <c r="D1189" s="3" t="s">
        <v>33</v>
      </c>
      <c r="E1189" s="3" t="s">
        <v>34</v>
      </c>
      <c r="F1189" s="3">
        <v>738.16</v>
      </c>
      <c r="G1189" s="3" t="s">
        <v>35</v>
      </c>
      <c r="H1189" s="3" t="s">
        <v>36</v>
      </c>
      <c r="I1189" s="3">
        <f>IF(C1189="India",1,IF(C1189="USA",INDEX('Currency Master'!B:B,MATCH(DATE(N1189,MONTH(DATEVALUE(O1189&amp;" 1")),1),'Currency Master'!A:A,0)),IF(C1189="Australia",INDEX('Currency Master'!T:T,MATCH(DATE(N1189,MONTH(DATEVALUE(O1189&amp;" 1")),1),'Currency Master'!A:A,0)),"")))</f>
        <v>55.661000000000001</v>
      </c>
      <c r="J1189" s="3">
        <f t="shared" si="72"/>
        <v>410.87</v>
      </c>
      <c r="K1189" s="3" t="str">
        <f t="shared" si="73"/>
        <v>₹/Kg</v>
      </c>
      <c r="L1189" s="3">
        <v>0.1331</v>
      </c>
      <c r="M1189" s="3"/>
      <c r="N1189" s="3">
        <f t="shared" si="74"/>
        <v>2013</v>
      </c>
      <c r="O1189" s="3" t="str">
        <f t="shared" si="75"/>
        <v>September</v>
      </c>
      <c r="P1189" s="3" t="s">
        <v>37</v>
      </c>
      <c r="Q1189" s="3"/>
    </row>
    <row r="1190" spans="1:17" hidden="1" x14ac:dyDescent="0.3">
      <c r="A1190" s="2">
        <v>41487</v>
      </c>
      <c r="B1190" s="3" t="s">
        <v>31</v>
      </c>
      <c r="C1190" s="3" t="s">
        <v>32</v>
      </c>
      <c r="D1190" s="3" t="s">
        <v>33</v>
      </c>
      <c r="E1190" s="3" t="s">
        <v>34</v>
      </c>
      <c r="F1190" s="3">
        <v>651.45000000000005</v>
      </c>
      <c r="G1190" s="3" t="s">
        <v>35</v>
      </c>
      <c r="H1190" s="3" t="s">
        <v>36</v>
      </c>
      <c r="I1190" s="3">
        <f>IF(C1190="India",1,IF(C1190="USA",INDEX('Currency Master'!B:B,MATCH(DATE(N1190,MONTH(DATEVALUE(O1190&amp;" 1")),1),'Currency Master'!A:A,0)),IF(C1190="Australia",INDEX('Currency Master'!T:T,MATCH(DATE(N1190,MONTH(DATEVALUE(O1190&amp;" 1")),1),'Currency Master'!A:A,0)),"")))</f>
        <v>56.542999999999999</v>
      </c>
      <c r="J1190" s="3">
        <f t="shared" si="72"/>
        <v>368.35</v>
      </c>
      <c r="K1190" s="3" t="str">
        <f t="shared" si="73"/>
        <v>₹/Kg</v>
      </c>
      <c r="L1190" s="3">
        <v>6.2899999999999998E-2</v>
      </c>
      <c r="M1190" s="3"/>
      <c r="N1190" s="3">
        <f t="shared" si="74"/>
        <v>2013</v>
      </c>
      <c r="O1190" s="3" t="str">
        <f t="shared" si="75"/>
        <v>August</v>
      </c>
      <c r="P1190" s="3" t="s">
        <v>37</v>
      </c>
      <c r="Q1190" s="3"/>
    </row>
    <row r="1191" spans="1:17" hidden="1" x14ac:dyDescent="0.3">
      <c r="A1191" s="2">
        <v>41456</v>
      </c>
      <c r="B1191" s="3" t="s">
        <v>31</v>
      </c>
      <c r="C1191" s="3" t="s">
        <v>32</v>
      </c>
      <c r="D1191" s="3" t="s">
        <v>33</v>
      </c>
      <c r="E1191" s="3" t="s">
        <v>34</v>
      </c>
      <c r="F1191" s="3">
        <v>612.91</v>
      </c>
      <c r="G1191" s="3" t="s">
        <v>35</v>
      </c>
      <c r="H1191" s="3" t="s">
        <v>36</v>
      </c>
      <c r="I1191" s="3">
        <f>IF(C1191="India",1,IF(C1191="USA",INDEX('Currency Master'!B:B,MATCH(DATE(N1191,MONTH(DATEVALUE(O1191&amp;" 1")),1),'Currency Master'!A:A,0)),IF(C1191="Australia",INDEX('Currency Master'!T:T,MATCH(DATE(N1191,MONTH(DATEVALUE(O1191&amp;" 1")),1),'Currency Master'!A:A,0)),"")))</f>
        <v>55.533999999999999</v>
      </c>
      <c r="J1191" s="3">
        <f t="shared" si="72"/>
        <v>340.37</v>
      </c>
      <c r="K1191" s="3" t="str">
        <f t="shared" si="73"/>
        <v>₹/Kg</v>
      </c>
      <c r="L1191" s="3">
        <v>-5.9799999999999999E-2</v>
      </c>
      <c r="M1191" s="3"/>
      <c r="N1191" s="3">
        <f t="shared" si="74"/>
        <v>2013</v>
      </c>
      <c r="O1191" s="3" t="str">
        <f t="shared" si="75"/>
        <v>July</v>
      </c>
      <c r="P1191" s="3" t="s">
        <v>37</v>
      </c>
      <c r="Q1191" s="3"/>
    </row>
    <row r="1192" spans="1:17" hidden="1" x14ac:dyDescent="0.3">
      <c r="A1192" s="2">
        <v>41426</v>
      </c>
      <c r="B1192" s="3" t="s">
        <v>31</v>
      </c>
      <c r="C1192" s="3" t="s">
        <v>32</v>
      </c>
      <c r="D1192" s="3" t="s">
        <v>33</v>
      </c>
      <c r="E1192" s="3" t="s">
        <v>34</v>
      </c>
      <c r="F1192" s="3">
        <v>651.91999999999996</v>
      </c>
      <c r="G1192" s="3" t="s">
        <v>35</v>
      </c>
      <c r="H1192" s="3" t="s">
        <v>36</v>
      </c>
      <c r="I1192" s="3">
        <f>IF(C1192="India",1,IF(C1192="USA",INDEX('Currency Master'!B:B,MATCH(DATE(N1192,MONTH(DATEVALUE(O1192&amp;" 1")),1),'Currency Master'!A:A,0)),IF(C1192="Australia",INDEX('Currency Master'!T:T,MATCH(DATE(N1192,MONTH(DATEVALUE(O1192&amp;" 1")),1),'Currency Master'!A:A,0)),"")))</f>
        <v>55.545000000000002</v>
      </c>
      <c r="J1192" s="3">
        <f t="shared" si="72"/>
        <v>362.11</v>
      </c>
      <c r="K1192" s="3" t="str">
        <f t="shared" si="73"/>
        <v>₹/Kg</v>
      </c>
      <c r="L1192" s="3">
        <v>2.29E-2</v>
      </c>
      <c r="M1192" s="3"/>
      <c r="N1192" s="3">
        <f t="shared" si="74"/>
        <v>2013</v>
      </c>
      <c r="O1192" s="3" t="str">
        <f t="shared" si="75"/>
        <v>June</v>
      </c>
      <c r="P1192" s="3" t="s">
        <v>37</v>
      </c>
      <c r="Q1192" s="3"/>
    </row>
    <row r="1193" spans="1:17" hidden="1" x14ac:dyDescent="0.3">
      <c r="A1193" s="2">
        <v>41395</v>
      </c>
      <c r="B1193" s="3" t="s">
        <v>31</v>
      </c>
      <c r="C1193" s="3" t="s">
        <v>32</v>
      </c>
      <c r="D1193" s="3" t="s">
        <v>33</v>
      </c>
      <c r="E1193" s="3" t="s">
        <v>34</v>
      </c>
      <c r="F1193" s="3">
        <v>637.29999999999995</v>
      </c>
      <c r="G1193" s="3" t="s">
        <v>35</v>
      </c>
      <c r="H1193" s="3" t="s">
        <v>36</v>
      </c>
      <c r="I1193" s="3">
        <f>IF(C1193="India",1,IF(C1193="USA",INDEX('Currency Master'!B:B,MATCH(DATE(N1193,MONTH(DATEVALUE(O1193&amp;" 1")),1),'Currency Master'!A:A,0)),IF(C1193="Australia",INDEX('Currency Master'!T:T,MATCH(DATE(N1193,MONTH(DATEVALUE(O1193&amp;" 1")),1),'Currency Master'!A:A,0)),"")))</f>
        <v>57.005000000000003</v>
      </c>
      <c r="J1193" s="3">
        <f t="shared" si="72"/>
        <v>363.29</v>
      </c>
      <c r="K1193" s="3" t="str">
        <f t="shared" si="73"/>
        <v>₹/Kg</v>
      </c>
      <c r="L1193" s="3">
        <v>-3.0200000000000001E-2</v>
      </c>
      <c r="M1193" s="3"/>
      <c r="N1193" s="3">
        <f t="shared" si="74"/>
        <v>2013</v>
      </c>
      <c r="O1193" s="3" t="str">
        <f t="shared" si="75"/>
        <v>May</v>
      </c>
      <c r="P1193" s="3" t="s">
        <v>37</v>
      </c>
      <c r="Q1193" s="3"/>
    </row>
    <row r="1194" spans="1:17" hidden="1" x14ac:dyDescent="0.3">
      <c r="A1194" s="2">
        <v>41365</v>
      </c>
      <c r="B1194" s="3" t="s">
        <v>31</v>
      </c>
      <c r="C1194" s="3" t="s">
        <v>32</v>
      </c>
      <c r="D1194" s="3" t="s">
        <v>33</v>
      </c>
      <c r="E1194" s="3" t="s">
        <v>34</v>
      </c>
      <c r="F1194" s="3">
        <v>657.18</v>
      </c>
      <c r="G1194" s="3" t="s">
        <v>35</v>
      </c>
      <c r="H1194" s="3" t="s">
        <v>36</v>
      </c>
      <c r="I1194" s="3">
        <f>IF(C1194="India",1,IF(C1194="USA",INDEX('Currency Master'!B:B,MATCH(DATE(N1194,MONTH(DATEVALUE(O1194&amp;" 1")),1),'Currency Master'!A:A,0)),IF(C1194="Australia",INDEX('Currency Master'!T:T,MATCH(DATE(N1194,MONTH(DATEVALUE(O1194&amp;" 1")),1),'Currency Master'!A:A,0)),"")))</f>
        <v>56.62</v>
      </c>
      <c r="J1194" s="3">
        <f t="shared" si="72"/>
        <v>372.1</v>
      </c>
      <c r="K1194" s="3" t="str">
        <f t="shared" si="73"/>
        <v>₹/Kg</v>
      </c>
      <c r="L1194" s="3">
        <v>-8.7400000000000005E-2</v>
      </c>
      <c r="M1194" s="3"/>
      <c r="N1194" s="3">
        <f t="shared" si="74"/>
        <v>2013</v>
      </c>
      <c r="O1194" s="3" t="str">
        <f t="shared" si="75"/>
        <v>April</v>
      </c>
      <c r="P1194" s="3" t="s">
        <v>37</v>
      </c>
      <c r="Q1194" s="3"/>
    </row>
    <row r="1195" spans="1:17" hidden="1" x14ac:dyDescent="0.3">
      <c r="A1195" s="2">
        <v>41334</v>
      </c>
      <c r="B1195" s="3" t="s">
        <v>31</v>
      </c>
      <c r="C1195" s="3" t="s">
        <v>32</v>
      </c>
      <c r="D1195" s="3" t="s">
        <v>33</v>
      </c>
      <c r="E1195" s="3" t="s">
        <v>34</v>
      </c>
      <c r="F1195" s="3">
        <v>720.14</v>
      </c>
      <c r="G1195" s="3" t="s">
        <v>35</v>
      </c>
      <c r="H1195" s="3" t="s">
        <v>36</v>
      </c>
      <c r="I1195" s="3">
        <f>IF(C1195="India",1,IF(C1195="USA",INDEX('Currency Master'!B:B,MATCH(DATE(N1195,MONTH(DATEVALUE(O1195&amp;" 1")),1),'Currency Master'!A:A,0)),IF(C1195="Australia",INDEX('Currency Master'!T:T,MATCH(DATE(N1195,MONTH(DATEVALUE(O1195&amp;" 1")),1),'Currency Master'!A:A,0)),"")))</f>
        <v>55.801000000000002</v>
      </c>
      <c r="J1195" s="3">
        <f t="shared" si="72"/>
        <v>401.85</v>
      </c>
      <c r="K1195" s="3" t="str">
        <f t="shared" si="73"/>
        <v>₹/Kg</v>
      </c>
      <c r="L1195" s="3">
        <v>-2.52E-2</v>
      </c>
      <c r="M1195" s="3"/>
      <c r="N1195" s="3">
        <f t="shared" si="74"/>
        <v>2013</v>
      </c>
      <c r="O1195" s="3" t="str">
        <f t="shared" si="75"/>
        <v>March</v>
      </c>
      <c r="P1195" s="3" t="s">
        <v>37</v>
      </c>
      <c r="Q1195" s="3"/>
    </row>
    <row r="1196" spans="1:17" hidden="1" x14ac:dyDescent="0.3">
      <c r="A1196" s="2">
        <v>41306</v>
      </c>
      <c r="B1196" s="3" t="s">
        <v>31</v>
      </c>
      <c r="C1196" s="3" t="s">
        <v>32</v>
      </c>
      <c r="D1196" s="3" t="s">
        <v>33</v>
      </c>
      <c r="E1196" s="3" t="s">
        <v>34</v>
      </c>
      <c r="F1196" s="3">
        <v>738.75</v>
      </c>
      <c r="G1196" s="3" t="s">
        <v>35</v>
      </c>
      <c r="H1196" s="3" t="s">
        <v>36</v>
      </c>
      <c r="I1196" s="3">
        <f>IF(C1196="India",1,IF(C1196="USA",INDEX('Currency Master'!B:B,MATCH(DATE(N1196,MONTH(DATEVALUE(O1196&amp;" 1")),1),'Currency Master'!A:A,0)),IF(C1196="Australia",INDEX('Currency Master'!T:T,MATCH(DATE(N1196,MONTH(DATEVALUE(O1196&amp;" 1")),1),'Currency Master'!A:A,0)),"")))</f>
        <v>54.822000000000003</v>
      </c>
      <c r="J1196" s="3">
        <f t="shared" si="72"/>
        <v>405</v>
      </c>
      <c r="K1196" s="3" t="str">
        <f t="shared" si="73"/>
        <v>₹/Kg</v>
      </c>
      <c r="L1196" s="3">
        <v>-2.3699999999999999E-2</v>
      </c>
      <c r="M1196" s="3"/>
      <c r="N1196" s="3">
        <f t="shared" si="74"/>
        <v>2013</v>
      </c>
      <c r="O1196" s="3" t="str">
        <f t="shared" si="75"/>
        <v>February</v>
      </c>
      <c r="P1196" s="3" t="s">
        <v>37</v>
      </c>
      <c r="Q1196" s="3"/>
    </row>
    <row r="1197" spans="1:17" hidden="1" x14ac:dyDescent="0.3">
      <c r="A1197" s="2">
        <v>41275</v>
      </c>
      <c r="B1197" s="3" t="s">
        <v>31</v>
      </c>
      <c r="C1197" s="3" t="s">
        <v>32</v>
      </c>
      <c r="D1197" s="3" t="s">
        <v>33</v>
      </c>
      <c r="E1197" s="3" t="s">
        <v>34</v>
      </c>
      <c r="F1197" s="3">
        <v>756.66</v>
      </c>
      <c r="G1197" s="3" t="s">
        <v>35</v>
      </c>
      <c r="H1197" s="3" t="s">
        <v>36</v>
      </c>
      <c r="I1197" s="3">
        <f>IF(C1197="India",1,IF(C1197="USA",INDEX('Currency Master'!B:B,MATCH(DATE(N1197,MONTH(DATEVALUE(O1197&amp;" 1")),1),'Currency Master'!A:A,0)),IF(C1197="Australia",INDEX('Currency Master'!T:T,MATCH(DATE(N1197,MONTH(DATEVALUE(O1197&amp;" 1")),1),'Currency Master'!A:A,0)),"")))</f>
        <v>57.28</v>
      </c>
      <c r="J1197" s="3">
        <f t="shared" si="72"/>
        <v>433.41</v>
      </c>
      <c r="K1197" s="3" t="str">
        <f t="shared" si="73"/>
        <v>₹/Kg</v>
      </c>
      <c r="L1197" s="3">
        <v>2.3099999999999999E-2</v>
      </c>
      <c r="M1197" s="3"/>
      <c r="N1197" s="3">
        <f t="shared" si="74"/>
        <v>2013</v>
      </c>
      <c r="O1197" s="3" t="str">
        <f t="shared" si="75"/>
        <v>January</v>
      </c>
      <c r="P1197" s="3" t="s">
        <v>37</v>
      </c>
      <c r="Q1197" s="3"/>
    </row>
    <row r="1198" spans="1:17" hidden="1" x14ac:dyDescent="0.3">
      <c r="A1198" s="2">
        <v>41244</v>
      </c>
      <c r="B1198" s="3" t="s">
        <v>31</v>
      </c>
      <c r="C1198" s="3" t="s">
        <v>32</v>
      </c>
      <c r="D1198" s="3" t="s">
        <v>33</v>
      </c>
      <c r="E1198" s="3" t="s">
        <v>34</v>
      </c>
      <c r="F1198" s="3">
        <v>739.59</v>
      </c>
      <c r="G1198" s="3" t="s">
        <v>35</v>
      </c>
      <c r="H1198" s="3" t="s">
        <v>36</v>
      </c>
      <c r="I1198" s="3">
        <f>IF(C1198="India",1,IF(C1198="USA",INDEX('Currency Master'!B:B,MATCH(DATE(N1198,MONTH(DATEVALUE(O1198&amp;" 1")),1),'Currency Master'!A:A,0)),IF(C1198="Australia",INDEX('Currency Master'!T:T,MATCH(DATE(N1198,MONTH(DATEVALUE(O1198&amp;" 1")),1),'Currency Master'!A:A,0)),"")))</f>
        <v>58.293999999999997</v>
      </c>
      <c r="J1198" s="3">
        <f t="shared" si="72"/>
        <v>431.14</v>
      </c>
      <c r="K1198" s="3" t="str">
        <f t="shared" si="73"/>
        <v>₹/Kg</v>
      </c>
      <c r="L1198" s="3">
        <v>7.3300000000000004E-2</v>
      </c>
      <c r="M1198" s="3"/>
      <c r="N1198" s="3">
        <f t="shared" si="74"/>
        <v>2012</v>
      </c>
      <c r="O1198" s="3" t="str">
        <f t="shared" si="75"/>
        <v>December</v>
      </c>
      <c r="P1198" s="3" t="s">
        <v>37</v>
      </c>
      <c r="Q1198" s="3"/>
    </row>
    <row r="1199" spans="1:17" hidden="1" x14ac:dyDescent="0.3">
      <c r="A1199" s="2">
        <v>41214</v>
      </c>
      <c r="B1199" s="3" t="s">
        <v>31</v>
      </c>
      <c r="C1199" s="3" t="s">
        <v>32</v>
      </c>
      <c r="D1199" s="3" t="s">
        <v>33</v>
      </c>
      <c r="E1199" s="3" t="s">
        <v>34</v>
      </c>
      <c r="F1199" s="3">
        <v>689.09</v>
      </c>
      <c r="G1199" s="3" t="s">
        <v>35</v>
      </c>
      <c r="H1199" s="3" t="s">
        <v>36</v>
      </c>
      <c r="I1199" s="3">
        <f>IF(C1199="India",1,IF(C1199="USA",INDEX('Currency Master'!B:B,MATCH(DATE(N1199,MONTH(DATEVALUE(O1199&amp;" 1")),1),'Currency Master'!A:A,0)),IF(C1199="Australia",INDEX('Currency Master'!T:T,MATCH(DATE(N1199,MONTH(DATEVALUE(O1199&amp;" 1")),1),'Currency Master'!A:A,0)),"")))</f>
        <v>56.792999999999999</v>
      </c>
      <c r="J1199" s="3">
        <f t="shared" si="72"/>
        <v>391.35</v>
      </c>
      <c r="K1199" s="3" t="str">
        <f t="shared" si="73"/>
        <v>₹/Kg</v>
      </c>
      <c r="L1199" s="3">
        <v>0.08</v>
      </c>
      <c r="M1199" s="3"/>
      <c r="N1199" s="3">
        <f t="shared" si="74"/>
        <v>2012</v>
      </c>
      <c r="O1199" s="3" t="str">
        <f t="shared" si="75"/>
        <v>November</v>
      </c>
      <c r="P1199" s="3" t="s">
        <v>37</v>
      </c>
      <c r="Q1199" s="3"/>
    </row>
    <row r="1200" spans="1:17" hidden="1" x14ac:dyDescent="0.3">
      <c r="A1200" s="2">
        <v>41183</v>
      </c>
      <c r="B1200" s="3" t="s">
        <v>31</v>
      </c>
      <c r="C1200" s="3" t="s">
        <v>32</v>
      </c>
      <c r="D1200" s="3" t="s">
        <v>33</v>
      </c>
      <c r="E1200" s="3" t="s">
        <v>34</v>
      </c>
      <c r="F1200" s="3">
        <v>638.02</v>
      </c>
      <c r="G1200" s="3" t="s">
        <v>35</v>
      </c>
      <c r="H1200" s="3" t="s">
        <v>36</v>
      </c>
      <c r="I1200" s="3">
        <f>IF(C1200="India",1,IF(C1200="USA",INDEX('Currency Master'!B:B,MATCH(DATE(N1200,MONTH(DATEVALUE(O1200&amp;" 1")),1),'Currency Master'!A:A,0)),IF(C1200="Australia",INDEX('Currency Master'!T:T,MATCH(DATE(N1200,MONTH(DATEVALUE(O1200&amp;" 1")),1),'Currency Master'!A:A,0)),"")))</f>
        <v>54.5</v>
      </c>
      <c r="J1200" s="3">
        <f t="shared" si="72"/>
        <v>347.72</v>
      </c>
      <c r="K1200" s="3" t="str">
        <f t="shared" si="73"/>
        <v>₹/Kg</v>
      </c>
      <c r="L1200" s="3">
        <v>1.7299999999999999E-2</v>
      </c>
      <c r="M1200" s="3"/>
      <c r="N1200" s="3">
        <f t="shared" si="74"/>
        <v>2012</v>
      </c>
      <c r="O1200" s="3" t="str">
        <f t="shared" si="75"/>
        <v>October</v>
      </c>
      <c r="P1200" s="3" t="s">
        <v>37</v>
      </c>
      <c r="Q1200" s="3"/>
    </row>
    <row r="1201" spans="1:17" hidden="1" x14ac:dyDescent="0.3">
      <c r="A1201" s="2">
        <v>41153</v>
      </c>
      <c r="B1201" s="3" t="s">
        <v>31</v>
      </c>
      <c r="C1201" s="3" t="s">
        <v>32</v>
      </c>
      <c r="D1201" s="3" t="s">
        <v>33</v>
      </c>
      <c r="E1201" s="3" t="s">
        <v>34</v>
      </c>
      <c r="F1201" s="3">
        <v>627.14</v>
      </c>
      <c r="G1201" s="3" t="s">
        <v>35</v>
      </c>
      <c r="H1201" s="3" t="s">
        <v>36</v>
      </c>
      <c r="I1201" s="3">
        <f>IF(C1201="India",1,IF(C1201="USA",INDEX('Currency Master'!B:B,MATCH(DATE(N1201,MONTH(DATEVALUE(O1201&amp;" 1")),1),'Currency Master'!A:A,0)),IF(C1201="Australia",INDEX('Currency Master'!T:T,MATCH(DATE(N1201,MONTH(DATEVALUE(O1201&amp;" 1")),1),'Currency Master'!A:A,0)),"")))</f>
        <v>54.881999999999998</v>
      </c>
      <c r="J1201" s="3">
        <f t="shared" si="72"/>
        <v>344.19</v>
      </c>
      <c r="K1201" s="3" t="str">
        <f t="shared" si="73"/>
        <v>₹/Kg</v>
      </c>
      <c r="L1201" s="3">
        <v>-5.3100000000000001E-2</v>
      </c>
      <c r="M1201" s="3"/>
      <c r="N1201" s="3">
        <f t="shared" si="74"/>
        <v>2012</v>
      </c>
      <c r="O1201" s="3" t="str">
        <f t="shared" si="75"/>
        <v>September</v>
      </c>
      <c r="P1201" s="3" t="s">
        <v>37</v>
      </c>
      <c r="Q1201" s="3"/>
    </row>
    <row r="1202" spans="1:17" hidden="1" x14ac:dyDescent="0.3">
      <c r="A1202" s="2">
        <v>41122</v>
      </c>
      <c r="B1202" s="3" t="s">
        <v>31</v>
      </c>
      <c r="C1202" s="3" t="s">
        <v>32</v>
      </c>
      <c r="D1202" s="3" t="s">
        <v>33</v>
      </c>
      <c r="E1202" s="3" t="s">
        <v>34</v>
      </c>
      <c r="F1202" s="3">
        <v>662.31</v>
      </c>
      <c r="G1202" s="3" t="s">
        <v>35</v>
      </c>
      <c r="H1202" s="3" t="s">
        <v>36</v>
      </c>
      <c r="I1202" s="3">
        <f>IF(C1202="India",1,IF(C1202="USA",INDEX('Currency Master'!B:B,MATCH(DATE(N1202,MONTH(DATEVALUE(O1202&amp;" 1")),1),'Currency Master'!A:A,0)),IF(C1202="Australia",INDEX('Currency Master'!T:T,MATCH(DATE(N1202,MONTH(DATEVALUE(O1202&amp;" 1")),1),'Currency Master'!A:A,0)),"")))</f>
        <v>52.604999999999997</v>
      </c>
      <c r="J1202" s="3">
        <f t="shared" si="72"/>
        <v>348.41</v>
      </c>
      <c r="K1202" s="3" t="str">
        <f t="shared" si="73"/>
        <v>₹/Kg</v>
      </c>
      <c r="L1202" s="3">
        <v>-8.0699999999999994E-2</v>
      </c>
      <c r="M1202" s="3"/>
      <c r="N1202" s="3">
        <f t="shared" si="74"/>
        <v>2012</v>
      </c>
      <c r="O1202" s="3" t="str">
        <f t="shared" si="75"/>
        <v>August</v>
      </c>
      <c r="P1202" s="3" t="s">
        <v>37</v>
      </c>
      <c r="Q1202" s="3"/>
    </row>
    <row r="1203" spans="1:17" hidden="1" x14ac:dyDescent="0.3">
      <c r="A1203" s="2">
        <v>41091</v>
      </c>
      <c r="B1203" s="3" t="s">
        <v>31</v>
      </c>
      <c r="C1203" s="3" t="s">
        <v>32</v>
      </c>
      <c r="D1203" s="3" t="s">
        <v>33</v>
      </c>
      <c r="E1203" s="3" t="s">
        <v>34</v>
      </c>
      <c r="F1203" s="3">
        <v>720.47</v>
      </c>
      <c r="G1203" s="3" t="s">
        <v>35</v>
      </c>
      <c r="H1203" s="3" t="s">
        <v>36</v>
      </c>
      <c r="I1203" s="3">
        <f>IF(C1203="India",1,IF(C1203="USA",INDEX('Currency Master'!B:B,MATCH(DATE(N1203,MONTH(DATEVALUE(O1203&amp;" 1")),1),'Currency Master'!A:A,0)),IF(C1203="Australia",INDEX('Currency Master'!T:T,MATCH(DATE(N1203,MONTH(DATEVALUE(O1203&amp;" 1")),1),'Currency Master'!A:A,0)),"")))</f>
        <v>52.704000000000001</v>
      </c>
      <c r="J1203" s="3">
        <f t="shared" si="72"/>
        <v>379.72</v>
      </c>
      <c r="K1203" s="3" t="str">
        <f t="shared" si="73"/>
        <v>₹/Kg</v>
      </c>
      <c r="L1203" s="3">
        <v>4.0000000000000002E-4</v>
      </c>
      <c r="M1203" s="3"/>
      <c r="N1203" s="3">
        <f t="shared" si="74"/>
        <v>2012</v>
      </c>
      <c r="O1203" s="3" t="str">
        <f t="shared" si="75"/>
        <v>July</v>
      </c>
      <c r="P1203" s="3" t="s">
        <v>37</v>
      </c>
      <c r="Q1203" s="3"/>
    </row>
    <row r="1204" spans="1:17" hidden="1" x14ac:dyDescent="0.3">
      <c r="A1204" s="2">
        <v>41061</v>
      </c>
      <c r="B1204" s="3" t="s">
        <v>31</v>
      </c>
      <c r="C1204" s="3" t="s">
        <v>32</v>
      </c>
      <c r="D1204" s="3" t="s">
        <v>33</v>
      </c>
      <c r="E1204" s="3" t="s">
        <v>34</v>
      </c>
      <c r="F1204" s="3">
        <v>720.22</v>
      </c>
      <c r="G1204" s="3" t="s">
        <v>35</v>
      </c>
      <c r="H1204" s="3" t="s">
        <v>36</v>
      </c>
      <c r="I1204" s="3">
        <f>IF(C1204="India",1,IF(C1204="USA",INDEX('Currency Master'!B:B,MATCH(DATE(N1204,MONTH(DATEVALUE(O1204&amp;" 1")),1),'Currency Master'!A:A,0)),IF(C1204="Australia",INDEX('Currency Master'!T:T,MATCH(DATE(N1204,MONTH(DATEVALUE(O1204&amp;" 1")),1),'Currency Master'!A:A,0)),"")))</f>
        <v>52.533999999999999</v>
      </c>
      <c r="J1204" s="3">
        <f t="shared" si="72"/>
        <v>378.36</v>
      </c>
      <c r="K1204" s="3" t="str">
        <f t="shared" si="73"/>
        <v>₹/Kg</v>
      </c>
      <c r="L1204" s="3">
        <v>-1.11E-2</v>
      </c>
      <c r="M1204" s="3"/>
      <c r="N1204" s="3">
        <f t="shared" si="74"/>
        <v>2012</v>
      </c>
      <c r="O1204" s="3" t="str">
        <f t="shared" si="75"/>
        <v>June</v>
      </c>
      <c r="P1204" s="3" t="s">
        <v>37</v>
      </c>
      <c r="Q1204" s="3"/>
    </row>
    <row r="1205" spans="1:17" hidden="1" x14ac:dyDescent="0.3">
      <c r="A1205" s="2">
        <v>41030</v>
      </c>
      <c r="B1205" s="3" t="s">
        <v>31</v>
      </c>
      <c r="C1205" s="3" t="s">
        <v>32</v>
      </c>
      <c r="D1205" s="3" t="s">
        <v>33</v>
      </c>
      <c r="E1205" s="3" t="s">
        <v>34</v>
      </c>
      <c r="F1205" s="3">
        <v>728.28</v>
      </c>
      <c r="G1205" s="3" t="s">
        <v>35</v>
      </c>
      <c r="H1205" s="3" t="s">
        <v>36</v>
      </c>
      <c r="I1205" s="3">
        <f>IF(C1205="India",1,IF(C1205="USA",INDEX('Currency Master'!B:B,MATCH(DATE(N1205,MONTH(DATEVALUE(O1205&amp;" 1")),1),'Currency Master'!A:A,0)),IF(C1205="Australia",INDEX('Currency Master'!T:T,MATCH(DATE(N1205,MONTH(DATEVALUE(O1205&amp;" 1")),1),'Currency Master'!A:A,0)),"")))</f>
        <v>54.182000000000002</v>
      </c>
      <c r="J1205" s="3">
        <f t="shared" si="72"/>
        <v>394.6</v>
      </c>
      <c r="K1205" s="3" t="str">
        <f t="shared" si="73"/>
        <v>₹/Kg</v>
      </c>
      <c r="L1205" s="3">
        <v>-2.18E-2</v>
      </c>
      <c r="M1205" s="3"/>
      <c r="N1205" s="3">
        <f t="shared" si="74"/>
        <v>2012</v>
      </c>
      <c r="O1205" s="3" t="str">
        <f t="shared" si="75"/>
        <v>May</v>
      </c>
      <c r="P1205" s="3" t="s">
        <v>37</v>
      </c>
      <c r="Q1205" s="3"/>
    </row>
    <row r="1206" spans="1:17" hidden="1" x14ac:dyDescent="0.3">
      <c r="A1206" s="2">
        <v>41000</v>
      </c>
      <c r="B1206" s="3" t="s">
        <v>31</v>
      </c>
      <c r="C1206" s="3" t="s">
        <v>32</v>
      </c>
      <c r="D1206" s="3" t="s">
        <v>33</v>
      </c>
      <c r="E1206" s="3" t="s">
        <v>34</v>
      </c>
      <c r="F1206" s="3">
        <v>744.53</v>
      </c>
      <c r="G1206" s="3" t="s">
        <v>35</v>
      </c>
      <c r="H1206" s="3" t="s">
        <v>36</v>
      </c>
      <c r="I1206" s="3">
        <f>IF(C1206="India",1,IF(C1206="USA",INDEX('Currency Master'!B:B,MATCH(DATE(N1206,MONTH(DATEVALUE(O1206&amp;" 1")),1),'Currency Master'!A:A,0)),IF(C1206="Australia",INDEX('Currency Master'!T:T,MATCH(DATE(N1206,MONTH(DATEVALUE(O1206&amp;" 1")),1),'Currency Master'!A:A,0)),"")))</f>
        <v>53.552999999999997</v>
      </c>
      <c r="J1206" s="3">
        <f t="shared" si="72"/>
        <v>398.72</v>
      </c>
      <c r="K1206" s="3" t="str">
        <f t="shared" si="73"/>
        <v>₹/Kg</v>
      </c>
      <c r="L1206" s="3">
        <v>-3.9E-2</v>
      </c>
      <c r="M1206" s="3"/>
      <c r="N1206" s="3">
        <f t="shared" si="74"/>
        <v>2012</v>
      </c>
      <c r="O1206" s="3" t="str">
        <f t="shared" si="75"/>
        <v>April</v>
      </c>
      <c r="P1206" s="3" t="s">
        <v>37</v>
      </c>
      <c r="Q1206" s="3"/>
    </row>
    <row r="1207" spans="1:17" hidden="1" x14ac:dyDescent="0.3">
      <c r="A1207" s="2">
        <v>40969</v>
      </c>
      <c r="B1207" s="3" t="s">
        <v>31</v>
      </c>
      <c r="C1207" s="3" t="s">
        <v>32</v>
      </c>
      <c r="D1207" s="3" t="s">
        <v>33</v>
      </c>
      <c r="E1207" s="3" t="s">
        <v>34</v>
      </c>
      <c r="F1207" s="3">
        <v>774.73</v>
      </c>
      <c r="G1207" s="3" t="s">
        <v>35</v>
      </c>
      <c r="H1207" s="3" t="s">
        <v>36</v>
      </c>
      <c r="I1207" s="3">
        <f>IF(C1207="India",1,IF(C1207="USA",INDEX('Currency Master'!B:B,MATCH(DATE(N1207,MONTH(DATEVALUE(O1207&amp;" 1")),1),'Currency Master'!A:A,0)),IF(C1207="Australia",INDEX('Currency Master'!T:T,MATCH(DATE(N1207,MONTH(DATEVALUE(O1207&amp;" 1")),1),'Currency Master'!A:A,0)),"")))</f>
        <v>51.3</v>
      </c>
      <c r="J1207" s="3">
        <f t="shared" si="72"/>
        <v>397.44</v>
      </c>
      <c r="K1207" s="3" t="str">
        <f t="shared" si="73"/>
        <v>₹/Kg</v>
      </c>
      <c r="L1207" s="3">
        <v>9.5999999999999992E-3</v>
      </c>
      <c r="M1207" s="3"/>
      <c r="N1207" s="3">
        <f t="shared" si="74"/>
        <v>2012</v>
      </c>
      <c r="O1207" s="3" t="str">
        <f t="shared" si="75"/>
        <v>March</v>
      </c>
      <c r="P1207" s="3" t="s">
        <v>37</v>
      </c>
      <c r="Q1207" s="3"/>
    </row>
    <row r="1208" spans="1:17" hidden="1" x14ac:dyDescent="0.3">
      <c r="A1208" s="2">
        <v>40940</v>
      </c>
      <c r="B1208" s="3" t="s">
        <v>31</v>
      </c>
      <c r="C1208" s="3" t="s">
        <v>32</v>
      </c>
      <c r="D1208" s="3" t="s">
        <v>33</v>
      </c>
      <c r="E1208" s="3" t="s">
        <v>34</v>
      </c>
      <c r="F1208" s="3">
        <v>767.36</v>
      </c>
      <c r="G1208" s="3" t="s">
        <v>35</v>
      </c>
      <c r="H1208" s="3" t="s">
        <v>36</v>
      </c>
      <c r="I1208" s="3">
        <f>IF(C1208="India",1,IF(C1208="USA",INDEX('Currency Master'!B:B,MATCH(DATE(N1208,MONTH(DATEVALUE(O1208&amp;" 1")),1),'Currency Master'!A:A,0)),IF(C1208="Australia",INDEX('Currency Master'!T:T,MATCH(DATE(N1208,MONTH(DATEVALUE(O1208&amp;" 1")),1),'Currency Master'!A:A,0)),"")))</f>
        <v>47.334000000000003</v>
      </c>
      <c r="J1208" s="3">
        <f t="shared" si="72"/>
        <v>363.22</v>
      </c>
      <c r="K1208" s="3" t="str">
        <f t="shared" si="73"/>
        <v>₹/Kg</v>
      </c>
      <c r="L1208" s="3">
        <v>-2.7000000000000001E-3</v>
      </c>
      <c r="M1208" s="3"/>
      <c r="N1208" s="3">
        <f t="shared" si="74"/>
        <v>2012</v>
      </c>
      <c r="O1208" s="3" t="str">
        <f t="shared" si="75"/>
        <v>February</v>
      </c>
      <c r="P1208" s="3" t="s">
        <v>37</v>
      </c>
      <c r="Q1208" s="3"/>
    </row>
    <row r="1209" spans="1:17" hidden="1" x14ac:dyDescent="0.3">
      <c r="A1209" s="2">
        <v>40909</v>
      </c>
      <c r="B1209" s="3" t="s">
        <v>31</v>
      </c>
      <c r="C1209" s="3" t="s">
        <v>32</v>
      </c>
      <c r="D1209" s="3" t="s">
        <v>33</v>
      </c>
      <c r="E1209" s="3" t="s">
        <v>34</v>
      </c>
      <c r="F1209" s="3">
        <v>769.46</v>
      </c>
      <c r="G1209" s="3" t="s">
        <v>35</v>
      </c>
      <c r="H1209" s="3" t="s">
        <v>36</v>
      </c>
      <c r="I1209" s="3">
        <f>IF(C1209="India",1,IF(C1209="USA",INDEX('Currency Master'!B:B,MATCH(DATE(N1209,MONTH(DATEVALUE(O1209&amp;" 1")),1),'Currency Master'!A:A,0)),IF(C1209="Australia",INDEX('Currency Master'!T:T,MATCH(DATE(N1209,MONTH(DATEVALUE(O1209&amp;" 1")),1),'Currency Master'!A:A,0)),"")))</f>
        <v>49</v>
      </c>
      <c r="J1209" s="3">
        <f t="shared" si="72"/>
        <v>377.04</v>
      </c>
      <c r="K1209" s="3" t="str">
        <f t="shared" si="73"/>
        <v>₹/Kg</v>
      </c>
      <c r="L1209" s="3">
        <v>1.6E-2</v>
      </c>
      <c r="M1209" s="3"/>
      <c r="N1209" s="3">
        <f t="shared" si="74"/>
        <v>2012</v>
      </c>
      <c r="O1209" s="3" t="str">
        <f t="shared" si="75"/>
        <v>January</v>
      </c>
      <c r="P1209" s="3" t="s">
        <v>37</v>
      </c>
      <c r="Q1209" s="3"/>
    </row>
    <row r="1210" spans="1:17" hidden="1" x14ac:dyDescent="0.3">
      <c r="A1210" s="2">
        <v>40878</v>
      </c>
      <c r="B1210" s="3" t="s">
        <v>31</v>
      </c>
      <c r="C1210" s="3" t="s">
        <v>32</v>
      </c>
      <c r="D1210" s="3" t="s">
        <v>33</v>
      </c>
      <c r="E1210" s="3" t="s">
        <v>34</v>
      </c>
      <c r="F1210" s="3">
        <v>757.31</v>
      </c>
      <c r="G1210" s="3" t="s">
        <v>35</v>
      </c>
      <c r="H1210" s="3" t="s">
        <v>36</v>
      </c>
      <c r="I1210" s="3">
        <f>IF(C1210="India",1,IF(C1210="USA",INDEX('Currency Master'!B:B,MATCH(DATE(N1210,MONTH(DATEVALUE(O1210&amp;" 1")),1),'Currency Master'!A:A,0)),IF(C1210="Australia",INDEX('Currency Master'!T:T,MATCH(DATE(N1210,MONTH(DATEVALUE(O1210&amp;" 1")),1),'Currency Master'!A:A,0)),"")))</f>
        <v>48.567</v>
      </c>
      <c r="J1210" s="3">
        <f t="shared" si="72"/>
        <v>367.8</v>
      </c>
      <c r="K1210" s="3" t="str">
        <f t="shared" si="73"/>
        <v>₹/Kg</v>
      </c>
      <c r="L1210" s="3">
        <v>1.6799999999999999E-2</v>
      </c>
      <c r="M1210" s="3"/>
      <c r="N1210" s="3">
        <f t="shared" si="74"/>
        <v>2011</v>
      </c>
      <c r="O1210" s="3" t="str">
        <f t="shared" si="75"/>
        <v>December</v>
      </c>
      <c r="P1210" s="3" t="s">
        <v>37</v>
      </c>
      <c r="Q1210" s="3"/>
    </row>
    <row r="1211" spans="1:17" hidden="1" x14ac:dyDescent="0.3">
      <c r="A1211" s="2">
        <v>40848</v>
      </c>
      <c r="B1211" s="3" t="s">
        <v>31</v>
      </c>
      <c r="C1211" s="3" t="s">
        <v>32</v>
      </c>
      <c r="D1211" s="3" t="s">
        <v>33</v>
      </c>
      <c r="E1211" s="3" t="s">
        <v>34</v>
      </c>
      <c r="F1211" s="3">
        <v>744.77</v>
      </c>
      <c r="G1211" s="3" t="s">
        <v>35</v>
      </c>
      <c r="H1211" s="3" t="s">
        <v>36</v>
      </c>
      <c r="I1211" s="3">
        <f>IF(C1211="India",1,IF(C1211="USA",INDEX('Currency Master'!B:B,MATCH(DATE(N1211,MONTH(DATEVALUE(O1211&amp;" 1")),1),'Currency Master'!A:A,0)),IF(C1211="Australia",INDEX('Currency Master'!T:T,MATCH(DATE(N1211,MONTH(DATEVALUE(O1211&amp;" 1")),1),'Currency Master'!A:A,0)),"")))</f>
        <v>47.893999999999998</v>
      </c>
      <c r="J1211" s="3">
        <f t="shared" si="72"/>
        <v>356.7</v>
      </c>
      <c r="K1211" s="3" t="str">
        <f t="shared" si="73"/>
        <v>₹/Kg</v>
      </c>
      <c r="L1211" s="3">
        <v>5.67E-2</v>
      </c>
      <c r="M1211" s="3"/>
      <c r="N1211" s="3">
        <f t="shared" si="74"/>
        <v>2011</v>
      </c>
      <c r="O1211" s="3" t="str">
        <f t="shared" si="75"/>
        <v>November</v>
      </c>
      <c r="P1211" s="3" t="s">
        <v>37</v>
      </c>
      <c r="Q1211" s="3"/>
    </row>
    <row r="1212" spans="1:17" hidden="1" x14ac:dyDescent="0.3">
      <c r="A1212" s="2">
        <v>40817</v>
      </c>
      <c r="B1212" s="3" t="s">
        <v>31</v>
      </c>
      <c r="C1212" s="3" t="s">
        <v>32</v>
      </c>
      <c r="D1212" s="3" t="s">
        <v>33</v>
      </c>
      <c r="E1212" s="3" t="s">
        <v>34</v>
      </c>
      <c r="F1212" s="3">
        <v>704.79</v>
      </c>
      <c r="G1212" s="3" t="s">
        <v>35</v>
      </c>
      <c r="H1212" s="3" t="s">
        <v>36</v>
      </c>
      <c r="I1212" s="3">
        <f>IF(C1212="India",1,IF(C1212="USA",INDEX('Currency Master'!B:B,MATCH(DATE(N1212,MONTH(DATEVALUE(O1212&amp;" 1")),1),'Currency Master'!A:A,0)),IF(C1212="Australia",INDEX('Currency Master'!T:T,MATCH(DATE(N1212,MONTH(DATEVALUE(O1212&amp;" 1")),1),'Currency Master'!A:A,0)),"")))</f>
        <v>48.069000000000003</v>
      </c>
      <c r="J1212" s="3">
        <f t="shared" si="72"/>
        <v>338.79</v>
      </c>
      <c r="K1212" s="3" t="str">
        <f t="shared" si="73"/>
        <v>₹/Kg</v>
      </c>
      <c r="L1212" s="3">
        <v>-7.3099999999999998E-2</v>
      </c>
      <c r="M1212" s="3"/>
      <c r="N1212" s="3">
        <f t="shared" si="74"/>
        <v>2011</v>
      </c>
      <c r="O1212" s="3" t="str">
        <f t="shared" si="75"/>
        <v>October</v>
      </c>
      <c r="P1212" s="3" t="s">
        <v>37</v>
      </c>
      <c r="Q1212" s="3"/>
    </row>
    <row r="1213" spans="1:17" hidden="1" x14ac:dyDescent="0.3">
      <c r="A1213" s="2">
        <v>40787</v>
      </c>
      <c r="B1213" s="3" t="s">
        <v>31</v>
      </c>
      <c r="C1213" s="3" t="s">
        <v>32</v>
      </c>
      <c r="D1213" s="3" t="s">
        <v>33</v>
      </c>
      <c r="E1213" s="3" t="s">
        <v>34</v>
      </c>
      <c r="F1213" s="3">
        <v>760.4</v>
      </c>
      <c r="G1213" s="3" t="s">
        <v>35</v>
      </c>
      <c r="H1213" s="3" t="s">
        <v>36</v>
      </c>
      <c r="I1213" s="3">
        <f>IF(C1213="India",1,IF(C1213="USA",INDEX('Currency Master'!B:B,MATCH(DATE(N1213,MONTH(DATEVALUE(O1213&amp;" 1")),1),'Currency Master'!A:A,0)),IF(C1213="Australia",INDEX('Currency Master'!T:T,MATCH(DATE(N1213,MONTH(DATEVALUE(O1213&amp;" 1")),1),'Currency Master'!A:A,0)),"")))</f>
        <v>48.509</v>
      </c>
      <c r="J1213" s="3">
        <f t="shared" si="72"/>
        <v>368.86</v>
      </c>
      <c r="K1213" s="3" t="str">
        <f t="shared" si="73"/>
        <v>₹/Kg</v>
      </c>
      <c r="L1213" s="3">
        <v>1.44E-2</v>
      </c>
      <c r="M1213" s="3"/>
      <c r="N1213" s="3">
        <f t="shared" si="74"/>
        <v>2011</v>
      </c>
      <c r="O1213" s="3" t="str">
        <f t="shared" si="75"/>
        <v>September</v>
      </c>
      <c r="P1213" s="3" t="s">
        <v>37</v>
      </c>
      <c r="Q1213" s="3"/>
    </row>
    <row r="1214" spans="1:17" hidden="1" x14ac:dyDescent="0.3">
      <c r="A1214" s="2">
        <v>40756</v>
      </c>
      <c r="B1214" s="3" t="s">
        <v>31</v>
      </c>
      <c r="C1214" s="3" t="s">
        <v>32</v>
      </c>
      <c r="D1214" s="3" t="s">
        <v>33</v>
      </c>
      <c r="E1214" s="3" t="s">
        <v>34</v>
      </c>
      <c r="F1214" s="3">
        <v>749.63</v>
      </c>
      <c r="G1214" s="3" t="s">
        <v>35</v>
      </c>
      <c r="H1214" s="3" t="s">
        <v>36</v>
      </c>
      <c r="I1214" s="3">
        <f>IF(C1214="India",1,IF(C1214="USA",INDEX('Currency Master'!B:B,MATCH(DATE(N1214,MONTH(DATEVALUE(O1214&amp;" 1")),1),'Currency Master'!A:A,0)),IF(C1214="Australia",INDEX('Currency Master'!T:T,MATCH(DATE(N1214,MONTH(DATEVALUE(O1214&amp;" 1")),1),'Currency Master'!A:A,0)),"")))</f>
        <v>45.975999999999999</v>
      </c>
      <c r="J1214" s="3">
        <f t="shared" si="72"/>
        <v>344.65</v>
      </c>
      <c r="K1214" s="3" t="str">
        <f t="shared" si="73"/>
        <v>₹/Kg</v>
      </c>
      <c r="L1214" s="3">
        <v>-4.9700000000000001E-2</v>
      </c>
      <c r="M1214" s="3"/>
      <c r="N1214" s="3">
        <f t="shared" si="74"/>
        <v>2011</v>
      </c>
      <c r="O1214" s="3" t="str">
        <f t="shared" si="75"/>
        <v>August</v>
      </c>
      <c r="P1214" s="3" t="s">
        <v>37</v>
      </c>
      <c r="Q1214" s="3"/>
    </row>
    <row r="1215" spans="1:17" hidden="1" x14ac:dyDescent="0.3">
      <c r="A1215" s="2">
        <v>40725</v>
      </c>
      <c r="B1215" s="3" t="s">
        <v>31</v>
      </c>
      <c r="C1215" s="3" t="s">
        <v>32</v>
      </c>
      <c r="D1215" s="3" t="s">
        <v>33</v>
      </c>
      <c r="E1215" s="3" t="s">
        <v>34</v>
      </c>
      <c r="F1215" s="3">
        <v>788.8</v>
      </c>
      <c r="G1215" s="3" t="s">
        <v>35</v>
      </c>
      <c r="H1215" s="3" t="s">
        <v>36</v>
      </c>
      <c r="I1215" s="3">
        <f>IF(C1215="India",1,IF(C1215="USA",INDEX('Currency Master'!B:B,MATCH(DATE(N1215,MONTH(DATEVALUE(O1215&amp;" 1")),1),'Currency Master'!A:A,0)),IF(C1215="Australia",INDEX('Currency Master'!T:T,MATCH(DATE(N1215,MONTH(DATEVALUE(O1215&amp;" 1")),1),'Currency Master'!A:A,0)),"")))</f>
        <v>46.088000000000001</v>
      </c>
      <c r="J1215" s="3">
        <f t="shared" si="72"/>
        <v>363.54</v>
      </c>
      <c r="K1215" s="3" t="str">
        <f t="shared" si="73"/>
        <v>₹/Kg</v>
      </c>
      <c r="L1215" s="3">
        <v>-5.7200000000000001E-2</v>
      </c>
      <c r="M1215" s="3"/>
      <c r="N1215" s="3">
        <f t="shared" si="74"/>
        <v>2011</v>
      </c>
      <c r="O1215" s="3" t="str">
        <f t="shared" si="75"/>
        <v>July</v>
      </c>
      <c r="P1215" s="3" t="s">
        <v>37</v>
      </c>
      <c r="Q1215" s="3"/>
    </row>
    <row r="1216" spans="1:17" hidden="1" x14ac:dyDescent="0.3">
      <c r="A1216" s="2">
        <v>40695</v>
      </c>
      <c r="B1216" s="3" t="s">
        <v>31</v>
      </c>
      <c r="C1216" s="3" t="s">
        <v>32</v>
      </c>
      <c r="D1216" s="3" t="s">
        <v>33</v>
      </c>
      <c r="E1216" s="3" t="s">
        <v>34</v>
      </c>
      <c r="F1216" s="3">
        <v>836.68</v>
      </c>
      <c r="G1216" s="3" t="s">
        <v>35</v>
      </c>
      <c r="H1216" s="3" t="s">
        <v>36</v>
      </c>
      <c r="I1216" s="3">
        <f>IF(C1216="India",1,IF(C1216="USA",INDEX('Currency Master'!B:B,MATCH(DATE(N1216,MONTH(DATEVALUE(O1216&amp;" 1")),1),'Currency Master'!A:A,0)),IF(C1216="Australia",INDEX('Currency Master'!T:T,MATCH(DATE(N1216,MONTH(DATEVALUE(O1216&amp;" 1")),1),'Currency Master'!A:A,0)),"")))</f>
        <v>45.634999999999998</v>
      </c>
      <c r="J1216" s="3">
        <f t="shared" si="72"/>
        <v>381.82</v>
      </c>
      <c r="K1216" s="3" t="str">
        <f t="shared" si="73"/>
        <v>₹/Kg</v>
      </c>
      <c r="L1216" s="3">
        <v>3.9399999999999998E-2</v>
      </c>
      <c r="M1216" s="3"/>
      <c r="N1216" s="3">
        <f t="shared" si="74"/>
        <v>2011</v>
      </c>
      <c r="O1216" s="3" t="str">
        <f t="shared" si="75"/>
        <v>June</v>
      </c>
      <c r="P1216" s="3" t="s">
        <v>37</v>
      </c>
      <c r="Q1216" s="3"/>
    </row>
    <row r="1217" spans="1:17" hidden="1" x14ac:dyDescent="0.3">
      <c r="A1217" s="2">
        <v>40664</v>
      </c>
      <c r="B1217" s="3" t="s">
        <v>31</v>
      </c>
      <c r="C1217" s="3" t="s">
        <v>32</v>
      </c>
      <c r="D1217" s="3" t="s">
        <v>33</v>
      </c>
      <c r="E1217" s="3" t="s">
        <v>34</v>
      </c>
      <c r="F1217" s="3">
        <v>804.95</v>
      </c>
      <c r="G1217" s="3" t="s">
        <v>35</v>
      </c>
      <c r="H1217" s="3" t="s">
        <v>36</v>
      </c>
      <c r="I1217" s="3">
        <f>IF(C1217="India",1,IF(C1217="USA",INDEX('Currency Master'!B:B,MATCH(DATE(N1217,MONTH(DATEVALUE(O1217&amp;" 1")),1),'Currency Master'!A:A,0)),IF(C1217="Australia",INDEX('Currency Master'!T:T,MATCH(DATE(N1217,MONTH(DATEVALUE(O1217&amp;" 1")),1),'Currency Master'!A:A,0)),"")))</f>
        <v>45.728000000000002</v>
      </c>
      <c r="J1217" s="3">
        <f t="shared" si="72"/>
        <v>368.09</v>
      </c>
      <c r="K1217" s="3" t="str">
        <f t="shared" si="73"/>
        <v>₹/Kg</v>
      </c>
      <c r="L1217" s="3">
        <v>4.0099999999999997E-2</v>
      </c>
      <c r="M1217" s="3"/>
      <c r="N1217" s="3">
        <f t="shared" si="74"/>
        <v>2011</v>
      </c>
      <c r="O1217" s="3" t="str">
        <f t="shared" si="75"/>
        <v>May</v>
      </c>
      <c r="P1217" s="3" t="s">
        <v>37</v>
      </c>
      <c r="Q1217" s="3"/>
    </row>
    <row r="1218" spans="1:17" hidden="1" x14ac:dyDescent="0.3">
      <c r="A1218" s="2">
        <v>40634</v>
      </c>
      <c r="B1218" s="3" t="s">
        <v>31</v>
      </c>
      <c r="C1218" s="3" t="s">
        <v>32</v>
      </c>
      <c r="D1218" s="3" t="s">
        <v>33</v>
      </c>
      <c r="E1218" s="3" t="s">
        <v>34</v>
      </c>
      <c r="F1218" s="3">
        <v>773.94</v>
      </c>
      <c r="G1218" s="3" t="s">
        <v>35</v>
      </c>
      <c r="H1218" s="3" t="s">
        <v>36</v>
      </c>
      <c r="I1218" s="3">
        <f>IF(C1218="India",1,IF(C1218="USA",INDEX('Currency Master'!B:B,MATCH(DATE(N1218,MONTH(DATEVALUE(O1218&amp;" 1")),1),'Currency Master'!A:A,0)),IF(C1218="Australia",INDEX('Currency Master'!T:T,MATCH(DATE(N1218,MONTH(DATEVALUE(O1218&amp;" 1")),1),'Currency Master'!A:A,0)),"")))</f>
        <v>43.844000000000001</v>
      </c>
      <c r="J1218" s="3">
        <f t="shared" si="72"/>
        <v>339.33</v>
      </c>
      <c r="K1218" s="3" t="str">
        <f t="shared" si="73"/>
        <v>₹/Kg</v>
      </c>
      <c r="L1218" s="3">
        <v>1.0200000000000001E-2</v>
      </c>
      <c r="M1218" s="3"/>
      <c r="N1218" s="3">
        <f t="shared" si="74"/>
        <v>2011</v>
      </c>
      <c r="O1218" s="3" t="str">
        <f t="shared" si="75"/>
        <v>April</v>
      </c>
      <c r="P1218" s="3" t="s">
        <v>37</v>
      </c>
      <c r="Q1218" s="3"/>
    </row>
    <row r="1219" spans="1:17" hidden="1" x14ac:dyDescent="0.3">
      <c r="A1219" s="2">
        <v>40603</v>
      </c>
      <c r="B1219" s="3" t="s">
        <v>31</v>
      </c>
      <c r="C1219" s="3" t="s">
        <v>32</v>
      </c>
      <c r="D1219" s="3" t="s">
        <v>33</v>
      </c>
      <c r="E1219" s="3" t="s">
        <v>34</v>
      </c>
      <c r="F1219" s="3">
        <v>766.16</v>
      </c>
      <c r="G1219" s="3" t="s">
        <v>35</v>
      </c>
      <c r="H1219" s="3" t="s">
        <v>36</v>
      </c>
      <c r="I1219" s="3">
        <f>IF(C1219="India",1,IF(C1219="USA",INDEX('Currency Master'!B:B,MATCH(DATE(N1219,MONTH(DATEVALUE(O1219&amp;" 1")),1),'Currency Master'!A:A,0)),IF(C1219="Australia",INDEX('Currency Master'!T:T,MATCH(DATE(N1219,MONTH(DATEVALUE(O1219&amp;" 1")),1),'Currency Master'!A:A,0)),"")))</f>
        <v>43.573999999999998</v>
      </c>
      <c r="J1219" s="3">
        <f t="shared" ref="J1219:J1282" si="76">IF(C1219="India",F1219,IF(C1219="USA",IF(G1219="US Cents/Lb",ROUND(((F1219/100)/0.453592)*I1219*356,0),F1219),IF(C1219="Australia",IF(G1219="AUc/kg",ROUND((F1219/100)*I1219,2),F1219),"")))</f>
        <v>333.85</v>
      </c>
      <c r="K1219" s="3" t="str">
        <f t="shared" ref="K1219:K1282" si="77">IF(C1219="India",G1219,IF(C1219="USA","₹/Candy",IF(C1219="Australia","₹/Kg","")))</f>
        <v>₹/Kg</v>
      </c>
      <c r="L1219" s="3">
        <v>3.2099999999999997E-2</v>
      </c>
      <c r="M1219" s="3"/>
      <c r="N1219" s="3">
        <f t="shared" ref="N1219:N1282" si="78">YEAR(A1219)</f>
        <v>2011</v>
      </c>
      <c r="O1219" s="3" t="str">
        <f t="shared" ref="O1219:O1282" si="79">TEXT(A1219,"mmmm")</f>
        <v>March</v>
      </c>
      <c r="P1219" s="3" t="s">
        <v>37</v>
      </c>
      <c r="Q1219" s="3"/>
    </row>
    <row r="1220" spans="1:17" hidden="1" x14ac:dyDescent="0.3">
      <c r="A1220" s="2">
        <v>40575</v>
      </c>
      <c r="B1220" s="3" t="s">
        <v>31</v>
      </c>
      <c r="C1220" s="3" t="s">
        <v>32</v>
      </c>
      <c r="D1220" s="3" t="s">
        <v>33</v>
      </c>
      <c r="E1220" s="3" t="s">
        <v>34</v>
      </c>
      <c r="F1220" s="3">
        <v>742.33</v>
      </c>
      <c r="G1220" s="3" t="s">
        <v>35</v>
      </c>
      <c r="H1220" s="3" t="s">
        <v>36</v>
      </c>
      <c r="I1220" s="3">
        <f>IF(C1220="India",1,IF(C1220="USA",INDEX('Currency Master'!B:B,MATCH(DATE(N1220,MONTH(DATEVALUE(O1220&amp;" 1")),1),'Currency Master'!A:A,0)),IF(C1220="Australia",INDEX('Currency Master'!T:T,MATCH(DATE(N1220,MONTH(DATEVALUE(O1220&amp;" 1")),1),'Currency Master'!A:A,0)),"")))</f>
        <v>43.076000000000001</v>
      </c>
      <c r="J1220" s="3">
        <f t="shared" si="76"/>
        <v>319.77</v>
      </c>
      <c r="K1220" s="3" t="str">
        <f t="shared" si="77"/>
        <v>₹/Kg</v>
      </c>
      <c r="L1220" s="3">
        <v>5.57E-2</v>
      </c>
      <c r="M1220" s="3"/>
      <c r="N1220" s="3">
        <f t="shared" si="78"/>
        <v>2011</v>
      </c>
      <c r="O1220" s="3" t="str">
        <f t="shared" si="79"/>
        <v>February</v>
      </c>
      <c r="P1220" s="3" t="s">
        <v>37</v>
      </c>
      <c r="Q1220" s="3"/>
    </row>
    <row r="1221" spans="1:17" hidden="1" x14ac:dyDescent="0.3">
      <c r="A1221" s="2">
        <v>40544</v>
      </c>
      <c r="B1221" s="3" t="s">
        <v>31</v>
      </c>
      <c r="C1221" s="3" t="s">
        <v>32</v>
      </c>
      <c r="D1221" s="3" t="s">
        <v>33</v>
      </c>
      <c r="E1221" s="3" t="s">
        <v>34</v>
      </c>
      <c r="F1221" s="3">
        <v>703.18</v>
      </c>
      <c r="G1221" s="3" t="s">
        <v>35</v>
      </c>
      <c r="H1221" s="3" t="s">
        <v>36</v>
      </c>
      <c r="I1221" s="3">
        <f>IF(C1221="India",1,IF(C1221="USA",INDEX('Currency Master'!B:B,MATCH(DATE(N1221,MONTH(DATEVALUE(O1221&amp;" 1")),1),'Currency Master'!A:A,0)),IF(C1221="Australia",INDEX('Currency Master'!T:T,MATCH(DATE(N1221,MONTH(DATEVALUE(O1221&amp;" 1")),1),'Currency Master'!A:A,0)),"")))</f>
        <v>41.893000000000001</v>
      </c>
      <c r="J1221" s="3">
        <f t="shared" si="76"/>
        <v>294.58</v>
      </c>
      <c r="K1221" s="3" t="str">
        <f t="shared" si="77"/>
        <v>₹/Kg</v>
      </c>
      <c r="L1221" s="3">
        <v>0.22950000000000001</v>
      </c>
      <c r="M1221" s="3"/>
      <c r="N1221" s="3">
        <f t="shared" si="78"/>
        <v>2011</v>
      </c>
      <c r="O1221" s="3" t="str">
        <f t="shared" si="79"/>
        <v>January</v>
      </c>
      <c r="P1221" s="3" t="s">
        <v>37</v>
      </c>
      <c r="Q1221" s="3"/>
    </row>
    <row r="1222" spans="1:17" hidden="1" x14ac:dyDescent="0.3">
      <c r="A1222" s="2">
        <v>40513</v>
      </c>
      <c r="B1222" s="3" t="s">
        <v>31</v>
      </c>
      <c r="C1222" s="3" t="s">
        <v>32</v>
      </c>
      <c r="D1222" s="3" t="s">
        <v>33</v>
      </c>
      <c r="E1222" s="3" t="s">
        <v>34</v>
      </c>
      <c r="F1222" s="3">
        <v>571.91999999999996</v>
      </c>
      <c r="G1222" s="3" t="s">
        <v>35</v>
      </c>
      <c r="H1222" s="3" t="s">
        <v>36</v>
      </c>
      <c r="I1222" s="3">
        <f>IF(C1222="India",1,IF(C1222="USA",INDEX('Currency Master'!B:B,MATCH(DATE(N1222,MONTH(DATEVALUE(O1222&amp;" 1")),1),'Currency Master'!A:A,0)),IF(C1222="Australia",INDEX('Currency Master'!T:T,MATCH(DATE(N1222,MONTH(DATEVALUE(O1222&amp;" 1")),1),'Currency Master'!A:A,0)),"")))</f>
        <v>41.957999999999998</v>
      </c>
      <c r="J1222" s="3">
        <f t="shared" si="76"/>
        <v>239.97</v>
      </c>
      <c r="K1222" s="3" t="str">
        <f t="shared" si="77"/>
        <v>₹/Kg</v>
      </c>
      <c r="L1222" s="3">
        <v>9.0200000000000002E-2</v>
      </c>
      <c r="M1222" s="3"/>
      <c r="N1222" s="3">
        <f t="shared" si="78"/>
        <v>2010</v>
      </c>
      <c r="O1222" s="3" t="str">
        <f t="shared" si="79"/>
        <v>December</v>
      </c>
      <c r="P1222" s="3" t="s">
        <v>37</v>
      </c>
      <c r="Q1222" s="3"/>
    </row>
    <row r="1223" spans="1:17" hidden="1" x14ac:dyDescent="0.3">
      <c r="A1223" s="2">
        <v>40483</v>
      </c>
      <c r="B1223" s="3" t="s">
        <v>31</v>
      </c>
      <c r="C1223" s="3" t="s">
        <v>32</v>
      </c>
      <c r="D1223" s="3" t="s">
        <v>33</v>
      </c>
      <c r="E1223" s="3" t="s">
        <v>34</v>
      </c>
      <c r="F1223" s="3">
        <v>524.58000000000004</v>
      </c>
      <c r="G1223" s="3" t="s">
        <v>35</v>
      </c>
      <c r="H1223" s="3" t="s">
        <v>36</v>
      </c>
      <c r="I1223" s="3">
        <f>IF(C1223="India",1,IF(C1223="USA",INDEX('Currency Master'!B:B,MATCH(DATE(N1223,MONTH(DATEVALUE(O1223&amp;" 1")),1),'Currency Master'!A:A,0)),IF(C1223="Australia",INDEX('Currency Master'!T:T,MATCH(DATE(N1223,MONTH(DATEVALUE(O1223&amp;" 1")),1),'Currency Master'!A:A,0)),"")))</f>
        <v>39.014000000000003</v>
      </c>
      <c r="J1223" s="3">
        <f t="shared" si="76"/>
        <v>204.66</v>
      </c>
      <c r="K1223" s="3" t="str">
        <f t="shared" si="77"/>
        <v>₹/Kg</v>
      </c>
      <c r="L1223" s="3">
        <v>8.8800000000000004E-2</v>
      </c>
      <c r="M1223" s="3"/>
      <c r="N1223" s="3">
        <f t="shared" si="78"/>
        <v>2010</v>
      </c>
      <c r="O1223" s="3" t="str">
        <f t="shared" si="79"/>
        <v>November</v>
      </c>
      <c r="P1223" s="3" t="s">
        <v>37</v>
      </c>
      <c r="Q1223" s="3"/>
    </row>
    <row r="1224" spans="1:17" hidden="1" x14ac:dyDescent="0.3">
      <c r="A1224" s="2">
        <v>40452</v>
      </c>
      <c r="B1224" s="3" t="s">
        <v>31</v>
      </c>
      <c r="C1224" s="3" t="s">
        <v>32</v>
      </c>
      <c r="D1224" s="3" t="s">
        <v>33</v>
      </c>
      <c r="E1224" s="3" t="s">
        <v>34</v>
      </c>
      <c r="F1224" s="3">
        <v>481.81</v>
      </c>
      <c r="G1224" s="3" t="s">
        <v>35</v>
      </c>
      <c r="H1224" s="3" t="s">
        <v>36</v>
      </c>
      <c r="I1224" s="3">
        <f>IF(C1224="India",1,IF(C1224="USA",INDEX('Currency Master'!B:B,MATCH(DATE(N1224,MONTH(DATEVALUE(O1224&amp;" 1")),1),'Currency Master'!A:A,0)),IF(C1224="Australia",INDEX('Currency Master'!T:T,MATCH(DATE(N1224,MONTH(DATEVALUE(O1224&amp;" 1")),1),'Currency Master'!A:A,0)),"")))</f>
        <v>39.25</v>
      </c>
      <c r="J1224" s="3">
        <f t="shared" si="76"/>
        <v>189.11</v>
      </c>
      <c r="K1224" s="3" t="str">
        <f t="shared" si="77"/>
        <v>₹/Kg</v>
      </c>
      <c r="L1224" s="3">
        <v>5.8999999999999997E-2</v>
      </c>
      <c r="M1224" s="3"/>
      <c r="N1224" s="3">
        <f t="shared" si="78"/>
        <v>2010</v>
      </c>
      <c r="O1224" s="3" t="str">
        <f t="shared" si="79"/>
        <v>October</v>
      </c>
      <c r="P1224" s="3" t="s">
        <v>37</v>
      </c>
      <c r="Q1224" s="3"/>
    </row>
    <row r="1225" spans="1:17" hidden="1" x14ac:dyDescent="0.3">
      <c r="A1225" s="2">
        <v>40422</v>
      </c>
      <c r="B1225" s="3" t="s">
        <v>31</v>
      </c>
      <c r="C1225" s="3" t="s">
        <v>32</v>
      </c>
      <c r="D1225" s="3" t="s">
        <v>33</v>
      </c>
      <c r="E1225" s="3" t="s">
        <v>34</v>
      </c>
      <c r="F1225" s="3">
        <v>454.95</v>
      </c>
      <c r="G1225" s="3" t="s">
        <v>35</v>
      </c>
      <c r="H1225" s="3" t="s">
        <v>36</v>
      </c>
      <c r="I1225" s="3">
        <f>IF(C1225="India",1,IF(C1225="USA",INDEX('Currency Master'!B:B,MATCH(DATE(N1225,MONTH(DATEVALUE(O1225&amp;" 1")),1),'Currency Master'!A:A,0)),IF(C1225="Australia",INDEX('Currency Master'!T:T,MATCH(DATE(N1225,MONTH(DATEVALUE(O1225&amp;" 1")),1),'Currency Master'!A:A,0)),"")))</f>
        <v>40.939</v>
      </c>
      <c r="J1225" s="3">
        <f t="shared" si="76"/>
        <v>186.25</v>
      </c>
      <c r="K1225" s="3" t="str">
        <f t="shared" si="77"/>
        <v>₹/Kg</v>
      </c>
      <c r="L1225" s="3">
        <v>4.4200000000000003E-2</v>
      </c>
      <c r="M1225" s="3"/>
      <c r="N1225" s="3">
        <f t="shared" si="78"/>
        <v>2010</v>
      </c>
      <c r="O1225" s="3" t="str">
        <f t="shared" si="79"/>
        <v>September</v>
      </c>
      <c r="P1225" s="3" t="s">
        <v>37</v>
      </c>
      <c r="Q1225" s="3"/>
    </row>
    <row r="1226" spans="1:17" hidden="1" x14ac:dyDescent="0.3">
      <c r="A1226" s="2">
        <v>40391</v>
      </c>
      <c r="B1226" s="3" t="s">
        <v>31</v>
      </c>
      <c r="C1226" s="3" t="s">
        <v>32</v>
      </c>
      <c r="D1226" s="3" t="s">
        <v>33</v>
      </c>
      <c r="E1226" s="3" t="s">
        <v>34</v>
      </c>
      <c r="F1226" s="3">
        <v>435.67</v>
      </c>
      <c r="G1226" s="3" t="s">
        <v>35</v>
      </c>
      <c r="H1226" s="3" t="s">
        <v>36</v>
      </c>
      <c r="I1226" s="3">
        <f>IF(C1226="India",1,IF(C1226="USA",INDEX('Currency Master'!B:B,MATCH(DATE(N1226,MONTH(DATEVALUE(O1226&amp;" 1")),1),'Currency Master'!A:A,0)),IF(C1226="Australia",INDEX('Currency Master'!T:T,MATCH(DATE(N1226,MONTH(DATEVALUE(O1226&amp;" 1")),1),'Currency Master'!A:A,0)),"")))</f>
        <v>41.106000000000002</v>
      </c>
      <c r="J1226" s="3">
        <f t="shared" si="76"/>
        <v>179.09</v>
      </c>
      <c r="K1226" s="3" t="str">
        <f t="shared" si="77"/>
        <v>₹/Kg</v>
      </c>
      <c r="L1226" s="3">
        <v>1.21E-2</v>
      </c>
      <c r="M1226" s="3"/>
      <c r="N1226" s="3">
        <f t="shared" si="78"/>
        <v>2010</v>
      </c>
      <c r="O1226" s="3" t="str">
        <f t="shared" si="79"/>
        <v>August</v>
      </c>
      <c r="P1226" s="3" t="s">
        <v>37</v>
      </c>
      <c r="Q1226" s="3"/>
    </row>
    <row r="1227" spans="1:17" hidden="1" x14ac:dyDescent="0.3">
      <c r="A1227" s="2">
        <v>40360</v>
      </c>
      <c r="B1227" s="3" t="s">
        <v>31</v>
      </c>
      <c r="C1227" s="3" t="s">
        <v>32</v>
      </c>
      <c r="D1227" s="3" t="s">
        <v>33</v>
      </c>
      <c r="E1227" s="3" t="s">
        <v>34</v>
      </c>
      <c r="F1227" s="3">
        <v>430.45</v>
      </c>
      <c r="G1227" s="3" t="s">
        <v>35</v>
      </c>
      <c r="H1227" s="3" t="s">
        <v>36</v>
      </c>
      <c r="I1227" s="3">
        <f>IF(C1227="India",1,IF(C1227="USA",INDEX('Currency Master'!B:B,MATCH(DATE(N1227,MONTH(DATEVALUE(O1227&amp;" 1")),1),'Currency Master'!A:A,0)),IF(C1227="Australia",INDEX('Currency Master'!T:T,MATCH(DATE(N1227,MONTH(DATEVALUE(O1227&amp;" 1")),1),'Currency Master'!A:A,0)),"")))</f>
        <v>41.268999999999998</v>
      </c>
      <c r="J1227" s="3">
        <f t="shared" si="76"/>
        <v>177.64</v>
      </c>
      <c r="K1227" s="3" t="str">
        <f t="shared" si="77"/>
        <v>₹/Kg</v>
      </c>
      <c r="L1227" s="3">
        <v>5.3E-3</v>
      </c>
      <c r="M1227" s="3"/>
      <c r="N1227" s="3">
        <f t="shared" si="78"/>
        <v>2010</v>
      </c>
      <c r="O1227" s="3" t="str">
        <f t="shared" si="79"/>
        <v>July</v>
      </c>
      <c r="P1227" s="3" t="s">
        <v>37</v>
      </c>
      <c r="Q1227" s="3"/>
    </row>
    <row r="1228" spans="1:17" hidden="1" x14ac:dyDescent="0.3">
      <c r="A1228" s="2">
        <v>40330</v>
      </c>
      <c r="B1228" s="3" t="s">
        <v>31</v>
      </c>
      <c r="C1228" s="3" t="s">
        <v>32</v>
      </c>
      <c r="D1228" s="3" t="s">
        <v>33</v>
      </c>
      <c r="E1228" s="3" t="s">
        <v>34</v>
      </c>
      <c r="F1228" s="3">
        <v>428.17</v>
      </c>
      <c r="G1228" s="3" t="s">
        <v>35</v>
      </c>
      <c r="H1228" s="3" t="s">
        <v>36</v>
      </c>
      <c r="I1228" s="3">
        <f>IF(C1228="India",1,IF(C1228="USA",INDEX('Currency Master'!B:B,MATCH(DATE(N1228,MONTH(DATEVALUE(O1228&amp;" 1")),1),'Currency Master'!A:A,0)),IF(C1228="Australia",INDEX('Currency Master'!T:T,MATCH(DATE(N1228,MONTH(DATEVALUE(O1228&amp;" 1")),1),'Currency Master'!A:A,0)),"")))</f>
        <v>40.823</v>
      </c>
      <c r="J1228" s="3">
        <f t="shared" si="76"/>
        <v>174.79</v>
      </c>
      <c r="K1228" s="3" t="str">
        <f t="shared" si="77"/>
        <v>₹/Kg</v>
      </c>
      <c r="L1228" s="3">
        <v>1.7399999999999999E-2</v>
      </c>
      <c r="M1228" s="3"/>
      <c r="N1228" s="3">
        <f t="shared" si="78"/>
        <v>2010</v>
      </c>
      <c r="O1228" s="3" t="str">
        <f t="shared" si="79"/>
        <v>June</v>
      </c>
      <c r="P1228" s="3" t="s">
        <v>37</v>
      </c>
      <c r="Q1228" s="3"/>
    </row>
    <row r="1229" spans="1:17" hidden="1" x14ac:dyDescent="0.3">
      <c r="A1229" s="2">
        <v>40299</v>
      </c>
      <c r="B1229" s="3" t="s">
        <v>31</v>
      </c>
      <c r="C1229" s="3" t="s">
        <v>32</v>
      </c>
      <c r="D1229" s="3" t="s">
        <v>33</v>
      </c>
      <c r="E1229" s="3" t="s">
        <v>34</v>
      </c>
      <c r="F1229" s="3">
        <v>420.83</v>
      </c>
      <c r="G1229" s="3" t="s">
        <v>35</v>
      </c>
      <c r="H1229" s="3" t="s">
        <v>36</v>
      </c>
      <c r="I1229" s="3">
        <f>IF(C1229="India",1,IF(C1229="USA",INDEX('Currency Master'!B:B,MATCH(DATE(N1229,MONTH(DATEVALUE(O1229&amp;" 1")),1),'Currency Master'!A:A,0)),IF(C1229="Australia",INDEX('Currency Master'!T:T,MATCH(DATE(N1229,MONTH(DATEVALUE(O1229&amp;" 1")),1),'Currency Master'!A:A,0)),"")))</f>
        <v>41.646000000000001</v>
      </c>
      <c r="J1229" s="3">
        <f t="shared" si="76"/>
        <v>175.26</v>
      </c>
      <c r="K1229" s="3" t="str">
        <f t="shared" si="77"/>
        <v>₹/Kg</v>
      </c>
      <c r="L1229" s="3">
        <v>-4.65E-2</v>
      </c>
      <c r="M1229" s="3"/>
      <c r="N1229" s="3">
        <f t="shared" si="78"/>
        <v>2010</v>
      </c>
      <c r="O1229" s="3" t="str">
        <f t="shared" si="79"/>
        <v>May</v>
      </c>
      <c r="P1229" s="3" t="s">
        <v>37</v>
      </c>
      <c r="Q1229" s="3"/>
    </row>
    <row r="1230" spans="1:17" hidden="1" x14ac:dyDescent="0.3">
      <c r="A1230" s="2">
        <v>40269</v>
      </c>
      <c r="B1230" s="3" t="s">
        <v>31</v>
      </c>
      <c r="C1230" s="3" t="s">
        <v>32</v>
      </c>
      <c r="D1230" s="3" t="s">
        <v>33</v>
      </c>
      <c r="E1230" s="3" t="s">
        <v>34</v>
      </c>
      <c r="F1230" s="3">
        <v>441.35</v>
      </c>
      <c r="G1230" s="3" t="s">
        <v>35</v>
      </c>
      <c r="H1230" s="3" t="s">
        <v>36</v>
      </c>
      <c r="I1230" s="3">
        <f>IF(C1230="India",1,IF(C1230="USA",INDEX('Currency Master'!B:B,MATCH(DATE(N1230,MONTH(DATEVALUE(O1230&amp;" 1")),1),'Currency Master'!A:A,0)),IF(C1230="Australia",INDEX('Currency Master'!T:T,MATCH(DATE(N1230,MONTH(DATEVALUE(O1230&amp;" 1")),1),'Currency Master'!A:A,0)),"")))</f>
        <v>42.587000000000003</v>
      </c>
      <c r="J1230" s="3">
        <f t="shared" si="76"/>
        <v>187.96</v>
      </c>
      <c r="K1230" s="3" t="str">
        <f t="shared" si="77"/>
        <v>₹/Kg</v>
      </c>
      <c r="L1230" s="3">
        <v>-3.3700000000000001E-2</v>
      </c>
      <c r="M1230" s="3"/>
      <c r="N1230" s="3">
        <f t="shared" si="78"/>
        <v>2010</v>
      </c>
      <c r="O1230" s="3" t="str">
        <f t="shared" si="79"/>
        <v>April</v>
      </c>
      <c r="P1230" s="3" t="s">
        <v>37</v>
      </c>
      <c r="Q1230" s="3"/>
    </row>
    <row r="1231" spans="1:17" hidden="1" x14ac:dyDescent="0.3">
      <c r="A1231" s="2">
        <v>40238</v>
      </c>
      <c r="B1231" s="3" t="s">
        <v>31</v>
      </c>
      <c r="C1231" s="3" t="s">
        <v>32</v>
      </c>
      <c r="D1231" s="3" t="s">
        <v>33</v>
      </c>
      <c r="E1231" s="3" t="s">
        <v>34</v>
      </c>
      <c r="F1231" s="3">
        <v>456.74</v>
      </c>
      <c r="G1231" s="3" t="s">
        <v>35</v>
      </c>
      <c r="H1231" s="3" t="s">
        <v>36</v>
      </c>
      <c r="I1231" s="3">
        <f>IF(C1231="India",1,IF(C1231="USA",INDEX('Currency Master'!B:B,MATCH(DATE(N1231,MONTH(DATEVALUE(O1231&amp;" 1")),1),'Currency Master'!A:A,0)),IF(C1231="Australia",INDEX('Currency Master'!T:T,MATCH(DATE(N1231,MONTH(DATEVALUE(O1231&amp;" 1")),1),'Currency Master'!A:A,0)),"")))</f>
        <v>42.201999999999998</v>
      </c>
      <c r="J1231" s="3">
        <f t="shared" si="76"/>
        <v>192.75</v>
      </c>
      <c r="K1231" s="3" t="str">
        <f t="shared" si="77"/>
        <v>₹/Kg</v>
      </c>
      <c r="L1231" s="3">
        <v>1.35E-2</v>
      </c>
      <c r="M1231" s="3"/>
      <c r="N1231" s="3">
        <f t="shared" si="78"/>
        <v>2010</v>
      </c>
      <c r="O1231" s="3" t="str">
        <f t="shared" si="79"/>
        <v>March</v>
      </c>
      <c r="P1231" s="3" t="s">
        <v>37</v>
      </c>
      <c r="Q1231" s="3"/>
    </row>
    <row r="1232" spans="1:17" hidden="1" x14ac:dyDescent="0.3">
      <c r="A1232" s="2">
        <v>40210</v>
      </c>
      <c r="B1232" s="3" t="s">
        <v>31</v>
      </c>
      <c r="C1232" s="3" t="s">
        <v>32</v>
      </c>
      <c r="D1232" s="3" t="s">
        <v>33</v>
      </c>
      <c r="E1232" s="3" t="s">
        <v>34</v>
      </c>
      <c r="F1232" s="3">
        <v>450.66</v>
      </c>
      <c r="G1232" s="3" t="s">
        <v>35</v>
      </c>
      <c r="H1232" s="3" t="s">
        <v>36</v>
      </c>
      <c r="I1232" s="3">
        <f>IF(C1232="India",1,IF(C1232="USA",INDEX('Currency Master'!B:B,MATCH(DATE(N1232,MONTH(DATEVALUE(O1232&amp;" 1")),1),'Currency Master'!A:A,0)),IF(C1232="Australia",INDEX('Currency Master'!T:T,MATCH(DATE(N1232,MONTH(DATEVALUE(O1232&amp;" 1")),1),'Currency Master'!A:A,0)),"")))</f>
        <v>42.180999999999997</v>
      </c>
      <c r="J1232" s="3">
        <f t="shared" si="76"/>
        <v>190.09</v>
      </c>
      <c r="K1232" s="3" t="str">
        <f t="shared" si="77"/>
        <v>₹/Kg</v>
      </c>
      <c r="L1232" s="3">
        <v>-2.1899999999999999E-2</v>
      </c>
      <c r="M1232" s="3"/>
      <c r="N1232" s="3">
        <f t="shared" si="78"/>
        <v>2010</v>
      </c>
      <c r="O1232" s="3" t="str">
        <f t="shared" si="79"/>
        <v>February</v>
      </c>
      <c r="P1232" s="3" t="s">
        <v>37</v>
      </c>
      <c r="Q1232" s="3"/>
    </row>
    <row r="1233" spans="1:17" hidden="1" x14ac:dyDescent="0.3">
      <c r="A1233" s="2">
        <v>40179</v>
      </c>
      <c r="B1233" s="3" t="s">
        <v>31</v>
      </c>
      <c r="C1233" s="3" t="s">
        <v>32</v>
      </c>
      <c r="D1233" s="3" t="s">
        <v>33</v>
      </c>
      <c r="E1233" s="3" t="s">
        <v>34</v>
      </c>
      <c r="F1233" s="3">
        <v>460.75</v>
      </c>
      <c r="G1233" s="3" t="s">
        <v>35</v>
      </c>
      <c r="H1233" s="3" t="s">
        <v>36</v>
      </c>
      <c r="I1233" s="3">
        <f>IF(C1233="India",1,IF(C1233="USA",INDEX('Currency Master'!B:B,MATCH(DATE(N1233,MONTH(DATEVALUE(O1233&amp;" 1")),1),'Currency Master'!A:A,0)),IF(C1233="Australia",INDEX('Currency Master'!T:T,MATCH(DATE(N1233,MONTH(DATEVALUE(O1233&amp;" 1")),1),'Currency Master'!A:A,0)),"")))</f>
        <v>41.113999999999997</v>
      </c>
      <c r="J1233" s="3">
        <f t="shared" si="76"/>
        <v>189.43</v>
      </c>
      <c r="K1233" s="3" t="str">
        <f t="shared" si="77"/>
        <v>₹/Kg</v>
      </c>
      <c r="L1233" s="3">
        <v>1.8599999999999998E-2</v>
      </c>
      <c r="M1233" s="3"/>
      <c r="N1233" s="3">
        <f t="shared" si="78"/>
        <v>2010</v>
      </c>
      <c r="O1233" s="3" t="str">
        <f t="shared" si="79"/>
        <v>January</v>
      </c>
      <c r="P1233" s="3" t="s">
        <v>37</v>
      </c>
      <c r="Q1233" s="3"/>
    </row>
    <row r="1234" spans="1:17" hidden="1" x14ac:dyDescent="0.3">
      <c r="A1234" s="2">
        <v>40148</v>
      </c>
      <c r="B1234" s="3" t="s">
        <v>31</v>
      </c>
      <c r="C1234" s="3" t="s">
        <v>32</v>
      </c>
      <c r="D1234" s="3" t="s">
        <v>33</v>
      </c>
      <c r="E1234" s="3" t="s">
        <v>34</v>
      </c>
      <c r="F1234" s="3">
        <v>452.35</v>
      </c>
      <c r="G1234" s="3" t="s">
        <v>35</v>
      </c>
      <c r="H1234" s="3" t="s">
        <v>36</v>
      </c>
      <c r="I1234" s="3">
        <f>IF(C1234="India",1,IF(C1234="USA",INDEX('Currency Master'!B:B,MATCH(DATE(N1234,MONTH(DATEVALUE(O1234&amp;" 1")),1),'Currency Master'!A:A,0)),IF(C1234="Australia",INDEX('Currency Master'!T:T,MATCH(DATE(N1234,MONTH(DATEVALUE(O1234&amp;" 1")),1),'Currency Master'!A:A,0)),"")))</f>
        <v>39.950000000000003</v>
      </c>
      <c r="J1234" s="3">
        <f t="shared" si="76"/>
        <v>180.71</v>
      </c>
      <c r="K1234" s="3" t="str">
        <f t="shared" si="77"/>
        <v>₹/Kg</v>
      </c>
      <c r="L1234" s="3">
        <v>1.8200000000000001E-2</v>
      </c>
      <c r="M1234" s="3"/>
      <c r="N1234" s="3">
        <f t="shared" si="78"/>
        <v>2009</v>
      </c>
      <c r="O1234" s="3" t="str">
        <f t="shared" si="79"/>
        <v>December</v>
      </c>
      <c r="P1234" s="3" t="s">
        <v>37</v>
      </c>
      <c r="Q1234" s="3"/>
    </row>
    <row r="1235" spans="1:17" hidden="1" x14ac:dyDescent="0.3">
      <c r="A1235" s="2">
        <v>40118</v>
      </c>
      <c r="B1235" s="3" t="s">
        <v>31</v>
      </c>
      <c r="C1235" s="3" t="s">
        <v>32</v>
      </c>
      <c r="D1235" s="3" t="s">
        <v>33</v>
      </c>
      <c r="E1235" s="3" t="s">
        <v>34</v>
      </c>
      <c r="F1235" s="3">
        <v>444.25</v>
      </c>
      <c r="G1235" s="3" t="s">
        <v>35</v>
      </c>
      <c r="H1235" s="3" t="s">
        <v>36</v>
      </c>
      <c r="I1235" s="3">
        <f>IF(C1235="India",1,IF(C1235="USA",INDEX('Currency Master'!B:B,MATCH(DATE(N1235,MONTH(DATEVALUE(O1235&amp;" 1")),1),'Currency Master'!A:A,0)),IF(C1235="Australia",INDEX('Currency Master'!T:T,MATCH(DATE(N1235,MONTH(DATEVALUE(O1235&amp;" 1")),1),'Currency Master'!A:A,0)),"")))</f>
        <v>38.518000000000001</v>
      </c>
      <c r="J1235" s="3">
        <f t="shared" si="76"/>
        <v>171.12</v>
      </c>
      <c r="K1235" s="3" t="str">
        <f t="shared" si="77"/>
        <v>₹/Kg</v>
      </c>
      <c r="L1235" s="3">
        <v>6.3E-3</v>
      </c>
      <c r="M1235" s="3"/>
      <c r="N1235" s="3">
        <f t="shared" si="78"/>
        <v>2009</v>
      </c>
      <c r="O1235" s="3" t="str">
        <f t="shared" si="79"/>
        <v>November</v>
      </c>
      <c r="P1235" s="3" t="s">
        <v>37</v>
      </c>
      <c r="Q1235" s="3"/>
    </row>
    <row r="1236" spans="1:17" hidden="1" x14ac:dyDescent="0.3">
      <c r="A1236" s="2">
        <v>40087</v>
      </c>
      <c r="B1236" s="3" t="s">
        <v>31</v>
      </c>
      <c r="C1236" s="3" t="s">
        <v>32</v>
      </c>
      <c r="D1236" s="3" t="s">
        <v>33</v>
      </c>
      <c r="E1236" s="3" t="s">
        <v>34</v>
      </c>
      <c r="F1236" s="3">
        <v>441.44</v>
      </c>
      <c r="G1236" s="3" t="s">
        <v>35</v>
      </c>
      <c r="H1236" s="3" t="s">
        <v>36</v>
      </c>
      <c r="I1236" s="3">
        <f>IF(C1236="India",1,IF(C1236="USA",INDEX('Currency Master'!B:B,MATCH(DATE(N1236,MONTH(DATEVALUE(O1236&amp;" 1")),1),'Currency Master'!A:A,0)),IF(C1236="Australia",INDEX('Currency Master'!T:T,MATCH(DATE(N1236,MONTH(DATEVALUE(O1236&amp;" 1")),1),'Currency Master'!A:A,0)),"")))</f>
        <v>37.752000000000002</v>
      </c>
      <c r="J1236" s="3">
        <f t="shared" si="76"/>
        <v>166.65</v>
      </c>
      <c r="K1236" s="3" t="str">
        <f t="shared" si="77"/>
        <v>₹/Kg</v>
      </c>
      <c r="L1236" s="3">
        <v>5.04E-2</v>
      </c>
      <c r="M1236" s="3"/>
      <c r="N1236" s="3">
        <f t="shared" si="78"/>
        <v>2009</v>
      </c>
      <c r="O1236" s="3" t="str">
        <f t="shared" si="79"/>
        <v>October</v>
      </c>
      <c r="P1236" s="3" t="s">
        <v>37</v>
      </c>
      <c r="Q1236" s="3"/>
    </row>
    <row r="1237" spans="1:17" hidden="1" x14ac:dyDescent="0.3">
      <c r="A1237" s="2">
        <v>40057</v>
      </c>
      <c r="B1237" s="3" t="s">
        <v>31</v>
      </c>
      <c r="C1237" s="3" t="s">
        <v>32</v>
      </c>
      <c r="D1237" s="3" t="s">
        <v>33</v>
      </c>
      <c r="E1237" s="3" t="s">
        <v>34</v>
      </c>
      <c r="F1237" s="3">
        <v>420.25</v>
      </c>
      <c r="G1237" s="3" t="s">
        <v>35</v>
      </c>
      <c r="H1237" s="3" t="s">
        <v>36</v>
      </c>
      <c r="I1237" s="3">
        <f>IF(C1237="India",1,IF(C1237="USA",INDEX('Currency Master'!B:B,MATCH(DATE(N1237,MONTH(DATEVALUE(O1237&amp;" 1")),1),'Currency Master'!A:A,0)),IF(C1237="Australia",INDEX('Currency Master'!T:T,MATCH(DATE(N1237,MONTH(DATEVALUE(O1237&amp;" 1")),1),'Currency Master'!A:A,0)),"")))</f>
        <v>36.06</v>
      </c>
      <c r="J1237" s="3">
        <f t="shared" si="76"/>
        <v>151.54</v>
      </c>
      <c r="K1237" s="3" t="str">
        <f t="shared" si="77"/>
        <v>₹/Kg</v>
      </c>
      <c r="L1237" s="3">
        <v>5.7299999999999997E-2</v>
      </c>
      <c r="M1237" s="3"/>
      <c r="N1237" s="3">
        <f t="shared" si="78"/>
        <v>2009</v>
      </c>
      <c r="O1237" s="3" t="str">
        <f t="shared" si="79"/>
        <v>September</v>
      </c>
      <c r="P1237" s="3" t="s">
        <v>37</v>
      </c>
      <c r="Q1237" s="3"/>
    </row>
    <row r="1238" spans="1:17" hidden="1" x14ac:dyDescent="0.3">
      <c r="A1238" s="2">
        <v>40026</v>
      </c>
      <c r="B1238" s="3" t="s">
        <v>31</v>
      </c>
      <c r="C1238" s="3" t="s">
        <v>32</v>
      </c>
      <c r="D1238" s="3" t="s">
        <v>33</v>
      </c>
      <c r="E1238" s="3" t="s">
        <v>34</v>
      </c>
      <c r="F1238" s="3">
        <v>397.46</v>
      </c>
      <c r="G1238" s="3" t="s">
        <v>35</v>
      </c>
      <c r="H1238" s="3" t="s">
        <v>36</v>
      </c>
      <c r="I1238" s="3">
        <f>IF(C1238="India",1,IF(C1238="USA",INDEX('Currency Master'!B:B,MATCH(DATE(N1238,MONTH(DATEVALUE(O1238&amp;" 1")),1),'Currency Master'!A:A,0)),IF(C1238="Australia",INDEX('Currency Master'!T:T,MATCH(DATE(N1238,MONTH(DATEVALUE(O1238&amp;" 1")),1),'Currency Master'!A:A,0)),"")))</f>
        <v>35.002000000000002</v>
      </c>
      <c r="J1238" s="3">
        <f t="shared" si="76"/>
        <v>139.12</v>
      </c>
      <c r="K1238" s="3" t="str">
        <f t="shared" si="77"/>
        <v>₹/Kg</v>
      </c>
      <c r="L1238" s="3">
        <v>7.2999999999999995E-2</v>
      </c>
      <c r="M1238" s="3"/>
      <c r="N1238" s="3">
        <f t="shared" si="78"/>
        <v>2009</v>
      </c>
      <c r="O1238" s="3" t="str">
        <f t="shared" si="79"/>
        <v>August</v>
      </c>
      <c r="P1238" s="3" t="s">
        <v>37</v>
      </c>
      <c r="Q1238" s="3"/>
    </row>
    <row r="1239" spans="1:17" hidden="1" x14ac:dyDescent="0.3">
      <c r="A1239" s="2">
        <v>39995</v>
      </c>
      <c r="B1239" s="3" t="s">
        <v>31</v>
      </c>
      <c r="C1239" s="3" t="s">
        <v>32</v>
      </c>
      <c r="D1239" s="3" t="s">
        <v>33</v>
      </c>
      <c r="E1239" s="3" t="s">
        <v>34</v>
      </c>
      <c r="F1239" s="3">
        <v>370.41</v>
      </c>
      <c r="G1239" s="3" t="s">
        <v>35</v>
      </c>
      <c r="H1239" s="3" t="s">
        <v>36</v>
      </c>
      <c r="I1239" s="3">
        <f>IF(C1239="India",1,IF(C1239="USA",INDEX('Currency Master'!B:B,MATCH(DATE(N1239,MONTH(DATEVALUE(O1239&amp;" 1")),1),'Currency Master'!A:A,0)),IF(C1239="Australia",INDEX('Currency Master'!T:T,MATCH(DATE(N1239,MONTH(DATEVALUE(O1239&amp;" 1")),1),'Currency Master'!A:A,0)),"")))</f>
        <v>32.636000000000003</v>
      </c>
      <c r="J1239" s="3">
        <f t="shared" si="76"/>
        <v>120.89</v>
      </c>
      <c r="K1239" s="3" t="str">
        <f t="shared" si="77"/>
        <v>₹/Kg</v>
      </c>
      <c r="L1239" s="3">
        <v>4.53E-2</v>
      </c>
      <c r="M1239" s="3"/>
      <c r="N1239" s="3">
        <f t="shared" si="78"/>
        <v>2009</v>
      </c>
      <c r="O1239" s="3" t="str">
        <f t="shared" si="79"/>
        <v>July</v>
      </c>
      <c r="P1239" s="3" t="s">
        <v>37</v>
      </c>
      <c r="Q1239" s="3"/>
    </row>
    <row r="1240" spans="1:17" hidden="1" x14ac:dyDescent="0.3">
      <c r="A1240" s="2">
        <v>39965</v>
      </c>
      <c r="B1240" s="3" t="s">
        <v>31</v>
      </c>
      <c r="C1240" s="3" t="s">
        <v>32</v>
      </c>
      <c r="D1240" s="3" t="s">
        <v>33</v>
      </c>
      <c r="E1240" s="3" t="s">
        <v>34</v>
      </c>
      <c r="F1240" s="3">
        <v>354.35</v>
      </c>
      <c r="G1240" s="3" t="s">
        <v>35</v>
      </c>
      <c r="H1240" s="3" t="s">
        <v>36</v>
      </c>
      <c r="I1240" s="3">
        <f>IF(C1240="India",1,IF(C1240="USA",INDEX('Currency Master'!B:B,MATCH(DATE(N1240,MONTH(DATEVALUE(O1240&amp;" 1")),1),'Currency Master'!A:A,0)),IF(C1240="Australia",INDEX('Currency Master'!T:T,MATCH(DATE(N1240,MONTH(DATEVALUE(O1240&amp;" 1")),1),'Currency Master'!A:A,0)),"")))</f>
        <v>31.024000000000001</v>
      </c>
      <c r="J1240" s="3">
        <f t="shared" si="76"/>
        <v>109.93</v>
      </c>
      <c r="K1240" s="3" t="str">
        <f t="shared" si="77"/>
        <v>₹/Kg</v>
      </c>
      <c r="L1240" s="3">
        <v>-4.1000000000000002E-2</v>
      </c>
      <c r="M1240" s="3"/>
      <c r="N1240" s="3">
        <f t="shared" si="78"/>
        <v>2009</v>
      </c>
      <c r="O1240" s="3" t="str">
        <f t="shared" si="79"/>
        <v>June</v>
      </c>
      <c r="P1240" s="3" t="s">
        <v>37</v>
      </c>
      <c r="Q1240" s="3"/>
    </row>
    <row r="1241" spans="1:17" hidden="1" x14ac:dyDescent="0.3">
      <c r="A1241" s="2">
        <v>39934</v>
      </c>
      <c r="B1241" s="3" t="s">
        <v>31</v>
      </c>
      <c r="C1241" s="3" t="s">
        <v>32</v>
      </c>
      <c r="D1241" s="3" t="s">
        <v>33</v>
      </c>
      <c r="E1241" s="3" t="s">
        <v>34</v>
      </c>
      <c r="F1241" s="3">
        <v>369.51</v>
      </c>
      <c r="G1241" s="3" t="s">
        <v>35</v>
      </c>
      <c r="H1241" s="3" t="s">
        <v>36</v>
      </c>
      <c r="I1241" s="3">
        <f>IF(C1241="India",1,IF(C1241="USA",INDEX('Currency Master'!B:B,MATCH(DATE(N1241,MONTH(DATEVALUE(O1241&amp;" 1")),1),'Currency Master'!A:A,0)),IF(C1241="Australia",INDEX('Currency Master'!T:T,MATCH(DATE(N1241,MONTH(DATEVALUE(O1241&amp;" 1")),1),'Currency Master'!A:A,0)),"")))</f>
        <v>34.401000000000003</v>
      </c>
      <c r="J1241" s="3">
        <f t="shared" si="76"/>
        <v>127.12</v>
      </c>
      <c r="K1241" s="3" t="str">
        <f t="shared" si="77"/>
        <v>₹/Kg</v>
      </c>
      <c r="L1241" s="3">
        <v>7.4399999999999994E-2</v>
      </c>
      <c r="M1241" s="3"/>
      <c r="N1241" s="3">
        <f t="shared" si="78"/>
        <v>2009</v>
      </c>
      <c r="O1241" s="3" t="str">
        <f t="shared" si="79"/>
        <v>May</v>
      </c>
      <c r="P1241" s="3" t="s">
        <v>37</v>
      </c>
      <c r="Q1241" s="3"/>
    </row>
    <row r="1242" spans="1:17" hidden="1" x14ac:dyDescent="0.3">
      <c r="A1242" s="2">
        <v>39904</v>
      </c>
      <c r="B1242" s="3" t="s">
        <v>31</v>
      </c>
      <c r="C1242" s="3" t="s">
        <v>32</v>
      </c>
      <c r="D1242" s="3" t="s">
        <v>33</v>
      </c>
      <c r="E1242" s="3" t="s">
        <v>34</v>
      </c>
      <c r="F1242" s="3">
        <v>343.92</v>
      </c>
      <c r="G1242" s="3" t="s">
        <v>35</v>
      </c>
      <c r="H1242" s="3" t="s">
        <v>36</v>
      </c>
      <c r="I1242" s="3">
        <f>IF(C1242="India",1,IF(C1242="USA",INDEX('Currency Master'!B:B,MATCH(DATE(N1242,MONTH(DATEVALUE(O1242&amp;" 1")),1),'Currency Master'!A:A,0)),IF(C1242="Australia",INDEX('Currency Master'!T:T,MATCH(DATE(N1242,MONTH(DATEVALUE(O1242&amp;" 1")),1),'Currency Master'!A:A,0)),"")))</f>
        <v>32.429000000000002</v>
      </c>
      <c r="J1242" s="3">
        <f t="shared" si="76"/>
        <v>111.53</v>
      </c>
      <c r="K1242" s="3" t="str">
        <f t="shared" si="77"/>
        <v>₹/Kg</v>
      </c>
      <c r="L1242" s="3">
        <v>8.6900000000000005E-2</v>
      </c>
      <c r="M1242" s="3"/>
      <c r="N1242" s="3">
        <f t="shared" si="78"/>
        <v>2009</v>
      </c>
      <c r="O1242" s="3" t="str">
        <f t="shared" si="79"/>
        <v>April</v>
      </c>
      <c r="P1242" s="3" t="s">
        <v>37</v>
      </c>
      <c r="Q1242" s="3"/>
    </row>
    <row r="1243" spans="1:17" hidden="1" x14ac:dyDescent="0.3">
      <c r="A1243" s="2">
        <v>39873</v>
      </c>
      <c r="B1243" s="3" t="s">
        <v>31</v>
      </c>
      <c r="C1243" s="3" t="s">
        <v>32</v>
      </c>
      <c r="D1243" s="3" t="s">
        <v>33</v>
      </c>
      <c r="E1243" s="3" t="s">
        <v>34</v>
      </c>
      <c r="F1243" s="3">
        <v>316.41000000000003</v>
      </c>
      <c r="G1243" s="3" t="s">
        <v>35</v>
      </c>
      <c r="H1243" s="3" t="s">
        <v>36</v>
      </c>
      <c r="I1243" s="3">
        <f>IF(C1243="India",1,IF(C1243="USA",INDEX('Currency Master'!B:B,MATCH(DATE(N1243,MONTH(DATEVALUE(O1243&amp;" 1")),1),'Currency Master'!A:A,0)),IF(C1243="Australia",INDEX('Currency Master'!T:T,MATCH(DATE(N1243,MONTH(DATEVALUE(O1243&amp;" 1")),1),'Currency Master'!A:A,0)),"")))</f>
        <v>32.941000000000003</v>
      </c>
      <c r="J1243" s="3">
        <f t="shared" si="76"/>
        <v>104.23</v>
      </c>
      <c r="K1243" s="3" t="str">
        <f t="shared" si="77"/>
        <v>₹/Kg</v>
      </c>
      <c r="L1243" s="3">
        <v>9.6500000000000002E-2</v>
      </c>
      <c r="M1243" s="3"/>
      <c r="N1243" s="3">
        <f t="shared" si="78"/>
        <v>2009</v>
      </c>
      <c r="O1243" s="3" t="str">
        <f t="shared" si="79"/>
        <v>March</v>
      </c>
      <c r="P1243" s="3" t="s">
        <v>37</v>
      </c>
      <c r="Q1243" s="3"/>
    </row>
    <row r="1244" spans="1:17" hidden="1" x14ac:dyDescent="0.3">
      <c r="A1244" s="2">
        <v>39845</v>
      </c>
      <c r="B1244" s="3" t="s">
        <v>31</v>
      </c>
      <c r="C1244" s="3" t="s">
        <v>32</v>
      </c>
      <c r="D1244" s="3" t="s">
        <v>33</v>
      </c>
      <c r="E1244" s="3" t="s">
        <v>34</v>
      </c>
      <c r="F1244" s="3">
        <v>288.57</v>
      </c>
      <c r="G1244" s="3" t="s">
        <v>35</v>
      </c>
      <c r="H1244" s="3" t="s">
        <v>36</v>
      </c>
      <c r="I1244" s="3">
        <f>IF(C1244="India",1,IF(C1244="USA",INDEX('Currency Master'!B:B,MATCH(DATE(N1244,MONTH(DATEVALUE(O1244&amp;" 1")),1),'Currency Master'!A:A,0)),IF(C1244="Australia",INDEX('Currency Master'!T:T,MATCH(DATE(N1244,MONTH(DATEVALUE(O1244&amp;" 1")),1),'Currency Master'!A:A,0)),"")))</f>
        <v>37.192</v>
      </c>
      <c r="J1244" s="3">
        <f t="shared" si="76"/>
        <v>107.32</v>
      </c>
      <c r="K1244" s="3" t="str">
        <f t="shared" si="77"/>
        <v>₹/Kg</v>
      </c>
      <c r="L1244" s="3">
        <v>-5.21E-2</v>
      </c>
      <c r="M1244" s="3"/>
      <c r="N1244" s="3">
        <f t="shared" si="78"/>
        <v>2009</v>
      </c>
      <c r="O1244" s="3" t="str">
        <f t="shared" si="79"/>
        <v>February</v>
      </c>
      <c r="P1244" s="3" t="s">
        <v>37</v>
      </c>
      <c r="Q1244" s="3"/>
    </row>
    <row r="1245" spans="1:17" hidden="1" x14ac:dyDescent="0.3">
      <c r="A1245" s="2">
        <v>39814</v>
      </c>
      <c r="B1245" s="3" t="s">
        <v>31</v>
      </c>
      <c r="C1245" s="3" t="s">
        <v>32</v>
      </c>
      <c r="D1245" s="3" t="s">
        <v>33</v>
      </c>
      <c r="E1245" s="3" t="s">
        <v>34</v>
      </c>
      <c r="F1245" s="3">
        <v>304.43</v>
      </c>
      <c r="G1245" s="3" t="s">
        <v>35</v>
      </c>
      <c r="H1245" s="3" t="s">
        <v>36</v>
      </c>
      <c r="I1245" s="3">
        <f>IF(C1245="India",1,IF(C1245="USA",INDEX('Currency Master'!B:B,MATCH(DATE(N1245,MONTH(DATEVALUE(O1245&amp;" 1")),1),'Currency Master'!A:A,0)),IF(C1245="Australia",INDEX('Currency Master'!T:T,MATCH(DATE(N1245,MONTH(DATEVALUE(O1245&amp;" 1")),1),'Currency Master'!A:A,0)),"")))</f>
        <v>37.651000000000003</v>
      </c>
      <c r="J1245" s="3">
        <f t="shared" si="76"/>
        <v>114.62</v>
      </c>
      <c r="K1245" s="3" t="str">
        <f t="shared" si="77"/>
        <v>₹/Kg</v>
      </c>
      <c r="L1245" s="3">
        <v>-6.08E-2</v>
      </c>
      <c r="M1245" s="3"/>
      <c r="N1245" s="3">
        <f t="shared" si="78"/>
        <v>2009</v>
      </c>
      <c r="O1245" s="3" t="str">
        <f t="shared" si="79"/>
        <v>January</v>
      </c>
      <c r="P1245" s="3" t="s">
        <v>37</v>
      </c>
      <c r="Q1245" s="3"/>
    </row>
    <row r="1246" spans="1:17" hidden="1" x14ac:dyDescent="0.3">
      <c r="A1246" s="2">
        <v>39783</v>
      </c>
      <c r="B1246" s="3" t="s">
        <v>31</v>
      </c>
      <c r="C1246" s="3" t="s">
        <v>32</v>
      </c>
      <c r="D1246" s="3" t="s">
        <v>33</v>
      </c>
      <c r="E1246" s="3" t="s">
        <v>34</v>
      </c>
      <c r="F1246" s="3">
        <v>324.14</v>
      </c>
      <c r="G1246" s="3" t="s">
        <v>35</v>
      </c>
      <c r="H1246" s="3" t="s">
        <v>36</v>
      </c>
      <c r="I1246" s="3">
        <f>IF(C1246="India",1,IF(C1246="USA",INDEX('Currency Master'!B:B,MATCH(DATE(N1246,MONTH(DATEVALUE(O1246&amp;" 1")),1),'Currency Master'!A:A,0)),IF(C1246="Australia",INDEX('Currency Master'!T:T,MATCH(DATE(N1246,MONTH(DATEVALUE(O1246&amp;" 1")),1),'Currency Master'!A:A,0)),"")))</f>
        <v>40.012999999999998</v>
      </c>
      <c r="J1246" s="3">
        <f t="shared" si="76"/>
        <v>129.69999999999999</v>
      </c>
      <c r="K1246" s="3" t="str">
        <f t="shared" si="77"/>
        <v>₹/Kg</v>
      </c>
      <c r="L1246" s="3">
        <v>2.3E-2</v>
      </c>
      <c r="M1246" s="3"/>
      <c r="N1246" s="3">
        <f t="shared" si="78"/>
        <v>2008</v>
      </c>
      <c r="O1246" s="3" t="str">
        <f t="shared" si="79"/>
        <v>December</v>
      </c>
      <c r="P1246" s="3" t="s">
        <v>37</v>
      </c>
      <c r="Q1246" s="3"/>
    </row>
    <row r="1247" spans="1:17" hidden="1" x14ac:dyDescent="0.3">
      <c r="A1247" s="2">
        <v>39753</v>
      </c>
      <c r="B1247" s="3" t="s">
        <v>31</v>
      </c>
      <c r="C1247" s="3" t="s">
        <v>32</v>
      </c>
      <c r="D1247" s="3" t="s">
        <v>33</v>
      </c>
      <c r="E1247" s="3" t="s">
        <v>34</v>
      </c>
      <c r="F1247" s="3">
        <v>316.85000000000002</v>
      </c>
      <c r="G1247" s="3" t="s">
        <v>35</v>
      </c>
      <c r="H1247" s="3" t="s">
        <v>36</v>
      </c>
      <c r="I1247" s="3">
        <f>IF(C1247="India",1,IF(C1247="USA",INDEX('Currency Master'!B:B,MATCH(DATE(N1247,MONTH(DATEVALUE(O1247&amp;" 1")),1),'Currency Master'!A:A,0)),IF(C1247="Australia",INDEX('Currency Master'!T:T,MATCH(DATE(N1247,MONTH(DATEVALUE(O1247&amp;" 1")),1),'Currency Master'!A:A,0)),"")))</f>
        <v>41.128999999999998</v>
      </c>
      <c r="J1247" s="3">
        <f t="shared" si="76"/>
        <v>130.32</v>
      </c>
      <c r="K1247" s="3" t="str">
        <f t="shared" si="77"/>
        <v>₹/Kg</v>
      </c>
      <c r="L1247" s="3">
        <v>-0.1137</v>
      </c>
      <c r="M1247" s="3"/>
      <c r="N1247" s="3">
        <f t="shared" si="78"/>
        <v>2008</v>
      </c>
      <c r="O1247" s="3" t="str">
        <f t="shared" si="79"/>
        <v>November</v>
      </c>
      <c r="P1247" s="3" t="s">
        <v>37</v>
      </c>
      <c r="Q1247" s="3"/>
    </row>
    <row r="1248" spans="1:17" hidden="1" x14ac:dyDescent="0.3">
      <c r="A1248" s="2">
        <v>39722</v>
      </c>
      <c r="B1248" s="3" t="s">
        <v>31</v>
      </c>
      <c r="C1248" s="3" t="s">
        <v>32</v>
      </c>
      <c r="D1248" s="3" t="s">
        <v>33</v>
      </c>
      <c r="E1248" s="3" t="s">
        <v>34</v>
      </c>
      <c r="F1248" s="3">
        <v>357.48</v>
      </c>
      <c r="G1248" s="3" t="s">
        <v>35</v>
      </c>
      <c r="H1248" s="3" t="s">
        <v>36</v>
      </c>
      <c r="I1248" s="3">
        <f>IF(C1248="India",1,IF(C1248="USA",INDEX('Currency Master'!B:B,MATCH(DATE(N1248,MONTH(DATEVALUE(O1248&amp;" 1")),1),'Currency Master'!A:A,0)),IF(C1248="Australia",INDEX('Currency Master'!T:T,MATCH(DATE(N1248,MONTH(DATEVALUE(O1248&amp;" 1")),1),'Currency Master'!A:A,0)),"")))</f>
        <v>40.301000000000002</v>
      </c>
      <c r="J1248" s="3">
        <f t="shared" si="76"/>
        <v>144.07</v>
      </c>
      <c r="K1248" s="3" t="str">
        <f t="shared" si="77"/>
        <v>₹/Kg</v>
      </c>
      <c r="L1248" s="3">
        <v>-0.12509999999999999</v>
      </c>
      <c r="M1248" s="3"/>
      <c r="N1248" s="3">
        <f t="shared" si="78"/>
        <v>2008</v>
      </c>
      <c r="O1248" s="3" t="str">
        <f t="shared" si="79"/>
        <v>October</v>
      </c>
      <c r="P1248" s="3" t="s">
        <v>37</v>
      </c>
      <c r="Q1248" s="3"/>
    </row>
    <row r="1249" spans="1:17" hidden="1" x14ac:dyDescent="0.3">
      <c r="A1249" s="2">
        <v>39692</v>
      </c>
      <c r="B1249" s="3" t="s">
        <v>31</v>
      </c>
      <c r="C1249" s="3" t="s">
        <v>32</v>
      </c>
      <c r="D1249" s="3" t="s">
        <v>33</v>
      </c>
      <c r="E1249" s="3" t="s">
        <v>34</v>
      </c>
      <c r="F1249" s="3">
        <v>408.61</v>
      </c>
      <c r="G1249" s="3" t="s">
        <v>35</v>
      </c>
      <c r="H1249" s="3" t="s">
        <v>36</v>
      </c>
      <c r="I1249" s="3">
        <f>IF(C1249="India",1,IF(C1249="USA",INDEX('Currency Master'!B:B,MATCH(DATE(N1249,MONTH(DATEVALUE(O1249&amp;" 1")),1),'Currency Master'!A:A,0)),IF(C1249="Australia",INDEX('Currency Master'!T:T,MATCH(DATE(N1249,MONTH(DATEVALUE(O1249&amp;" 1")),1),'Currency Master'!A:A,0)),"")))</f>
        <v>38.136000000000003</v>
      </c>
      <c r="J1249" s="3">
        <f t="shared" si="76"/>
        <v>155.83000000000001</v>
      </c>
      <c r="K1249" s="3" t="str">
        <f t="shared" si="77"/>
        <v>₹/Kg</v>
      </c>
      <c r="L1249" s="3">
        <v>1.0500000000000001E-2</v>
      </c>
      <c r="M1249" s="3"/>
      <c r="N1249" s="3">
        <f t="shared" si="78"/>
        <v>2008</v>
      </c>
      <c r="O1249" s="3" t="str">
        <f t="shared" si="79"/>
        <v>September</v>
      </c>
      <c r="P1249" s="3" t="s">
        <v>37</v>
      </c>
      <c r="Q1249" s="3"/>
    </row>
    <row r="1250" spans="1:17" hidden="1" x14ac:dyDescent="0.3">
      <c r="A1250" s="2">
        <v>39661</v>
      </c>
      <c r="B1250" s="3" t="s">
        <v>31</v>
      </c>
      <c r="C1250" s="3" t="s">
        <v>32</v>
      </c>
      <c r="D1250" s="3" t="s">
        <v>33</v>
      </c>
      <c r="E1250" s="3" t="s">
        <v>34</v>
      </c>
      <c r="F1250" s="3">
        <v>404.36</v>
      </c>
      <c r="G1250" s="3" t="s">
        <v>35</v>
      </c>
      <c r="H1250" s="3" t="s">
        <v>36</v>
      </c>
      <c r="I1250" s="3">
        <f>IF(C1250="India",1,IF(C1250="USA",INDEX('Currency Master'!B:B,MATCH(DATE(N1250,MONTH(DATEVALUE(O1250&amp;" 1")),1),'Currency Master'!A:A,0)),IF(C1250="Australia",INDEX('Currency Master'!T:T,MATCH(DATE(N1250,MONTH(DATEVALUE(O1250&amp;" 1")),1),'Currency Master'!A:A,0)),"")))</f>
        <v>36.558999999999997</v>
      </c>
      <c r="J1250" s="3">
        <f t="shared" si="76"/>
        <v>147.83000000000001</v>
      </c>
      <c r="K1250" s="3" t="str">
        <f t="shared" si="77"/>
        <v>₹/Kg</v>
      </c>
      <c r="L1250" s="3">
        <v>-9.9199999999999997E-2</v>
      </c>
      <c r="M1250" s="3"/>
      <c r="N1250" s="3">
        <f t="shared" si="78"/>
        <v>2008</v>
      </c>
      <c r="O1250" s="3" t="str">
        <f t="shared" si="79"/>
        <v>August</v>
      </c>
      <c r="P1250" s="3" t="s">
        <v>37</v>
      </c>
      <c r="Q1250" s="3"/>
    </row>
    <row r="1251" spans="1:17" hidden="1" x14ac:dyDescent="0.3">
      <c r="A1251" s="2">
        <v>39630</v>
      </c>
      <c r="B1251" s="3" t="s">
        <v>31</v>
      </c>
      <c r="C1251" s="3" t="s">
        <v>32</v>
      </c>
      <c r="D1251" s="3" t="s">
        <v>33</v>
      </c>
      <c r="E1251" s="3" t="s">
        <v>34</v>
      </c>
      <c r="F1251" s="3">
        <v>448.91</v>
      </c>
      <c r="G1251" s="3" t="s">
        <v>35</v>
      </c>
      <c r="H1251" s="3" t="s">
        <v>36</v>
      </c>
      <c r="I1251" s="3">
        <f>IF(C1251="India",1,IF(C1251="USA",INDEX('Currency Master'!B:B,MATCH(DATE(N1251,MONTH(DATEVALUE(O1251&amp;" 1")),1),'Currency Master'!A:A,0)),IF(C1251="Australia",INDEX('Currency Master'!T:T,MATCH(DATE(N1251,MONTH(DATEVALUE(O1251&amp;" 1")),1),'Currency Master'!A:A,0)),"")))</f>
        <v>37.173999999999999</v>
      </c>
      <c r="J1251" s="3">
        <f t="shared" si="76"/>
        <v>166.88</v>
      </c>
      <c r="K1251" s="3" t="str">
        <f t="shared" si="77"/>
        <v>₹/Kg</v>
      </c>
      <c r="L1251" s="3">
        <v>7.0000000000000001E-3</v>
      </c>
      <c r="M1251" s="3"/>
      <c r="N1251" s="3">
        <f t="shared" si="78"/>
        <v>2008</v>
      </c>
      <c r="O1251" s="3" t="str">
        <f t="shared" si="79"/>
        <v>July</v>
      </c>
      <c r="P1251" s="3" t="s">
        <v>37</v>
      </c>
      <c r="Q1251" s="3"/>
    </row>
    <row r="1252" spans="1:17" hidden="1" x14ac:dyDescent="0.3">
      <c r="A1252" s="2">
        <v>39600</v>
      </c>
      <c r="B1252" s="3" t="s">
        <v>31</v>
      </c>
      <c r="C1252" s="3" t="s">
        <v>32</v>
      </c>
      <c r="D1252" s="3" t="s">
        <v>33</v>
      </c>
      <c r="E1252" s="3" t="s">
        <v>34</v>
      </c>
      <c r="F1252" s="3">
        <v>445.8</v>
      </c>
      <c r="G1252" s="3" t="s">
        <v>35</v>
      </c>
      <c r="H1252" s="3" t="s">
        <v>36</v>
      </c>
      <c r="I1252" s="3">
        <f>IF(C1252="India",1,IF(C1252="USA",INDEX('Currency Master'!B:B,MATCH(DATE(N1252,MONTH(DATEVALUE(O1252&amp;" 1")),1),'Currency Master'!A:A,0)),IF(C1252="Australia",INDEX('Currency Master'!T:T,MATCH(DATE(N1252,MONTH(DATEVALUE(O1252&amp;" 1")),1),'Currency Master'!A:A,0)),"")))</f>
        <v>35.204999999999998</v>
      </c>
      <c r="J1252" s="3">
        <f t="shared" si="76"/>
        <v>156.94</v>
      </c>
      <c r="K1252" s="3" t="str">
        <f t="shared" si="77"/>
        <v>₹/Kg</v>
      </c>
      <c r="L1252" s="3">
        <v>-3.8999999999999998E-3</v>
      </c>
      <c r="M1252" s="3"/>
      <c r="N1252" s="3">
        <f t="shared" si="78"/>
        <v>2008</v>
      </c>
      <c r="O1252" s="3" t="str">
        <f t="shared" si="79"/>
        <v>June</v>
      </c>
      <c r="P1252" s="3" t="s">
        <v>37</v>
      </c>
      <c r="Q1252" s="3"/>
    </row>
    <row r="1253" spans="1:17" hidden="1" x14ac:dyDescent="0.3">
      <c r="A1253" s="2">
        <v>39569</v>
      </c>
      <c r="B1253" s="3" t="s">
        <v>31</v>
      </c>
      <c r="C1253" s="3" t="s">
        <v>32</v>
      </c>
      <c r="D1253" s="3" t="s">
        <v>33</v>
      </c>
      <c r="E1253" s="3" t="s">
        <v>34</v>
      </c>
      <c r="F1253" s="3">
        <v>447.56</v>
      </c>
      <c r="G1253" s="3" t="s">
        <v>35</v>
      </c>
      <c r="H1253" s="3" t="s">
        <v>36</v>
      </c>
      <c r="I1253" s="3">
        <f>IF(C1253="India",1,IF(C1253="USA",INDEX('Currency Master'!B:B,MATCH(DATE(N1253,MONTH(DATEVALUE(O1253&amp;" 1")),1),'Currency Master'!A:A,0)),IF(C1253="Australia",INDEX('Currency Master'!T:T,MATCH(DATE(N1253,MONTH(DATEVALUE(O1253&amp;" 1")),1),'Currency Master'!A:A,0)),"")))</f>
        <v>34.517000000000003</v>
      </c>
      <c r="J1253" s="3">
        <f t="shared" si="76"/>
        <v>154.47999999999999</v>
      </c>
      <c r="K1253" s="3" t="str">
        <f t="shared" si="77"/>
        <v>₹/Kg</v>
      </c>
      <c r="L1253" s="3">
        <v>-1.04E-2</v>
      </c>
      <c r="M1253" s="3"/>
      <c r="N1253" s="3">
        <f t="shared" si="78"/>
        <v>2008</v>
      </c>
      <c r="O1253" s="3" t="str">
        <f t="shared" si="79"/>
        <v>May</v>
      </c>
      <c r="P1253" s="3" t="s">
        <v>37</v>
      </c>
      <c r="Q1253" s="3"/>
    </row>
    <row r="1254" spans="1:17" hidden="1" x14ac:dyDescent="0.3">
      <c r="A1254" s="2">
        <v>39539</v>
      </c>
      <c r="B1254" s="3" t="s">
        <v>31</v>
      </c>
      <c r="C1254" s="3" t="s">
        <v>32</v>
      </c>
      <c r="D1254" s="3" t="s">
        <v>33</v>
      </c>
      <c r="E1254" s="3" t="s">
        <v>34</v>
      </c>
      <c r="F1254" s="3">
        <v>452.28</v>
      </c>
      <c r="G1254" s="3" t="s">
        <v>35</v>
      </c>
      <c r="H1254" s="3" t="s">
        <v>36</v>
      </c>
      <c r="I1254" s="3">
        <f>IF(C1254="India",1,IF(C1254="USA",INDEX('Currency Master'!B:B,MATCH(DATE(N1254,MONTH(DATEVALUE(O1254&amp;" 1")),1),'Currency Master'!A:A,0)),IF(C1254="Australia",INDEX('Currency Master'!T:T,MATCH(DATE(N1254,MONTH(DATEVALUE(O1254&amp;" 1")),1),'Currency Master'!A:A,0)),"")))</f>
        <v>34.924999999999997</v>
      </c>
      <c r="J1254" s="3">
        <f t="shared" si="76"/>
        <v>157.96</v>
      </c>
      <c r="K1254" s="3" t="str">
        <f t="shared" si="77"/>
        <v>₹/Kg</v>
      </c>
      <c r="L1254" s="3">
        <v>-1.35E-2</v>
      </c>
      <c r="M1254" s="3"/>
      <c r="N1254" s="3">
        <f t="shared" si="78"/>
        <v>2008</v>
      </c>
      <c r="O1254" s="3" t="str">
        <f t="shared" si="79"/>
        <v>April</v>
      </c>
      <c r="P1254" s="3" t="s">
        <v>37</v>
      </c>
      <c r="Q1254" s="3"/>
    </row>
    <row r="1255" spans="1:17" hidden="1" x14ac:dyDescent="0.3">
      <c r="A1255" s="2">
        <v>39508</v>
      </c>
      <c r="B1255" s="3" t="s">
        <v>31</v>
      </c>
      <c r="C1255" s="3" t="s">
        <v>32</v>
      </c>
      <c r="D1255" s="3" t="s">
        <v>33</v>
      </c>
      <c r="E1255" s="3" t="s">
        <v>34</v>
      </c>
      <c r="F1255" s="3">
        <v>458.45</v>
      </c>
      <c r="G1255" s="3" t="s">
        <v>35</v>
      </c>
      <c r="H1255" s="3" t="s">
        <v>36</v>
      </c>
      <c r="I1255" s="3">
        <f>IF(C1255="India",1,IF(C1255="USA",INDEX('Currency Master'!B:B,MATCH(DATE(N1255,MONTH(DATEVALUE(O1255&amp;" 1")),1),'Currency Master'!A:A,0)),IF(C1255="Australia",INDEX('Currency Master'!T:T,MATCH(DATE(N1255,MONTH(DATEVALUE(O1255&amp;" 1")),1),'Currency Master'!A:A,0)),"")))</f>
        <v>36.555</v>
      </c>
      <c r="J1255" s="3">
        <f t="shared" si="76"/>
        <v>167.59</v>
      </c>
      <c r="K1255" s="3" t="str">
        <f t="shared" si="77"/>
        <v>₹/Kg</v>
      </c>
      <c r="L1255" s="3">
        <v>-2.9999999999999997E-4</v>
      </c>
      <c r="M1255" s="3"/>
      <c r="N1255" s="3">
        <f t="shared" si="78"/>
        <v>2008</v>
      </c>
      <c r="O1255" s="3" t="str">
        <f t="shared" si="79"/>
        <v>March</v>
      </c>
      <c r="P1255" s="3" t="s">
        <v>37</v>
      </c>
      <c r="Q1255" s="3"/>
    </row>
    <row r="1256" spans="1:17" hidden="1" x14ac:dyDescent="0.3">
      <c r="A1256" s="2">
        <v>39479</v>
      </c>
      <c r="B1256" s="3" t="s">
        <v>31</v>
      </c>
      <c r="C1256" s="3" t="s">
        <v>32</v>
      </c>
      <c r="D1256" s="3" t="s">
        <v>33</v>
      </c>
      <c r="E1256" s="3" t="s">
        <v>34</v>
      </c>
      <c r="F1256" s="3">
        <v>458.58</v>
      </c>
      <c r="G1256" s="3" t="s">
        <v>35</v>
      </c>
      <c r="H1256" s="3" t="s">
        <v>36</v>
      </c>
      <c r="I1256" s="3">
        <f>IF(C1256="India",1,IF(C1256="USA",INDEX('Currency Master'!B:B,MATCH(DATE(N1256,MONTH(DATEVALUE(O1256&amp;" 1")),1),'Currency Master'!A:A,0)),IF(C1256="Australia",INDEX('Currency Master'!T:T,MATCH(DATE(N1256,MONTH(DATEVALUE(O1256&amp;" 1")),1),'Currency Master'!A:A,0)),"")))</f>
        <v>35.192</v>
      </c>
      <c r="J1256" s="3">
        <f t="shared" si="76"/>
        <v>161.38</v>
      </c>
      <c r="K1256" s="3" t="str">
        <f t="shared" si="77"/>
        <v>₹/Kg</v>
      </c>
      <c r="L1256" s="3">
        <v>6.3E-3</v>
      </c>
      <c r="M1256" s="3"/>
      <c r="N1256" s="3">
        <f t="shared" si="78"/>
        <v>2008</v>
      </c>
      <c r="O1256" s="3" t="str">
        <f t="shared" si="79"/>
        <v>February</v>
      </c>
      <c r="P1256" s="3" t="s">
        <v>37</v>
      </c>
      <c r="Q1256" s="3"/>
    </row>
    <row r="1257" spans="1:17" hidden="1" x14ac:dyDescent="0.3">
      <c r="A1257" s="2">
        <v>39448</v>
      </c>
      <c r="B1257" s="3" t="s">
        <v>31</v>
      </c>
      <c r="C1257" s="3" t="s">
        <v>32</v>
      </c>
      <c r="D1257" s="3" t="s">
        <v>33</v>
      </c>
      <c r="E1257" s="3" t="s">
        <v>34</v>
      </c>
      <c r="F1257" s="3">
        <v>455.69</v>
      </c>
      <c r="G1257" s="3" t="s">
        <v>35</v>
      </c>
      <c r="H1257" s="3" t="s">
        <v>36</v>
      </c>
      <c r="I1257" s="3">
        <f>IF(C1257="India",1,IF(C1257="USA",INDEX('Currency Master'!B:B,MATCH(DATE(N1257,MONTH(DATEVALUE(O1257&amp;" 1")),1),'Currency Master'!A:A,0)),IF(C1257="Australia",INDEX('Currency Master'!T:T,MATCH(DATE(N1257,MONTH(DATEVALUE(O1257&amp;" 1")),1),'Currency Master'!A:A,0)),"")))</f>
        <v>33.232999999999997</v>
      </c>
      <c r="J1257" s="3">
        <f t="shared" si="76"/>
        <v>151.44</v>
      </c>
      <c r="K1257" s="3" t="str">
        <f t="shared" si="77"/>
        <v>₹/Kg</v>
      </c>
      <c r="L1257" s="3">
        <v>5.2999999999999999E-2</v>
      </c>
      <c r="M1257" s="3"/>
      <c r="N1257" s="3">
        <f t="shared" si="78"/>
        <v>2008</v>
      </c>
      <c r="O1257" s="3" t="str">
        <f t="shared" si="79"/>
        <v>January</v>
      </c>
      <c r="P1257" s="3" t="s">
        <v>37</v>
      </c>
      <c r="Q1257" s="3"/>
    </row>
    <row r="1258" spans="1:17" hidden="1" x14ac:dyDescent="0.3">
      <c r="A1258" s="2">
        <v>39417</v>
      </c>
      <c r="B1258" s="3" t="s">
        <v>31</v>
      </c>
      <c r="C1258" s="3" t="s">
        <v>32</v>
      </c>
      <c r="D1258" s="3" t="s">
        <v>33</v>
      </c>
      <c r="E1258" s="3" t="s">
        <v>34</v>
      </c>
      <c r="F1258" s="3">
        <v>432.76</v>
      </c>
      <c r="G1258" s="3" t="s">
        <v>35</v>
      </c>
      <c r="H1258" s="3" t="s">
        <v>36</v>
      </c>
      <c r="I1258" s="3">
        <f>IF(C1258="India",1,IF(C1258="USA",INDEX('Currency Master'!B:B,MATCH(DATE(N1258,MONTH(DATEVALUE(O1258&amp;" 1")),1),'Currency Master'!A:A,0)),IF(C1258="Australia",INDEX('Currency Master'!T:T,MATCH(DATE(N1258,MONTH(DATEVALUE(O1258&amp;" 1")),1),'Currency Master'!A:A,0)),"")))</f>
        <v>34.192</v>
      </c>
      <c r="J1258" s="3">
        <f t="shared" si="76"/>
        <v>147.97</v>
      </c>
      <c r="K1258" s="3" t="str">
        <f t="shared" si="77"/>
        <v>₹/Kg</v>
      </c>
      <c r="L1258" s="3">
        <v>-4.8999999999999998E-3</v>
      </c>
      <c r="M1258" s="3"/>
      <c r="N1258" s="3">
        <f t="shared" si="78"/>
        <v>2007</v>
      </c>
      <c r="O1258" s="3" t="str">
        <f t="shared" si="79"/>
        <v>December</v>
      </c>
      <c r="P1258" s="3" t="s">
        <v>37</v>
      </c>
      <c r="Q1258" s="3"/>
    </row>
    <row r="1259" spans="1:17" hidden="1" x14ac:dyDescent="0.3">
      <c r="A1259" s="2">
        <v>39387</v>
      </c>
      <c r="B1259" s="3" t="s">
        <v>31</v>
      </c>
      <c r="C1259" s="3" t="s">
        <v>32</v>
      </c>
      <c r="D1259" s="3" t="s">
        <v>33</v>
      </c>
      <c r="E1259" s="3" t="s">
        <v>34</v>
      </c>
      <c r="F1259" s="3">
        <v>434.91</v>
      </c>
      <c r="G1259" s="3" t="s">
        <v>35</v>
      </c>
      <c r="H1259" s="3" t="s">
        <v>36</v>
      </c>
      <c r="I1259" s="3">
        <f>IF(C1259="India",1,IF(C1259="USA",INDEX('Currency Master'!B:B,MATCH(DATE(N1259,MONTH(DATEVALUE(O1259&amp;" 1")),1),'Currency Master'!A:A,0)),IF(C1259="Australia",INDEX('Currency Master'!T:T,MATCH(DATE(N1259,MONTH(DATEVALUE(O1259&amp;" 1")),1),'Currency Master'!A:A,0)),"")))</f>
        <v>34.395000000000003</v>
      </c>
      <c r="J1259" s="3">
        <f t="shared" si="76"/>
        <v>149.59</v>
      </c>
      <c r="K1259" s="3" t="str">
        <f t="shared" si="77"/>
        <v>₹/Kg</v>
      </c>
      <c r="L1259" s="3">
        <v>1.8499999999999999E-2</v>
      </c>
      <c r="M1259" s="3"/>
      <c r="N1259" s="3">
        <f t="shared" si="78"/>
        <v>2007</v>
      </c>
      <c r="O1259" s="3" t="str">
        <f t="shared" si="79"/>
        <v>November</v>
      </c>
      <c r="P1259" s="3" t="s">
        <v>37</v>
      </c>
      <c r="Q1259" s="3"/>
    </row>
    <row r="1260" spans="1:17" hidden="1" x14ac:dyDescent="0.3">
      <c r="A1260" s="2">
        <v>39356</v>
      </c>
      <c r="B1260" s="3" t="s">
        <v>31</v>
      </c>
      <c r="C1260" s="3" t="s">
        <v>32</v>
      </c>
      <c r="D1260" s="3" t="s">
        <v>33</v>
      </c>
      <c r="E1260" s="3" t="s">
        <v>34</v>
      </c>
      <c r="F1260" s="3">
        <v>427</v>
      </c>
      <c r="G1260" s="3" t="s">
        <v>35</v>
      </c>
      <c r="H1260" s="3" t="s">
        <v>36</v>
      </c>
      <c r="I1260" s="3">
        <f>IF(C1260="India",1,IF(C1260="USA",INDEX('Currency Master'!B:B,MATCH(DATE(N1260,MONTH(DATEVALUE(O1260&amp;" 1")),1),'Currency Master'!A:A,0)),IF(C1260="Australia",INDEX('Currency Master'!T:T,MATCH(DATE(N1260,MONTH(DATEVALUE(O1260&amp;" 1")),1),'Currency Master'!A:A,0)),"")))</f>
        <v>33.409999999999997</v>
      </c>
      <c r="J1260" s="3">
        <f t="shared" si="76"/>
        <v>142.66</v>
      </c>
      <c r="K1260" s="3" t="str">
        <f t="shared" si="77"/>
        <v>₹/Kg</v>
      </c>
      <c r="L1260" s="3">
        <v>0.12239999999999999</v>
      </c>
      <c r="M1260" s="3"/>
      <c r="N1260" s="3">
        <f t="shared" si="78"/>
        <v>2007</v>
      </c>
      <c r="O1260" s="3" t="str">
        <f t="shared" si="79"/>
        <v>October</v>
      </c>
      <c r="P1260" s="3" t="s">
        <v>37</v>
      </c>
      <c r="Q1260" s="3"/>
    </row>
    <row r="1261" spans="1:17" hidden="1" x14ac:dyDescent="0.3">
      <c r="A1261" s="2">
        <v>39326</v>
      </c>
      <c r="B1261" s="3" t="s">
        <v>31</v>
      </c>
      <c r="C1261" s="3" t="s">
        <v>32</v>
      </c>
      <c r="D1261" s="3" t="s">
        <v>33</v>
      </c>
      <c r="E1261" s="3" t="s">
        <v>34</v>
      </c>
      <c r="F1261" s="3">
        <v>380.44</v>
      </c>
      <c r="G1261" s="3" t="s">
        <v>35</v>
      </c>
      <c r="H1261" s="3" t="s">
        <v>36</v>
      </c>
      <c r="I1261" s="3">
        <f>IF(C1261="India",1,IF(C1261="USA",INDEX('Currency Master'!B:B,MATCH(DATE(N1261,MONTH(DATEVALUE(O1261&amp;" 1")),1),'Currency Master'!A:A,0)),IF(C1261="Australia",INDEX('Currency Master'!T:T,MATCH(DATE(N1261,MONTH(DATEVALUE(O1261&amp;" 1")),1),'Currency Master'!A:A,0)),"")))</f>
        <v>34.094000000000001</v>
      </c>
      <c r="J1261" s="3">
        <f t="shared" si="76"/>
        <v>129.71</v>
      </c>
      <c r="K1261" s="3" t="str">
        <f t="shared" si="77"/>
        <v>₹/Kg</v>
      </c>
      <c r="L1261" s="3">
        <v>1.9599999999999999E-2</v>
      </c>
      <c r="M1261" s="3"/>
      <c r="N1261" s="3">
        <f t="shared" si="78"/>
        <v>2007</v>
      </c>
      <c r="O1261" s="3" t="str">
        <f t="shared" si="79"/>
        <v>September</v>
      </c>
      <c r="P1261" s="3" t="s">
        <v>37</v>
      </c>
      <c r="Q1261" s="3"/>
    </row>
    <row r="1262" spans="1:17" hidden="1" x14ac:dyDescent="0.3">
      <c r="A1262" s="2">
        <v>39295</v>
      </c>
      <c r="B1262" s="3" t="s">
        <v>31</v>
      </c>
      <c r="C1262" s="3" t="s">
        <v>32</v>
      </c>
      <c r="D1262" s="3" t="s">
        <v>33</v>
      </c>
      <c r="E1262" s="3" t="s">
        <v>34</v>
      </c>
      <c r="F1262" s="3">
        <v>373.12</v>
      </c>
      <c r="G1262" s="3" t="s">
        <v>35</v>
      </c>
      <c r="H1262" s="3" t="s">
        <v>36</v>
      </c>
      <c r="I1262" s="3">
        <f>IF(C1262="India",1,IF(C1262="USA",INDEX('Currency Master'!B:B,MATCH(DATE(N1262,MONTH(DATEVALUE(O1262&amp;" 1")),1),'Currency Master'!A:A,0)),IF(C1262="Australia",INDEX('Currency Master'!T:T,MATCH(DATE(N1262,MONTH(DATEVALUE(O1262&amp;" 1")),1),'Currency Master'!A:A,0)),"")))</f>
        <v>34.863999999999997</v>
      </c>
      <c r="J1262" s="3">
        <f t="shared" si="76"/>
        <v>130.08000000000001</v>
      </c>
      <c r="K1262" s="3" t="str">
        <f t="shared" si="77"/>
        <v>₹/Kg</v>
      </c>
      <c r="L1262" s="3">
        <v>-1.4E-2</v>
      </c>
      <c r="M1262" s="3"/>
      <c r="N1262" s="3">
        <f t="shared" si="78"/>
        <v>2007</v>
      </c>
      <c r="O1262" s="3" t="str">
        <f t="shared" si="79"/>
        <v>August</v>
      </c>
      <c r="P1262" s="3" t="s">
        <v>37</v>
      </c>
      <c r="Q1262" s="3"/>
    </row>
    <row r="1263" spans="1:17" hidden="1" x14ac:dyDescent="0.3">
      <c r="A1263" s="2">
        <v>39264</v>
      </c>
      <c r="B1263" s="3" t="s">
        <v>31</v>
      </c>
      <c r="C1263" s="3" t="s">
        <v>32</v>
      </c>
      <c r="D1263" s="3" t="s">
        <v>33</v>
      </c>
      <c r="E1263" s="3" t="s">
        <v>34</v>
      </c>
      <c r="F1263" s="3">
        <v>378.43</v>
      </c>
      <c r="G1263" s="3" t="s">
        <v>35</v>
      </c>
      <c r="H1263" s="3" t="s">
        <v>36</v>
      </c>
      <c r="I1263" s="3">
        <f>IF(C1263="India",1,IF(C1263="USA",INDEX('Currency Master'!B:B,MATCH(DATE(N1263,MONTH(DATEVALUE(O1263&amp;" 1")),1),'Currency Master'!A:A,0)),IF(C1263="Australia",INDEX('Currency Master'!T:T,MATCH(DATE(N1263,MONTH(DATEVALUE(O1263&amp;" 1")),1),'Currency Master'!A:A,0)),"")))</f>
        <v>34.747999999999998</v>
      </c>
      <c r="J1263" s="3">
        <f t="shared" si="76"/>
        <v>131.5</v>
      </c>
      <c r="K1263" s="3" t="str">
        <f t="shared" si="77"/>
        <v>₹/Kg</v>
      </c>
      <c r="L1263" s="3">
        <v>-6.0100000000000001E-2</v>
      </c>
      <c r="M1263" s="3"/>
      <c r="N1263" s="3">
        <f t="shared" si="78"/>
        <v>2007</v>
      </c>
      <c r="O1263" s="3" t="str">
        <f t="shared" si="79"/>
        <v>July</v>
      </c>
      <c r="P1263" s="3" t="s">
        <v>37</v>
      </c>
      <c r="Q1263" s="3"/>
    </row>
    <row r="1264" spans="1:17" hidden="1" x14ac:dyDescent="0.3">
      <c r="A1264" s="2">
        <v>39234</v>
      </c>
      <c r="B1264" s="3" t="s">
        <v>31</v>
      </c>
      <c r="C1264" s="3" t="s">
        <v>32</v>
      </c>
      <c r="D1264" s="3" t="s">
        <v>33</v>
      </c>
      <c r="E1264" s="3" t="s">
        <v>34</v>
      </c>
      <c r="F1264" s="3">
        <v>402.62</v>
      </c>
      <c r="G1264" s="3" t="s">
        <v>35</v>
      </c>
      <c r="H1264" s="3" t="s">
        <v>36</v>
      </c>
      <c r="I1264" s="3">
        <f>IF(C1264="India",1,IF(C1264="USA",INDEX('Currency Master'!B:B,MATCH(DATE(N1264,MONTH(DATEVALUE(O1264&amp;" 1")),1),'Currency Master'!A:A,0)),IF(C1264="Australia",INDEX('Currency Master'!T:T,MATCH(DATE(N1264,MONTH(DATEVALUE(O1264&amp;" 1")),1),'Currency Master'!A:A,0)),"")))</f>
        <v>34.234999999999999</v>
      </c>
      <c r="J1264" s="3">
        <f t="shared" si="76"/>
        <v>137.84</v>
      </c>
      <c r="K1264" s="3" t="str">
        <f t="shared" si="77"/>
        <v>₹/Kg</v>
      </c>
      <c r="L1264" s="3">
        <v>-2.0999999999999999E-3</v>
      </c>
      <c r="M1264" s="3"/>
      <c r="N1264" s="3">
        <f t="shared" si="78"/>
        <v>2007</v>
      </c>
      <c r="O1264" s="3" t="str">
        <f t="shared" si="79"/>
        <v>June</v>
      </c>
      <c r="P1264" s="3" t="s">
        <v>37</v>
      </c>
      <c r="Q1264" s="3"/>
    </row>
    <row r="1265" spans="1:17" hidden="1" x14ac:dyDescent="0.3">
      <c r="A1265" s="2">
        <v>39203</v>
      </c>
      <c r="B1265" s="3" t="s">
        <v>31</v>
      </c>
      <c r="C1265" s="3" t="s">
        <v>32</v>
      </c>
      <c r="D1265" s="3" t="s">
        <v>33</v>
      </c>
      <c r="E1265" s="3" t="s">
        <v>34</v>
      </c>
      <c r="F1265" s="3">
        <v>403.47</v>
      </c>
      <c r="G1265" s="3" t="s">
        <v>35</v>
      </c>
      <c r="H1265" s="3" t="s">
        <v>36</v>
      </c>
      <c r="I1265" s="3">
        <f>IF(C1265="India",1,IF(C1265="USA",INDEX('Currency Master'!B:B,MATCH(DATE(N1265,MONTH(DATEVALUE(O1265&amp;" 1")),1),'Currency Master'!A:A,0)),IF(C1265="Australia",INDEX('Currency Master'!T:T,MATCH(DATE(N1265,MONTH(DATEVALUE(O1265&amp;" 1")),1),'Currency Master'!A:A,0)),"")))</f>
        <v>34.817999999999998</v>
      </c>
      <c r="J1265" s="3">
        <f t="shared" si="76"/>
        <v>140.47999999999999</v>
      </c>
      <c r="K1265" s="3" t="str">
        <f t="shared" si="77"/>
        <v>₹/Kg</v>
      </c>
      <c r="L1265" s="3">
        <v>1.7899999999999999E-2</v>
      </c>
      <c r="M1265" s="3"/>
      <c r="N1265" s="3">
        <f t="shared" si="78"/>
        <v>2007</v>
      </c>
      <c r="O1265" s="3" t="str">
        <f t="shared" si="79"/>
        <v>May</v>
      </c>
      <c r="P1265" s="3" t="s">
        <v>37</v>
      </c>
      <c r="Q1265" s="3"/>
    </row>
    <row r="1266" spans="1:17" hidden="1" x14ac:dyDescent="0.3">
      <c r="A1266" s="2">
        <v>39173</v>
      </c>
      <c r="B1266" s="3" t="s">
        <v>31</v>
      </c>
      <c r="C1266" s="3" t="s">
        <v>32</v>
      </c>
      <c r="D1266" s="3" t="s">
        <v>33</v>
      </c>
      <c r="E1266" s="3" t="s">
        <v>34</v>
      </c>
      <c r="F1266" s="3">
        <v>396.38</v>
      </c>
      <c r="G1266" s="3" t="s">
        <v>35</v>
      </c>
      <c r="H1266" s="3" t="s">
        <v>36</v>
      </c>
      <c r="I1266" s="3">
        <f>IF(C1266="India",1,IF(C1266="USA",INDEX('Currency Master'!B:B,MATCH(DATE(N1266,MONTH(DATEVALUE(O1266&amp;" 1")),1),'Currency Master'!A:A,0)),IF(C1266="Australia",INDEX('Currency Master'!T:T,MATCH(DATE(N1266,MONTH(DATEVALUE(O1266&amp;" 1")),1),'Currency Master'!A:A,0)),"")))</f>
        <v>35.168999999999997</v>
      </c>
      <c r="J1266" s="3">
        <f t="shared" si="76"/>
        <v>139.4</v>
      </c>
      <c r="K1266" s="3" t="str">
        <f t="shared" si="77"/>
        <v>₹/Kg</v>
      </c>
      <c r="L1266" s="3">
        <v>-1.4999999999999999E-2</v>
      </c>
      <c r="M1266" s="3"/>
      <c r="N1266" s="3">
        <f t="shared" si="78"/>
        <v>2007</v>
      </c>
      <c r="O1266" s="3" t="str">
        <f t="shared" si="79"/>
        <v>April</v>
      </c>
      <c r="P1266" s="3" t="s">
        <v>37</v>
      </c>
      <c r="Q1266" s="3"/>
    </row>
    <row r="1267" spans="1:17" hidden="1" x14ac:dyDescent="0.3">
      <c r="A1267" s="2">
        <v>39142</v>
      </c>
      <c r="B1267" s="3" t="s">
        <v>31</v>
      </c>
      <c r="C1267" s="3" t="s">
        <v>32</v>
      </c>
      <c r="D1267" s="3" t="s">
        <v>33</v>
      </c>
      <c r="E1267" s="3" t="s">
        <v>34</v>
      </c>
      <c r="F1267" s="3">
        <v>402.4</v>
      </c>
      <c r="G1267" s="3" t="s">
        <v>35</v>
      </c>
      <c r="H1267" s="3" t="s">
        <v>36</v>
      </c>
      <c r="I1267" s="3">
        <f>IF(C1267="India",1,IF(C1267="USA",INDEX('Currency Master'!B:B,MATCH(DATE(N1267,MONTH(DATEVALUE(O1267&amp;" 1")),1),'Currency Master'!A:A,0)),IF(C1267="Australia",INDEX('Currency Master'!T:T,MATCH(DATE(N1267,MONTH(DATEVALUE(O1267&amp;" 1")),1),'Currency Master'!A:A,0)),"")))</f>
        <v>34.783999999999999</v>
      </c>
      <c r="J1267" s="3">
        <f t="shared" si="76"/>
        <v>139.97</v>
      </c>
      <c r="K1267" s="3" t="str">
        <f t="shared" si="77"/>
        <v>₹/Kg</v>
      </c>
      <c r="L1267" s="3">
        <v>4.0599999999999997E-2</v>
      </c>
      <c r="M1267" s="3"/>
      <c r="N1267" s="3">
        <f t="shared" si="78"/>
        <v>2007</v>
      </c>
      <c r="O1267" s="3" t="str">
        <f t="shared" si="79"/>
        <v>March</v>
      </c>
      <c r="P1267" s="3" t="s">
        <v>37</v>
      </c>
      <c r="Q1267" s="3"/>
    </row>
    <row r="1268" spans="1:17" hidden="1" x14ac:dyDescent="0.3">
      <c r="A1268" s="2">
        <v>39114</v>
      </c>
      <c r="B1268" s="3" t="s">
        <v>31</v>
      </c>
      <c r="C1268" s="3" t="s">
        <v>32</v>
      </c>
      <c r="D1268" s="3" t="s">
        <v>33</v>
      </c>
      <c r="E1268" s="3" t="s">
        <v>34</v>
      </c>
      <c r="F1268" s="3">
        <v>386.69</v>
      </c>
      <c r="G1268" s="3" t="s">
        <v>35</v>
      </c>
      <c r="H1268" s="3" t="s">
        <v>36</v>
      </c>
      <c r="I1268" s="3">
        <f>IF(C1268="India",1,IF(C1268="USA",INDEX('Currency Master'!B:B,MATCH(DATE(N1268,MONTH(DATEVALUE(O1268&amp;" 1")),1),'Currency Master'!A:A,0)),IF(C1268="Australia",INDEX('Currency Master'!T:T,MATCH(DATE(N1268,MONTH(DATEVALUE(O1268&amp;" 1")),1),'Currency Master'!A:A,0)),"")))</f>
        <v>34.18</v>
      </c>
      <c r="J1268" s="3">
        <f t="shared" si="76"/>
        <v>132.16999999999999</v>
      </c>
      <c r="K1268" s="3" t="str">
        <f t="shared" si="77"/>
        <v>₹/Kg</v>
      </c>
      <c r="L1268" s="3">
        <v>-2.41E-2</v>
      </c>
      <c r="M1268" s="3"/>
      <c r="N1268" s="3">
        <f t="shared" si="78"/>
        <v>2007</v>
      </c>
      <c r="O1268" s="3" t="str">
        <f t="shared" si="79"/>
        <v>February</v>
      </c>
      <c r="P1268" s="3" t="s">
        <v>37</v>
      </c>
      <c r="Q1268" s="3"/>
    </row>
    <row r="1269" spans="1:17" hidden="1" x14ac:dyDescent="0.3">
      <c r="A1269" s="2">
        <v>39083</v>
      </c>
      <c r="B1269" s="3" t="s">
        <v>31</v>
      </c>
      <c r="C1269" s="3" t="s">
        <v>32</v>
      </c>
      <c r="D1269" s="3" t="s">
        <v>33</v>
      </c>
      <c r="E1269" s="3" t="s">
        <v>34</v>
      </c>
      <c r="F1269" s="3">
        <v>396.24</v>
      </c>
      <c r="G1269" s="3" t="s">
        <v>35</v>
      </c>
      <c r="H1269" s="3" t="s">
        <v>36</v>
      </c>
      <c r="I1269" s="3">
        <f>IF(C1269="India",1,IF(C1269="USA",INDEX('Currency Master'!B:B,MATCH(DATE(N1269,MONTH(DATEVALUE(O1269&amp;" 1")),1),'Currency Master'!A:A,0)),IF(C1269="Australia",INDEX('Currency Master'!T:T,MATCH(DATE(N1269,MONTH(DATEVALUE(O1269&amp;" 1")),1),'Currency Master'!A:A,0)),"")))</f>
        <v>35.487000000000002</v>
      </c>
      <c r="J1269" s="3">
        <f t="shared" si="76"/>
        <v>140.61000000000001</v>
      </c>
      <c r="K1269" s="3" t="str">
        <f t="shared" si="77"/>
        <v>₹/Kg</v>
      </c>
      <c r="L1269" s="3">
        <v>0.12280000000000001</v>
      </c>
      <c r="M1269" s="3"/>
      <c r="N1269" s="3">
        <f t="shared" si="78"/>
        <v>2007</v>
      </c>
      <c r="O1269" s="3" t="str">
        <f t="shared" si="79"/>
        <v>January</v>
      </c>
      <c r="P1269" s="3" t="s">
        <v>37</v>
      </c>
      <c r="Q1269" s="3"/>
    </row>
    <row r="1270" spans="1:17" hidden="1" x14ac:dyDescent="0.3">
      <c r="A1270" s="2">
        <v>39052</v>
      </c>
      <c r="B1270" s="3" t="s">
        <v>31</v>
      </c>
      <c r="C1270" s="3" t="s">
        <v>32</v>
      </c>
      <c r="D1270" s="3" t="s">
        <v>33</v>
      </c>
      <c r="E1270" s="3" t="s">
        <v>34</v>
      </c>
      <c r="F1270" s="3">
        <v>352.92</v>
      </c>
      <c r="G1270" s="3" t="s">
        <v>35</v>
      </c>
      <c r="H1270" s="3" t="s">
        <v>36</v>
      </c>
      <c r="I1270" s="3">
        <f>IF(C1270="India",1,IF(C1270="USA",INDEX('Currency Master'!B:B,MATCH(DATE(N1270,MONTH(DATEVALUE(O1270&amp;" 1")),1),'Currency Master'!A:A,0)),IF(C1270="Australia",INDEX('Currency Master'!T:T,MATCH(DATE(N1270,MONTH(DATEVALUE(O1270&amp;" 1")),1),'Currency Master'!A:A,0)),"")))</f>
        <v>35.630000000000003</v>
      </c>
      <c r="J1270" s="3">
        <f t="shared" si="76"/>
        <v>125.75</v>
      </c>
      <c r="K1270" s="3" t="str">
        <f t="shared" si="77"/>
        <v>₹/Kg</v>
      </c>
      <c r="L1270" s="3">
        <v>-4.4999999999999997E-3</v>
      </c>
      <c r="M1270" s="3"/>
      <c r="N1270" s="3">
        <f t="shared" si="78"/>
        <v>2006</v>
      </c>
      <c r="O1270" s="3" t="str">
        <f t="shared" si="79"/>
        <v>December</v>
      </c>
      <c r="P1270" s="3" t="s">
        <v>37</v>
      </c>
      <c r="Q1270" s="3"/>
    </row>
    <row r="1271" spans="1:17" hidden="1" x14ac:dyDescent="0.3">
      <c r="A1271" s="2">
        <v>39022</v>
      </c>
      <c r="B1271" s="3" t="s">
        <v>31</v>
      </c>
      <c r="C1271" s="3" t="s">
        <v>32</v>
      </c>
      <c r="D1271" s="3" t="s">
        <v>33</v>
      </c>
      <c r="E1271" s="3" t="s">
        <v>34</v>
      </c>
      <c r="F1271" s="3">
        <v>354.52</v>
      </c>
      <c r="G1271" s="3" t="s">
        <v>35</v>
      </c>
      <c r="H1271" s="3" t="s">
        <v>36</v>
      </c>
      <c r="I1271" s="3">
        <f>IF(C1271="India",1,IF(C1271="USA",INDEX('Currency Master'!B:B,MATCH(DATE(N1271,MONTH(DATEVALUE(O1271&amp;" 1")),1),'Currency Master'!A:A,0)),IF(C1271="Australia",INDEX('Currency Master'!T:T,MATCH(DATE(N1271,MONTH(DATEVALUE(O1271&amp;" 1")),1),'Currency Master'!A:A,0)),"")))</f>
        <v>34.057000000000002</v>
      </c>
      <c r="J1271" s="3">
        <f t="shared" si="76"/>
        <v>120.74</v>
      </c>
      <c r="K1271" s="3" t="str">
        <f t="shared" si="77"/>
        <v>₹/Kg</v>
      </c>
      <c r="L1271" s="3">
        <v>0.1288</v>
      </c>
      <c r="M1271" s="3"/>
      <c r="N1271" s="3">
        <f t="shared" si="78"/>
        <v>2006</v>
      </c>
      <c r="O1271" s="3" t="str">
        <f t="shared" si="79"/>
        <v>November</v>
      </c>
      <c r="P1271" s="3" t="s">
        <v>37</v>
      </c>
      <c r="Q1271" s="3"/>
    </row>
    <row r="1272" spans="1:17" hidden="1" x14ac:dyDescent="0.3">
      <c r="A1272" s="2">
        <v>38991</v>
      </c>
      <c r="B1272" s="3" t="s">
        <v>31</v>
      </c>
      <c r="C1272" s="3" t="s">
        <v>32</v>
      </c>
      <c r="D1272" s="3" t="s">
        <v>33</v>
      </c>
      <c r="E1272" s="3" t="s">
        <v>34</v>
      </c>
      <c r="F1272" s="3">
        <v>314.07</v>
      </c>
      <c r="G1272" s="3" t="s">
        <v>35</v>
      </c>
      <c r="H1272" s="3" t="s">
        <v>36</v>
      </c>
      <c r="I1272" s="3">
        <f>IF(C1272="India",1,IF(C1272="USA",INDEX('Currency Master'!B:B,MATCH(DATE(N1272,MONTH(DATEVALUE(O1272&amp;" 1")),1),'Currency Master'!A:A,0)),IF(C1272="Australia",INDEX('Currency Master'!T:T,MATCH(DATE(N1272,MONTH(DATEVALUE(O1272&amp;" 1")),1),'Currency Master'!A:A,0)),"")))</f>
        <v>34.840000000000003</v>
      </c>
      <c r="J1272" s="3">
        <f t="shared" si="76"/>
        <v>109.42</v>
      </c>
      <c r="K1272" s="3" t="str">
        <f t="shared" si="77"/>
        <v>₹/Kg</v>
      </c>
      <c r="L1272" s="3">
        <v>-3.4000000000000002E-2</v>
      </c>
      <c r="M1272" s="3"/>
      <c r="N1272" s="3">
        <f t="shared" si="78"/>
        <v>2006</v>
      </c>
      <c r="O1272" s="3" t="str">
        <f t="shared" si="79"/>
        <v>October</v>
      </c>
      <c r="P1272" s="3" t="s">
        <v>37</v>
      </c>
      <c r="Q1272" s="3"/>
    </row>
    <row r="1273" spans="1:17" hidden="1" x14ac:dyDescent="0.3">
      <c r="A1273" s="2">
        <v>38961</v>
      </c>
      <c r="B1273" s="3" t="s">
        <v>31</v>
      </c>
      <c r="C1273" s="3" t="s">
        <v>32</v>
      </c>
      <c r="D1273" s="3" t="s">
        <v>33</v>
      </c>
      <c r="E1273" s="3" t="s">
        <v>34</v>
      </c>
      <c r="F1273" s="3">
        <v>325.11</v>
      </c>
      <c r="G1273" s="3" t="s">
        <v>35</v>
      </c>
      <c r="H1273" s="3" t="s">
        <v>36</v>
      </c>
      <c r="I1273" s="3">
        <f>IF(C1273="India",1,IF(C1273="USA",INDEX('Currency Master'!B:B,MATCH(DATE(N1273,MONTH(DATEVALUE(O1273&amp;" 1")),1),'Currency Master'!A:A,0)),IF(C1273="Australia",INDEX('Currency Master'!T:T,MATCH(DATE(N1273,MONTH(DATEVALUE(O1273&amp;" 1")),1),'Currency Master'!A:A,0)),"")))</f>
        <v>34.128999999999998</v>
      </c>
      <c r="J1273" s="3">
        <f t="shared" si="76"/>
        <v>110.96</v>
      </c>
      <c r="K1273" s="3" t="str">
        <f t="shared" si="77"/>
        <v>₹/Kg</v>
      </c>
      <c r="L1273" s="3">
        <v>-2.6499999999999999E-2</v>
      </c>
      <c r="M1273" s="3"/>
      <c r="N1273" s="3">
        <f t="shared" si="78"/>
        <v>2006</v>
      </c>
      <c r="O1273" s="3" t="str">
        <f t="shared" si="79"/>
        <v>September</v>
      </c>
      <c r="P1273" s="3" t="s">
        <v>37</v>
      </c>
      <c r="Q1273" s="3"/>
    </row>
    <row r="1274" spans="1:17" hidden="1" x14ac:dyDescent="0.3">
      <c r="A1274" s="2">
        <v>38930</v>
      </c>
      <c r="B1274" s="3" t="s">
        <v>31</v>
      </c>
      <c r="C1274" s="3" t="s">
        <v>32</v>
      </c>
      <c r="D1274" s="3" t="s">
        <v>33</v>
      </c>
      <c r="E1274" s="3" t="s">
        <v>34</v>
      </c>
      <c r="F1274" s="3">
        <v>333.95</v>
      </c>
      <c r="G1274" s="3" t="s">
        <v>35</v>
      </c>
      <c r="H1274" s="3" t="s">
        <v>36</v>
      </c>
      <c r="I1274" s="3">
        <f>IF(C1274="India",1,IF(C1274="USA",INDEX('Currency Master'!B:B,MATCH(DATE(N1274,MONTH(DATEVALUE(O1274&amp;" 1")),1),'Currency Master'!A:A,0)),IF(C1274="Australia",INDEX('Currency Master'!T:T,MATCH(DATE(N1274,MONTH(DATEVALUE(O1274&amp;" 1")),1),'Currency Master'!A:A,0)),"")))</f>
        <v>31.873000000000001</v>
      </c>
      <c r="J1274" s="3">
        <f t="shared" si="76"/>
        <v>106.44</v>
      </c>
      <c r="K1274" s="3" t="str">
        <f t="shared" si="77"/>
        <v>₹/Kg</v>
      </c>
      <c r="L1274" s="3">
        <v>1.9800000000000002E-2</v>
      </c>
      <c r="M1274" s="3"/>
      <c r="N1274" s="3">
        <f t="shared" si="78"/>
        <v>2006</v>
      </c>
      <c r="O1274" s="3" t="str">
        <f t="shared" si="79"/>
        <v>August</v>
      </c>
      <c r="P1274" s="3" t="s">
        <v>37</v>
      </c>
      <c r="Q1274" s="3"/>
    </row>
    <row r="1275" spans="1:17" hidden="1" x14ac:dyDescent="0.3">
      <c r="A1275" s="2">
        <v>38899</v>
      </c>
      <c r="B1275" s="3" t="s">
        <v>31</v>
      </c>
      <c r="C1275" s="3" t="s">
        <v>32</v>
      </c>
      <c r="D1275" s="3" t="s">
        <v>33</v>
      </c>
      <c r="E1275" s="3" t="s">
        <v>34</v>
      </c>
      <c r="F1275" s="3">
        <v>327.45</v>
      </c>
      <c r="G1275" s="3" t="s">
        <v>35</v>
      </c>
      <c r="H1275" s="3" t="s">
        <v>36</v>
      </c>
      <c r="I1275" s="3">
        <f>IF(C1275="India",1,IF(C1275="USA",INDEX('Currency Master'!B:B,MATCH(DATE(N1275,MONTH(DATEVALUE(O1275&amp;" 1")),1),'Currency Master'!A:A,0)),IF(C1275="Australia",INDEX('Currency Master'!T:T,MATCH(DATE(N1275,MONTH(DATEVALUE(O1275&amp;" 1")),1),'Currency Master'!A:A,0)),"")))</f>
        <v>32.874000000000002</v>
      </c>
      <c r="J1275" s="3">
        <f t="shared" si="76"/>
        <v>107.65</v>
      </c>
      <c r="K1275" s="3" t="str">
        <f t="shared" si="77"/>
        <v>₹/Kg</v>
      </c>
      <c r="L1275" s="3">
        <v>-4.8999999999999998E-3</v>
      </c>
      <c r="M1275" s="3"/>
      <c r="N1275" s="3">
        <f t="shared" si="78"/>
        <v>2006</v>
      </c>
      <c r="O1275" s="3" t="str">
        <f t="shared" si="79"/>
        <v>July</v>
      </c>
      <c r="P1275" s="3" t="s">
        <v>37</v>
      </c>
      <c r="Q1275" s="3"/>
    </row>
    <row r="1276" spans="1:17" hidden="1" x14ac:dyDescent="0.3">
      <c r="A1276" s="2">
        <v>38869</v>
      </c>
      <c r="B1276" s="3" t="s">
        <v>31</v>
      </c>
      <c r="C1276" s="3" t="s">
        <v>32</v>
      </c>
      <c r="D1276" s="3" t="s">
        <v>33</v>
      </c>
      <c r="E1276" s="3" t="s">
        <v>34</v>
      </c>
      <c r="F1276" s="3">
        <v>329.06</v>
      </c>
      <c r="G1276" s="3" t="s">
        <v>35</v>
      </c>
      <c r="H1276" s="3" t="s">
        <v>36</v>
      </c>
      <c r="I1276" s="3">
        <f>IF(C1276="India",1,IF(C1276="USA",INDEX('Currency Master'!B:B,MATCH(DATE(N1276,MONTH(DATEVALUE(O1276&amp;" 1")),1),'Currency Master'!A:A,0)),IF(C1276="Australia",INDEX('Currency Master'!T:T,MATCH(DATE(N1276,MONTH(DATEVALUE(O1276&amp;" 1")),1),'Currency Master'!A:A,0)),"")))</f>
        <v>33.328000000000003</v>
      </c>
      <c r="J1276" s="3">
        <f t="shared" si="76"/>
        <v>109.67</v>
      </c>
      <c r="K1276" s="3" t="str">
        <f t="shared" si="77"/>
        <v>₹/Kg</v>
      </c>
      <c r="L1276" s="3">
        <v>-1.04E-2</v>
      </c>
      <c r="M1276" s="3"/>
      <c r="N1276" s="3">
        <f t="shared" si="78"/>
        <v>2006</v>
      </c>
      <c r="O1276" s="3" t="str">
        <f t="shared" si="79"/>
        <v>June</v>
      </c>
      <c r="P1276" s="3" t="s">
        <v>37</v>
      </c>
      <c r="Q1276" s="3"/>
    </row>
    <row r="1277" spans="1:17" hidden="1" x14ac:dyDescent="0.3">
      <c r="A1277" s="2">
        <v>38838</v>
      </c>
      <c r="B1277" s="3" t="s">
        <v>31</v>
      </c>
      <c r="C1277" s="3" t="s">
        <v>32</v>
      </c>
      <c r="D1277" s="3" t="s">
        <v>33</v>
      </c>
      <c r="E1277" s="3" t="s">
        <v>34</v>
      </c>
      <c r="F1277" s="3">
        <v>332.51</v>
      </c>
      <c r="G1277" s="3" t="s">
        <v>35</v>
      </c>
      <c r="H1277" s="3" t="s">
        <v>36</v>
      </c>
      <c r="I1277" s="3">
        <f>IF(C1277="India",1,IF(C1277="USA",INDEX('Currency Master'!B:B,MATCH(DATE(N1277,MONTH(DATEVALUE(O1277&amp;" 1")),1),'Currency Master'!A:A,0)),IF(C1277="Australia",INDEX('Currency Master'!T:T,MATCH(DATE(N1277,MONTH(DATEVALUE(O1277&amp;" 1")),1),'Currency Master'!A:A,0)),"")))</f>
        <v>32.997</v>
      </c>
      <c r="J1277" s="3">
        <f t="shared" si="76"/>
        <v>109.72</v>
      </c>
      <c r="K1277" s="3" t="str">
        <f t="shared" si="77"/>
        <v>₹/Kg</v>
      </c>
      <c r="L1277" s="3">
        <v>6.0299999999999999E-2</v>
      </c>
      <c r="M1277" s="3"/>
      <c r="N1277" s="3">
        <f t="shared" si="78"/>
        <v>2006</v>
      </c>
      <c r="O1277" s="3" t="str">
        <f t="shared" si="79"/>
        <v>May</v>
      </c>
      <c r="P1277" s="3" t="s">
        <v>37</v>
      </c>
      <c r="Q1277" s="3"/>
    </row>
    <row r="1278" spans="1:17" hidden="1" x14ac:dyDescent="0.3">
      <c r="A1278" s="2">
        <v>38808</v>
      </c>
      <c r="B1278" s="3" t="s">
        <v>31</v>
      </c>
      <c r="C1278" s="3" t="s">
        <v>32</v>
      </c>
      <c r="D1278" s="3" t="s">
        <v>33</v>
      </c>
      <c r="E1278" s="3" t="s">
        <v>34</v>
      </c>
      <c r="F1278" s="3">
        <v>313.61</v>
      </c>
      <c r="G1278" s="3" t="s">
        <v>35</v>
      </c>
      <c r="H1278" s="3" t="s">
        <v>36</v>
      </c>
      <c r="I1278" s="3">
        <f>IF(C1278="India",1,IF(C1278="USA",INDEX('Currency Master'!B:B,MATCH(DATE(N1278,MONTH(DATEVALUE(O1278&amp;" 1")),1),'Currency Master'!A:A,0)),IF(C1278="Australia",INDEX('Currency Master'!T:T,MATCH(DATE(N1278,MONTH(DATEVALUE(O1278&amp;" 1")),1),'Currency Master'!A:A,0)),"")))</f>
        <v>33.878</v>
      </c>
      <c r="J1278" s="3">
        <f t="shared" si="76"/>
        <v>106.24</v>
      </c>
      <c r="K1278" s="3" t="str">
        <f t="shared" si="77"/>
        <v>₹/Kg</v>
      </c>
      <c r="L1278" s="3">
        <v>9.1000000000000004E-3</v>
      </c>
      <c r="M1278" s="3"/>
      <c r="N1278" s="3">
        <f t="shared" si="78"/>
        <v>2006</v>
      </c>
      <c r="O1278" s="3" t="str">
        <f t="shared" si="79"/>
        <v>April</v>
      </c>
      <c r="P1278" s="3" t="s">
        <v>37</v>
      </c>
      <c r="Q1278" s="3"/>
    </row>
    <row r="1279" spans="1:17" hidden="1" x14ac:dyDescent="0.3">
      <c r="A1279" s="2">
        <v>38777</v>
      </c>
      <c r="B1279" s="3" t="s">
        <v>31</v>
      </c>
      <c r="C1279" s="3" t="s">
        <v>32</v>
      </c>
      <c r="D1279" s="3" t="s">
        <v>33</v>
      </c>
      <c r="E1279" s="3" t="s">
        <v>34</v>
      </c>
      <c r="F1279" s="3">
        <v>310.77</v>
      </c>
      <c r="G1279" s="3" t="s">
        <v>35</v>
      </c>
      <c r="H1279" s="3" t="s">
        <v>36</v>
      </c>
      <c r="I1279" s="3">
        <f>IF(C1279="India",1,IF(C1279="USA",INDEX('Currency Master'!B:B,MATCH(DATE(N1279,MONTH(DATEVALUE(O1279&amp;" 1")),1),'Currency Master'!A:A,0)),IF(C1279="Australia",INDEX('Currency Master'!T:T,MATCH(DATE(N1279,MONTH(DATEVALUE(O1279&amp;" 1")),1),'Currency Master'!A:A,0)),"")))</f>
        <v>33.723999999999997</v>
      </c>
      <c r="J1279" s="3">
        <f t="shared" si="76"/>
        <v>104.8</v>
      </c>
      <c r="K1279" s="3" t="str">
        <f t="shared" si="77"/>
        <v>₹/Kg</v>
      </c>
      <c r="L1279" s="3">
        <v>-1.23E-2</v>
      </c>
      <c r="M1279" s="3"/>
      <c r="N1279" s="3">
        <f t="shared" si="78"/>
        <v>2006</v>
      </c>
      <c r="O1279" s="3" t="str">
        <f t="shared" si="79"/>
        <v>March</v>
      </c>
      <c r="P1279" s="3" t="s">
        <v>37</v>
      </c>
      <c r="Q1279" s="3"/>
    </row>
    <row r="1280" spans="1:17" hidden="1" x14ac:dyDescent="0.3">
      <c r="A1280" s="2">
        <v>38749</v>
      </c>
      <c r="B1280" s="3" t="s">
        <v>31</v>
      </c>
      <c r="C1280" s="3" t="s">
        <v>32</v>
      </c>
      <c r="D1280" s="3" t="s">
        <v>33</v>
      </c>
      <c r="E1280" s="3" t="s">
        <v>34</v>
      </c>
      <c r="F1280" s="3">
        <v>314.63</v>
      </c>
      <c r="G1280" s="3" t="s">
        <v>35</v>
      </c>
      <c r="H1280" s="3" t="s">
        <v>36</v>
      </c>
      <c r="I1280" s="3">
        <f>IF(C1280="India",1,IF(C1280="USA",INDEX('Currency Master'!B:B,MATCH(DATE(N1280,MONTH(DATEVALUE(O1280&amp;" 1")),1),'Currency Master'!A:A,0)),IF(C1280="Australia",INDEX('Currency Master'!T:T,MATCH(DATE(N1280,MONTH(DATEVALUE(O1280&amp;" 1")),1),'Currency Master'!A:A,0)),"")))</f>
        <v>33.459000000000003</v>
      </c>
      <c r="J1280" s="3">
        <f t="shared" si="76"/>
        <v>105.27</v>
      </c>
      <c r="K1280" s="3" t="str">
        <f t="shared" si="77"/>
        <v>₹/Kg</v>
      </c>
      <c r="L1280" s="3">
        <v>0.1087</v>
      </c>
      <c r="M1280" s="3"/>
      <c r="N1280" s="3">
        <f t="shared" si="78"/>
        <v>2006</v>
      </c>
      <c r="O1280" s="3" t="str">
        <f t="shared" si="79"/>
        <v>February</v>
      </c>
      <c r="P1280" s="3" t="s">
        <v>37</v>
      </c>
      <c r="Q1280" s="3"/>
    </row>
    <row r="1281" spans="1:17" hidden="1" x14ac:dyDescent="0.3">
      <c r="A1281" s="2">
        <v>38718</v>
      </c>
      <c r="B1281" s="3" t="s">
        <v>31</v>
      </c>
      <c r="C1281" s="3" t="s">
        <v>32</v>
      </c>
      <c r="D1281" s="3" t="s">
        <v>33</v>
      </c>
      <c r="E1281" s="3" t="s">
        <v>34</v>
      </c>
      <c r="F1281" s="3">
        <v>283.77999999999997</v>
      </c>
      <c r="G1281" s="3" t="s">
        <v>35</v>
      </c>
      <c r="H1281" s="3" t="s">
        <v>36</v>
      </c>
      <c r="I1281" s="3">
        <f>IF(C1281="India",1,IF(C1281="USA",INDEX('Currency Master'!B:B,MATCH(DATE(N1281,MONTH(DATEVALUE(O1281&amp;" 1")),1),'Currency Master'!A:A,0)),IF(C1281="Australia",INDEX('Currency Master'!T:T,MATCH(DATE(N1281,MONTH(DATEVALUE(O1281&amp;" 1")),1),'Currency Master'!A:A,0)),"")))</f>
        <v>33.232999999999997</v>
      </c>
      <c r="J1281" s="3">
        <f t="shared" si="76"/>
        <v>94.31</v>
      </c>
      <c r="K1281" s="3" t="str">
        <f t="shared" si="77"/>
        <v>₹/Kg</v>
      </c>
      <c r="L1281" s="3">
        <v>5.5500000000000001E-2</v>
      </c>
      <c r="M1281" s="3"/>
      <c r="N1281" s="3">
        <f t="shared" si="78"/>
        <v>2006</v>
      </c>
      <c r="O1281" s="3" t="str">
        <f t="shared" si="79"/>
        <v>January</v>
      </c>
      <c r="P1281" s="3" t="s">
        <v>37</v>
      </c>
      <c r="Q1281" s="3"/>
    </row>
    <row r="1282" spans="1:17" hidden="1" x14ac:dyDescent="0.3">
      <c r="A1282" s="2">
        <v>38687</v>
      </c>
      <c r="B1282" s="3" t="s">
        <v>31</v>
      </c>
      <c r="C1282" s="3" t="s">
        <v>32</v>
      </c>
      <c r="D1282" s="3" t="s">
        <v>33</v>
      </c>
      <c r="E1282" s="3" t="s">
        <v>34</v>
      </c>
      <c r="F1282" s="3">
        <v>268.85000000000002</v>
      </c>
      <c r="G1282" s="3" t="s">
        <v>35</v>
      </c>
      <c r="H1282" s="3" t="s">
        <v>36</v>
      </c>
      <c r="I1282" s="3">
        <f>IF(C1282="India",1,IF(C1282="USA",INDEX('Currency Master'!B:B,MATCH(DATE(N1282,MONTH(DATEVALUE(O1282&amp;" 1")),1),'Currency Master'!A:A,0)),IF(C1282="Australia",INDEX('Currency Master'!T:T,MATCH(DATE(N1282,MONTH(DATEVALUE(O1282&amp;" 1")),1),'Currency Master'!A:A,0)),"")))</f>
        <v>32.863999999999997</v>
      </c>
      <c r="J1282" s="3">
        <f t="shared" si="76"/>
        <v>88.35</v>
      </c>
      <c r="K1282" s="3" t="str">
        <f t="shared" si="77"/>
        <v>₹/Kg</v>
      </c>
      <c r="L1282" s="3">
        <v>-9.7000000000000003E-3</v>
      </c>
      <c r="M1282" s="3"/>
      <c r="N1282" s="3">
        <f t="shared" si="78"/>
        <v>2005</v>
      </c>
      <c r="O1282" s="3" t="str">
        <f t="shared" si="79"/>
        <v>December</v>
      </c>
      <c r="P1282" s="3" t="s">
        <v>37</v>
      </c>
      <c r="Q1282" s="3"/>
    </row>
    <row r="1283" spans="1:17" hidden="1" x14ac:dyDescent="0.3">
      <c r="A1283" s="2">
        <v>38657</v>
      </c>
      <c r="B1283" s="3" t="s">
        <v>31</v>
      </c>
      <c r="C1283" s="3" t="s">
        <v>32</v>
      </c>
      <c r="D1283" s="3" t="s">
        <v>33</v>
      </c>
      <c r="E1283" s="3" t="s">
        <v>34</v>
      </c>
      <c r="F1283" s="3">
        <v>271.47000000000003</v>
      </c>
      <c r="G1283" s="3" t="s">
        <v>35</v>
      </c>
      <c r="H1283" s="3" t="s">
        <v>36</v>
      </c>
      <c r="I1283" s="3">
        <f>IF(C1283="India",1,IF(C1283="USA",INDEX('Currency Master'!B:B,MATCH(DATE(N1283,MONTH(DATEVALUE(O1283&amp;" 1")),1),'Currency Master'!A:A,0)),IF(C1283="Australia",INDEX('Currency Master'!T:T,MATCH(DATE(N1283,MONTH(DATEVALUE(O1283&amp;" 1")),1),'Currency Master'!A:A,0)),"")))</f>
        <v>33.159999999999997</v>
      </c>
      <c r="J1283" s="3">
        <f t="shared" ref="J1283:J1346" si="80">IF(C1283="India",F1283,IF(C1283="USA",IF(G1283="US Cents/Lb",ROUND(((F1283/100)/0.453592)*I1283*356,0),F1283),IF(C1283="Australia",IF(G1283="AUc/kg",ROUND((F1283/100)*I1283,2),F1283),"")))</f>
        <v>90.02</v>
      </c>
      <c r="K1283" s="3" t="str">
        <f t="shared" ref="K1283:K1346" si="81">IF(C1283="India",G1283,IF(C1283="USA","₹/Candy",IF(C1283="Australia","₹/Kg","")))</f>
        <v>₹/Kg</v>
      </c>
      <c r="L1283" s="3">
        <v>-2.7199999999999998E-2</v>
      </c>
      <c r="M1283" s="3"/>
      <c r="N1283" s="3">
        <f t="shared" ref="N1283:N1346" si="82">YEAR(A1283)</f>
        <v>2005</v>
      </c>
      <c r="O1283" s="3" t="str">
        <f t="shared" ref="O1283:O1346" si="83">TEXT(A1283,"mmmm")</f>
        <v>November</v>
      </c>
      <c r="P1283" s="3" t="s">
        <v>37</v>
      </c>
      <c r="Q1283" s="3"/>
    </row>
    <row r="1284" spans="1:17" hidden="1" x14ac:dyDescent="0.3">
      <c r="A1284" s="2">
        <v>38626</v>
      </c>
      <c r="B1284" s="3" t="s">
        <v>31</v>
      </c>
      <c r="C1284" s="3" t="s">
        <v>32</v>
      </c>
      <c r="D1284" s="3" t="s">
        <v>33</v>
      </c>
      <c r="E1284" s="3" t="s">
        <v>34</v>
      </c>
      <c r="F1284" s="3">
        <v>279.05</v>
      </c>
      <c r="G1284" s="3" t="s">
        <v>35</v>
      </c>
      <c r="H1284" s="3" t="s">
        <v>36</v>
      </c>
      <c r="I1284" s="3">
        <f>IF(C1284="India",1,IF(C1284="USA",INDEX('Currency Master'!B:B,MATCH(DATE(N1284,MONTH(DATEVALUE(O1284&amp;" 1")),1),'Currency Master'!A:A,0)),IF(C1284="Australia",INDEX('Currency Master'!T:T,MATCH(DATE(N1284,MONTH(DATEVALUE(O1284&amp;" 1")),1),'Currency Master'!A:A,0)),"")))</f>
        <v>33.029000000000003</v>
      </c>
      <c r="J1284" s="3">
        <f t="shared" si="80"/>
        <v>92.17</v>
      </c>
      <c r="K1284" s="3" t="str">
        <f t="shared" si="81"/>
        <v>₹/Kg</v>
      </c>
      <c r="L1284" s="3">
        <v>-1.8499999999999999E-2</v>
      </c>
      <c r="M1284" s="3"/>
      <c r="N1284" s="3">
        <f t="shared" si="82"/>
        <v>2005</v>
      </c>
      <c r="O1284" s="3" t="str">
        <f t="shared" si="83"/>
        <v>October</v>
      </c>
      <c r="P1284" s="3" t="s">
        <v>37</v>
      </c>
      <c r="Q1284" s="3"/>
    </row>
    <row r="1285" spans="1:17" hidden="1" x14ac:dyDescent="0.3">
      <c r="A1285" s="2">
        <v>38596</v>
      </c>
      <c r="B1285" s="3" t="s">
        <v>31</v>
      </c>
      <c r="C1285" s="3" t="s">
        <v>32</v>
      </c>
      <c r="D1285" s="3" t="s">
        <v>33</v>
      </c>
      <c r="E1285" s="3" t="s">
        <v>34</v>
      </c>
      <c r="F1285" s="3">
        <v>284.32</v>
      </c>
      <c r="G1285" s="3" t="s">
        <v>35</v>
      </c>
      <c r="H1285" s="3" t="s">
        <v>36</v>
      </c>
      <c r="I1285" s="3">
        <f>IF(C1285="India",1,IF(C1285="USA",INDEX('Currency Master'!B:B,MATCH(DATE(N1285,MONTH(DATEVALUE(O1285&amp;" 1")),1),'Currency Master'!A:A,0)),IF(C1285="Australia",INDEX('Currency Master'!T:T,MATCH(DATE(N1285,MONTH(DATEVALUE(O1285&amp;" 1")),1),'Currency Master'!A:A,0)),"")))</f>
        <v>33.918999999999997</v>
      </c>
      <c r="J1285" s="3">
        <f t="shared" si="80"/>
        <v>96.44</v>
      </c>
      <c r="K1285" s="3" t="str">
        <f t="shared" si="81"/>
        <v>₹/Kg</v>
      </c>
      <c r="L1285" s="3">
        <v>-1.9599999999999999E-2</v>
      </c>
      <c r="M1285" s="3"/>
      <c r="N1285" s="3">
        <f t="shared" si="82"/>
        <v>2005</v>
      </c>
      <c r="O1285" s="3" t="str">
        <f t="shared" si="83"/>
        <v>September</v>
      </c>
      <c r="P1285" s="3" t="s">
        <v>37</v>
      </c>
      <c r="Q1285" s="3"/>
    </row>
    <row r="1286" spans="1:17" hidden="1" x14ac:dyDescent="0.3">
      <c r="A1286" s="2">
        <v>38565</v>
      </c>
      <c r="B1286" s="3" t="s">
        <v>31</v>
      </c>
      <c r="C1286" s="3" t="s">
        <v>32</v>
      </c>
      <c r="D1286" s="3" t="s">
        <v>33</v>
      </c>
      <c r="E1286" s="3" t="s">
        <v>34</v>
      </c>
      <c r="F1286" s="3">
        <v>290</v>
      </c>
      <c r="G1286" s="3" t="s">
        <v>35</v>
      </c>
      <c r="H1286" s="3" t="s">
        <v>36</v>
      </c>
      <c r="I1286" s="3">
        <f>IF(C1286="India",1,IF(C1286="USA",INDEX('Currency Master'!B:B,MATCH(DATE(N1286,MONTH(DATEVALUE(O1286&amp;" 1")),1),'Currency Master'!A:A,0)),IF(C1286="Australia",INDEX('Currency Master'!T:T,MATCH(DATE(N1286,MONTH(DATEVALUE(O1286&amp;" 1")),1),'Currency Master'!A:A,0)),"")))</f>
        <v>33.732999999999997</v>
      </c>
      <c r="J1286" s="3">
        <f t="shared" si="80"/>
        <v>97.83</v>
      </c>
      <c r="K1286" s="3" t="str">
        <f t="shared" si="81"/>
        <v>₹/Kg</v>
      </c>
      <c r="L1286" s="3">
        <v>-2.2800000000000001E-2</v>
      </c>
      <c r="M1286" s="3"/>
      <c r="N1286" s="3">
        <f t="shared" si="82"/>
        <v>2005</v>
      </c>
      <c r="O1286" s="3" t="str">
        <f t="shared" si="83"/>
        <v>August</v>
      </c>
      <c r="P1286" s="3" t="s">
        <v>37</v>
      </c>
      <c r="Q1286" s="3"/>
    </row>
    <row r="1287" spans="1:17" hidden="1" x14ac:dyDescent="0.3">
      <c r="A1287" s="2">
        <v>38534</v>
      </c>
      <c r="B1287" s="3" t="s">
        <v>31</v>
      </c>
      <c r="C1287" s="3" t="s">
        <v>32</v>
      </c>
      <c r="D1287" s="3" t="s">
        <v>33</v>
      </c>
      <c r="E1287" s="3" t="s">
        <v>34</v>
      </c>
      <c r="F1287" s="3">
        <v>296.76</v>
      </c>
      <c r="G1287" s="3" t="s">
        <v>35</v>
      </c>
      <c r="H1287" s="3" t="s">
        <v>36</v>
      </c>
      <c r="I1287" s="3">
        <f>IF(C1287="India",1,IF(C1287="USA",INDEX('Currency Master'!B:B,MATCH(DATE(N1287,MONTH(DATEVALUE(O1287&amp;" 1")),1),'Currency Master'!A:A,0)),IF(C1287="Australia",INDEX('Currency Master'!T:T,MATCH(DATE(N1287,MONTH(DATEVALUE(O1287&amp;" 1")),1),'Currency Master'!A:A,0)),"")))</f>
        <v>34.578000000000003</v>
      </c>
      <c r="J1287" s="3">
        <f t="shared" si="80"/>
        <v>102.61</v>
      </c>
      <c r="K1287" s="3" t="str">
        <f t="shared" si="81"/>
        <v>₹/Kg</v>
      </c>
      <c r="L1287" s="3">
        <v>-5.4000000000000003E-3</v>
      </c>
      <c r="M1287" s="3"/>
      <c r="N1287" s="3">
        <f t="shared" si="82"/>
        <v>2005</v>
      </c>
      <c r="O1287" s="3" t="str">
        <f t="shared" si="83"/>
        <v>July</v>
      </c>
      <c r="P1287" s="3" t="s">
        <v>37</v>
      </c>
      <c r="Q1287" s="3"/>
    </row>
    <row r="1288" spans="1:17" hidden="1" x14ac:dyDescent="0.3">
      <c r="A1288" s="2">
        <v>38504</v>
      </c>
      <c r="B1288" s="3" t="s">
        <v>31</v>
      </c>
      <c r="C1288" s="3" t="s">
        <v>32</v>
      </c>
      <c r="D1288" s="3" t="s">
        <v>33</v>
      </c>
      <c r="E1288" s="3" t="s">
        <v>34</v>
      </c>
      <c r="F1288" s="3">
        <v>298.39</v>
      </c>
      <c r="G1288" s="3" t="s">
        <v>35</v>
      </c>
      <c r="H1288" s="3" t="s">
        <v>36</v>
      </c>
      <c r="I1288" s="3">
        <f>IF(C1288="India",1,IF(C1288="USA",INDEX('Currency Master'!B:B,MATCH(DATE(N1288,MONTH(DATEVALUE(O1288&amp;" 1")),1),'Currency Master'!A:A,0)),IF(C1288="Australia",INDEX('Currency Master'!T:T,MATCH(DATE(N1288,MONTH(DATEVALUE(O1288&amp;" 1")),1),'Currency Master'!A:A,0)),"")))</f>
        <v>33.831000000000003</v>
      </c>
      <c r="J1288" s="3">
        <f t="shared" si="80"/>
        <v>100.95</v>
      </c>
      <c r="K1288" s="3" t="str">
        <f t="shared" si="81"/>
        <v>₹/Kg</v>
      </c>
      <c r="L1288" s="3">
        <v>-4.3299999999999998E-2</v>
      </c>
      <c r="M1288" s="3"/>
      <c r="N1288" s="3">
        <f t="shared" si="82"/>
        <v>2005</v>
      </c>
      <c r="O1288" s="3" t="str">
        <f t="shared" si="83"/>
        <v>June</v>
      </c>
      <c r="P1288" s="3" t="s">
        <v>37</v>
      </c>
      <c r="Q1288" s="3"/>
    </row>
    <row r="1289" spans="1:17" hidden="1" x14ac:dyDescent="0.3">
      <c r="A1289" s="2">
        <v>38473</v>
      </c>
      <c r="B1289" s="3" t="s">
        <v>31</v>
      </c>
      <c r="C1289" s="3" t="s">
        <v>32</v>
      </c>
      <c r="D1289" s="3" t="s">
        <v>33</v>
      </c>
      <c r="E1289" s="3" t="s">
        <v>34</v>
      </c>
      <c r="F1289" s="3">
        <v>311.89</v>
      </c>
      <c r="G1289" s="3" t="s">
        <v>35</v>
      </c>
      <c r="H1289" s="3" t="s">
        <v>36</v>
      </c>
      <c r="I1289" s="3">
        <f>IF(C1289="India",1,IF(C1289="USA",INDEX('Currency Master'!B:B,MATCH(DATE(N1289,MONTH(DATEVALUE(O1289&amp;" 1")),1),'Currency Master'!A:A,0)),IF(C1289="Australia",INDEX('Currency Master'!T:T,MATCH(DATE(N1289,MONTH(DATEVALUE(O1289&amp;" 1")),1),'Currency Master'!A:A,0)),"")))</f>
        <v>33.845999999999997</v>
      </c>
      <c r="J1289" s="3">
        <f t="shared" si="80"/>
        <v>105.56</v>
      </c>
      <c r="K1289" s="3" t="str">
        <f t="shared" si="81"/>
        <v>₹/Kg</v>
      </c>
      <c r="L1289" s="3">
        <v>-2.2100000000000002E-2</v>
      </c>
      <c r="M1289" s="3"/>
      <c r="N1289" s="3">
        <f t="shared" si="82"/>
        <v>2005</v>
      </c>
      <c r="O1289" s="3" t="str">
        <f t="shared" si="83"/>
        <v>May</v>
      </c>
      <c r="P1289" s="3" t="s">
        <v>37</v>
      </c>
      <c r="Q1289" s="3"/>
    </row>
    <row r="1290" spans="1:17" hidden="1" x14ac:dyDescent="0.3">
      <c r="A1290" s="2">
        <v>38443</v>
      </c>
      <c r="B1290" s="3" t="s">
        <v>31</v>
      </c>
      <c r="C1290" s="3" t="s">
        <v>32</v>
      </c>
      <c r="D1290" s="3" t="s">
        <v>33</v>
      </c>
      <c r="E1290" s="3" t="s">
        <v>34</v>
      </c>
      <c r="F1290" s="3">
        <v>318.95</v>
      </c>
      <c r="G1290" s="3" t="s">
        <v>35</v>
      </c>
      <c r="H1290" s="3" t="s">
        <v>36</v>
      </c>
      <c r="I1290" s="3">
        <f>IF(C1290="India",1,IF(C1290="USA",INDEX('Currency Master'!B:B,MATCH(DATE(N1290,MONTH(DATEVALUE(O1290&amp;" 1")),1),'Currency Master'!A:A,0)),IF(C1290="Australia",INDEX('Currency Master'!T:T,MATCH(DATE(N1290,MONTH(DATEVALUE(O1290&amp;" 1")),1),'Currency Master'!A:A,0)),"")))</f>
        <v>34.351999999999997</v>
      </c>
      <c r="J1290" s="3">
        <f t="shared" si="80"/>
        <v>109.57</v>
      </c>
      <c r="K1290" s="3" t="str">
        <f t="shared" si="81"/>
        <v>₹/Kg</v>
      </c>
      <c r="L1290" s="3">
        <v>2.2000000000000001E-3</v>
      </c>
      <c r="M1290" s="3"/>
      <c r="N1290" s="3">
        <f t="shared" si="82"/>
        <v>2005</v>
      </c>
      <c r="O1290" s="3" t="str">
        <f t="shared" si="83"/>
        <v>April</v>
      </c>
      <c r="P1290" s="3" t="s">
        <v>37</v>
      </c>
      <c r="Q1290" s="3"/>
    </row>
    <row r="1291" spans="1:17" hidden="1" x14ac:dyDescent="0.3">
      <c r="A1291" s="2">
        <v>38412</v>
      </c>
      <c r="B1291" s="3" t="s">
        <v>31</v>
      </c>
      <c r="C1291" s="3" t="s">
        <v>32</v>
      </c>
      <c r="D1291" s="3" t="s">
        <v>33</v>
      </c>
      <c r="E1291" s="3" t="s">
        <v>34</v>
      </c>
      <c r="F1291" s="3">
        <v>318.26</v>
      </c>
      <c r="G1291" s="3" t="s">
        <v>35</v>
      </c>
      <c r="H1291" s="3" t="s">
        <v>36</v>
      </c>
      <c r="I1291" s="3">
        <f>IF(C1291="India",1,IF(C1291="USA",INDEX('Currency Master'!B:B,MATCH(DATE(N1291,MONTH(DATEVALUE(O1291&amp;" 1")),1),'Currency Master'!A:A,0)),IF(C1291="Australia",INDEX('Currency Master'!T:T,MATCH(DATE(N1291,MONTH(DATEVALUE(O1291&amp;" 1")),1),'Currency Master'!A:A,0)),"")))</f>
        <v>33.94</v>
      </c>
      <c r="J1291" s="3">
        <f t="shared" si="80"/>
        <v>108.02</v>
      </c>
      <c r="K1291" s="3" t="str">
        <f t="shared" si="81"/>
        <v>₹/Kg</v>
      </c>
      <c r="L1291" s="3">
        <v>-8.2000000000000007E-3</v>
      </c>
      <c r="M1291" s="3"/>
      <c r="N1291" s="3">
        <f t="shared" si="82"/>
        <v>2005</v>
      </c>
      <c r="O1291" s="3" t="str">
        <f t="shared" si="83"/>
        <v>March</v>
      </c>
      <c r="P1291" s="3" t="s">
        <v>37</v>
      </c>
      <c r="Q1291" s="3"/>
    </row>
    <row r="1292" spans="1:17" hidden="1" x14ac:dyDescent="0.3">
      <c r="A1292" s="2">
        <v>38384</v>
      </c>
      <c r="B1292" s="3" t="s">
        <v>31</v>
      </c>
      <c r="C1292" s="3" t="s">
        <v>32</v>
      </c>
      <c r="D1292" s="3" t="s">
        <v>33</v>
      </c>
      <c r="E1292" s="3" t="s">
        <v>34</v>
      </c>
      <c r="F1292" s="3">
        <v>320.89</v>
      </c>
      <c r="G1292" s="3" t="s">
        <v>35</v>
      </c>
      <c r="H1292" s="3" t="s">
        <v>36</v>
      </c>
      <c r="I1292" s="3">
        <f>IF(C1292="India",1,IF(C1292="USA",INDEX('Currency Master'!B:B,MATCH(DATE(N1292,MONTH(DATEVALUE(O1292&amp;" 1")),1),'Currency Master'!A:A,0)),IF(C1292="Australia",INDEX('Currency Master'!T:T,MATCH(DATE(N1292,MONTH(DATEVALUE(O1292&amp;" 1")),1),'Currency Master'!A:A,0)),"")))</f>
        <v>33.408000000000001</v>
      </c>
      <c r="J1292" s="3">
        <f t="shared" si="80"/>
        <v>107.2</v>
      </c>
      <c r="K1292" s="3" t="str">
        <f t="shared" si="81"/>
        <v>₹/Kg</v>
      </c>
      <c r="L1292" s="3">
        <v>4.4000000000000003E-3</v>
      </c>
      <c r="M1292" s="3"/>
      <c r="N1292" s="3">
        <f t="shared" si="82"/>
        <v>2005</v>
      </c>
      <c r="O1292" s="3" t="str">
        <f t="shared" si="83"/>
        <v>February</v>
      </c>
      <c r="P1292" s="3" t="s">
        <v>37</v>
      </c>
      <c r="Q1292" s="3"/>
    </row>
    <row r="1293" spans="1:17" hidden="1" x14ac:dyDescent="0.3">
      <c r="A1293" s="2">
        <v>38353</v>
      </c>
      <c r="B1293" s="3" t="s">
        <v>31</v>
      </c>
      <c r="C1293" s="3" t="s">
        <v>32</v>
      </c>
      <c r="D1293" s="3" t="s">
        <v>33</v>
      </c>
      <c r="E1293" s="3" t="s">
        <v>34</v>
      </c>
      <c r="F1293" s="3">
        <v>319.5</v>
      </c>
      <c r="G1293" s="3" t="s">
        <v>35</v>
      </c>
      <c r="H1293" s="3" t="s">
        <v>36</v>
      </c>
      <c r="I1293" s="3">
        <f>IF(C1293="India",1,IF(C1293="USA",INDEX('Currency Master'!B:B,MATCH(DATE(N1293,MONTH(DATEVALUE(O1293&amp;" 1")),1),'Currency Master'!A:A,0)),IF(C1293="Australia",INDEX('Currency Master'!T:T,MATCH(DATE(N1293,MONTH(DATEVALUE(O1293&amp;" 1")),1),'Currency Master'!A:A,0)),"")))</f>
        <v>32.636000000000003</v>
      </c>
      <c r="J1293" s="3">
        <f t="shared" si="80"/>
        <v>104.27</v>
      </c>
      <c r="K1293" s="3" t="str">
        <f t="shared" si="81"/>
        <v>₹/Kg</v>
      </c>
      <c r="L1293" s="3">
        <v>1.5100000000000001E-2</v>
      </c>
      <c r="M1293" s="3"/>
      <c r="N1293" s="3">
        <f t="shared" si="82"/>
        <v>2005</v>
      </c>
      <c r="O1293" s="3" t="str">
        <f t="shared" si="83"/>
        <v>January</v>
      </c>
      <c r="P1293" s="3" t="s">
        <v>37</v>
      </c>
      <c r="Q1293" s="3"/>
    </row>
    <row r="1294" spans="1:17" hidden="1" x14ac:dyDescent="0.3">
      <c r="A1294" s="2">
        <v>38322</v>
      </c>
      <c r="B1294" s="3" t="s">
        <v>31</v>
      </c>
      <c r="C1294" s="3" t="s">
        <v>32</v>
      </c>
      <c r="D1294" s="3" t="s">
        <v>33</v>
      </c>
      <c r="E1294" s="3" t="s">
        <v>34</v>
      </c>
      <c r="F1294" s="3">
        <v>314.73</v>
      </c>
      <c r="G1294" s="3" t="s">
        <v>35</v>
      </c>
      <c r="H1294" s="3" t="s">
        <v>36</v>
      </c>
      <c r="I1294" s="3">
        <f>IF(C1294="India",1,IF(C1294="USA",INDEX('Currency Master'!B:B,MATCH(DATE(N1294,MONTH(DATEVALUE(O1294&amp;" 1")),1),'Currency Master'!A:A,0)),IF(C1294="Australia",INDEX('Currency Master'!T:T,MATCH(DATE(N1294,MONTH(DATEVALUE(O1294&amp;" 1")),1),'Currency Master'!A:A,0)),"")))</f>
        <v>32.585000000000001</v>
      </c>
      <c r="J1294" s="3">
        <f t="shared" si="80"/>
        <v>102.55</v>
      </c>
      <c r="K1294" s="3" t="str">
        <f t="shared" si="81"/>
        <v>₹/Kg</v>
      </c>
      <c r="L1294" s="3">
        <v>-5.21E-2</v>
      </c>
      <c r="M1294" s="3"/>
      <c r="N1294" s="3">
        <f t="shared" si="82"/>
        <v>2004</v>
      </c>
      <c r="O1294" s="3" t="str">
        <f t="shared" si="83"/>
        <v>December</v>
      </c>
      <c r="P1294" s="3" t="s">
        <v>37</v>
      </c>
      <c r="Q1294" s="3"/>
    </row>
    <row r="1295" spans="1:17" hidden="1" x14ac:dyDescent="0.3">
      <c r="A1295" s="2">
        <v>38292</v>
      </c>
      <c r="B1295" s="3" t="s">
        <v>31</v>
      </c>
      <c r="C1295" s="3" t="s">
        <v>32</v>
      </c>
      <c r="D1295" s="3" t="s">
        <v>33</v>
      </c>
      <c r="E1295" s="3" t="s">
        <v>34</v>
      </c>
      <c r="F1295" s="3">
        <v>332.04</v>
      </c>
      <c r="G1295" s="3" t="s">
        <v>35</v>
      </c>
      <c r="H1295" s="3" t="s">
        <v>36</v>
      </c>
      <c r="I1295" s="3">
        <f>IF(C1295="India",1,IF(C1295="USA",INDEX('Currency Master'!B:B,MATCH(DATE(N1295,MONTH(DATEVALUE(O1295&amp;" 1")),1),'Currency Master'!A:A,0)),IF(C1295="Australia",INDEX('Currency Master'!T:T,MATCH(DATE(N1295,MONTH(DATEVALUE(O1295&amp;" 1")),1),'Currency Master'!A:A,0)),"")))</f>
        <v>32.110999999999997</v>
      </c>
      <c r="J1295" s="3">
        <f t="shared" si="80"/>
        <v>106.62</v>
      </c>
      <c r="K1295" s="3" t="str">
        <f t="shared" si="81"/>
        <v>₹/Kg</v>
      </c>
      <c r="L1295" s="3">
        <v>8.6999999999999994E-3</v>
      </c>
      <c r="M1295" s="3"/>
      <c r="N1295" s="3">
        <f t="shared" si="82"/>
        <v>2004</v>
      </c>
      <c r="O1295" s="3" t="str">
        <f t="shared" si="83"/>
        <v>November</v>
      </c>
      <c r="P1295" s="3" t="s">
        <v>37</v>
      </c>
      <c r="Q1295" s="3"/>
    </row>
    <row r="1296" spans="1:17" hidden="1" x14ac:dyDescent="0.3">
      <c r="A1296" s="2">
        <v>38261</v>
      </c>
      <c r="B1296" s="3" t="s">
        <v>31</v>
      </c>
      <c r="C1296" s="3" t="s">
        <v>32</v>
      </c>
      <c r="D1296" s="3" t="s">
        <v>33</v>
      </c>
      <c r="E1296" s="3" t="s">
        <v>34</v>
      </c>
      <c r="F1296" s="3">
        <v>329.17</v>
      </c>
      <c r="G1296" s="3" t="s">
        <v>35</v>
      </c>
      <c r="H1296" s="3" t="s">
        <v>36</v>
      </c>
      <c r="I1296" s="3">
        <f>IF(C1296="India",1,IF(C1296="USA",INDEX('Currency Master'!B:B,MATCH(DATE(N1296,MONTH(DATEVALUE(O1296&amp;" 1")),1),'Currency Master'!A:A,0)),IF(C1296="Australia",INDEX('Currency Master'!T:T,MATCH(DATE(N1296,MONTH(DATEVALUE(O1296&amp;" 1")),1),'Currency Master'!A:A,0)),"")))</f>
        <v>32.524999999999999</v>
      </c>
      <c r="J1296" s="3">
        <f t="shared" si="80"/>
        <v>107.06</v>
      </c>
      <c r="K1296" s="3" t="str">
        <f t="shared" si="81"/>
        <v>₹/Kg</v>
      </c>
      <c r="L1296" s="3">
        <v>1.49E-2</v>
      </c>
      <c r="M1296" s="3"/>
      <c r="N1296" s="3">
        <f t="shared" si="82"/>
        <v>2004</v>
      </c>
      <c r="O1296" s="3" t="str">
        <f t="shared" si="83"/>
        <v>October</v>
      </c>
      <c r="P1296" s="3" t="s">
        <v>37</v>
      </c>
      <c r="Q1296" s="3"/>
    </row>
    <row r="1297" spans="1:17" hidden="1" x14ac:dyDescent="0.3">
      <c r="A1297" s="2">
        <v>38231</v>
      </c>
      <c r="B1297" s="3" t="s">
        <v>31</v>
      </c>
      <c r="C1297" s="3" t="s">
        <v>32</v>
      </c>
      <c r="D1297" s="3" t="s">
        <v>33</v>
      </c>
      <c r="E1297" s="3" t="s">
        <v>34</v>
      </c>
      <c r="F1297" s="3">
        <v>324.35000000000002</v>
      </c>
      <c r="G1297" s="3" t="s">
        <v>35</v>
      </c>
      <c r="H1297" s="3" t="s">
        <v>36</v>
      </c>
      <c r="I1297" s="3">
        <f>IF(C1297="India",1,IF(C1297="USA",INDEX('Currency Master'!B:B,MATCH(DATE(N1297,MONTH(DATEVALUE(O1297&amp;" 1")),1),'Currency Master'!A:A,0)),IF(C1297="Australia",INDEX('Currency Master'!T:T,MATCH(DATE(N1297,MONTH(DATEVALUE(O1297&amp;" 1")),1),'Currency Master'!A:A,0)),"")))</f>
        <v>32.052</v>
      </c>
      <c r="J1297" s="3">
        <f t="shared" si="80"/>
        <v>103.96</v>
      </c>
      <c r="K1297" s="3" t="str">
        <f t="shared" si="81"/>
        <v>₹/Kg</v>
      </c>
      <c r="L1297" s="3">
        <v>-2.0199999999999999E-2</v>
      </c>
      <c r="M1297" s="3"/>
      <c r="N1297" s="3">
        <f t="shared" si="82"/>
        <v>2004</v>
      </c>
      <c r="O1297" s="3" t="str">
        <f t="shared" si="83"/>
        <v>September</v>
      </c>
      <c r="P1297" s="3" t="s">
        <v>37</v>
      </c>
      <c r="Q1297" s="3"/>
    </row>
    <row r="1298" spans="1:17" hidden="1" x14ac:dyDescent="0.3">
      <c r="A1298" s="2">
        <v>38200</v>
      </c>
      <c r="B1298" s="3" t="s">
        <v>31</v>
      </c>
      <c r="C1298" s="3" t="s">
        <v>32</v>
      </c>
      <c r="D1298" s="3" t="s">
        <v>33</v>
      </c>
      <c r="E1298" s="3" t="s">
        <v>34</v>
      </c>
      <c r="F1298" s="3">
        <v>331.05</v>
      </c>
      <c r="G1298" s="3" t="s">
        <v>35</v>
      </c>
      <c r="H1298" s="3" t="s">
        <v>36</v>
      </c>
      <c r="I1298" s="3">
        <f>IF(C1298="India",1,IF(C1298="USA",INDEX('Currency Master'!B:B,MATCH(DATE(N1298,MONTH(DATEVALUE(O1298&amp;" 1")),1),'Currency Master'!A:A,0)),IF(C1298="Australia",INDEX('Currency Master'!T:T,MATCH(DATE(N1298,MONTH(DATEVALUE(O1298&amp;" 1")),1),'Currency Master'!A:A,0)),"")))</f>
        <v>33.238999999999997</v>
      </c>
      <c r="J1298" s="3">
        <f t="shared" si="80"/>
        <v>110.04</v>
      </c>
      <c r="K1298" s="3" t="str">
        <f t="shared" si="81"/>
        <v>₹/Kg</v>
      </c>
      <c r="L1298" s="3">
        <v>-6.1999999999999998E-3</v>
      </c>
      <c r="M1298" s="3"/>
      <c r="N1298" s="3">
        <f t="shared" si="82"/>
        <v>2004</v>
      </c>
      <c r="O1298" s="3" t="str">
        <f t="shared" si="83"/>
        <v>August</v>
      </c>
      <c r="P1298" s="3" t="s">
        <v>37</v>
      </c>
      <c r="Q1298" s="3"/>
    </row>
    <row r="1299" spans="1:17" hidden="1" x14ac:dyDescent="0.3">
      <c r="A1299" s="2">
        <v>38169</v>
      </c>
      <c r="B1299" s="3" t="s">
        <v>31</v>
      </c>
      <c r="C1299" s="3" t="s">
        <v>32</v>
      </c>
      <c r="D1299" s="3" t="s">
        <v>33</v>
      </c>
      <c r="E1299" s="3" t="s">
        <v>34</v>
      </c>
      <c r="F1299" s="3">
        <v>333.1</v>
      </c>
      <c r="G1299" s="3" t="s">
        <v>35</v>
      </c>
      <c r="H1299" s="3" t="s">
        <v>36</v>
      </c>
      <c r="I1299" s="3">
        <f>IF(C1299="India",1,IF(C1299="USA",INDEX('Currency Master'!B:B,MATCH(DATE(N1299,MONTH(DATEVALUE(O1299&amp;" 1")),1),'Currency Master'!A:A,0)),IF(C1299="Australia",INDEX('Currency Master'!T:T,MATCH(DATE(N1299,MONTH(DATEVALUE(O1299&amp;" 1")),1),'Currency Master'!A:A,0)),"")))</f>
        <v>34.976999999999997</v>
      </c>
      <c r="J1299" s="3">
        <f t="shared" si="80"/>
        <v>116.51</v>
      </c>
      <c r="K1299" s="3" t="str">
        <f t="shared" si="81"/>
        <v>₹/Kg</v>
      </c>
      <c r="L1299" s="3">
        <v>3.2899999999999999E-2</v>
      </c>
      <c r="M1299" s="3"/>
      <c r="N1299" s="3">
        <f t="shared" si="82"/>
        <v>2004</v>
      </c>
      <c r="O1299" s="3" t="str">
        <f t="shared" si="83"/>
        <v>July</v>
      </c>
      <c r="P1299" s="3" t="s">
        <v>37</v>
      </c>
      <c r="Q1299" s="3"/>
    </row>
    <row r="1300" spans="1:17" hidden="1" x14ac:dyDescent="0.3">
      <c r="A1300" s="2">
        <v>38139</v>
      </c>
      <c r="B1300" s="3" t="s">
        <v>31</v>
      </c>
      <c r="C1300" s="3" t="s">
        <v>32</v>
      </c>
      <c r="D1300" s="3" t="s">
        <v>33</v>
      </c>
      <c r="E1300" s="3" t="s">
        <v>34</v>
      </c>
      <c r="F1300" s="3">
        <v>322.48</v>
      </c>
      <c r="G1300" s="3" t="s">
        <v>35</v>
      </c>
      <c r="H1300" s="3" t="s">
        <v>36</v>
      </c>
      <c r="I1300" s="3">
        <f>IF(C1300="India",1,IF(C1300="USA",INDEX('Currency Master'!B:B,MATCH(DATE(N1300,MONTH(DATEVALUE(O1300&amp;" 1")),1),'Currency Master'!A:A,0)),IF(C1300="Australia",INDEX('Currency Master'!T:T,MATCH(DATE(N1300,MONTH(DATEVALUE(O1300&amp;" 1")),1),'Currency Master'!A:A,0)),"")))</f>
        <v>34.579000000000001</v>
      </c>
      <c r="J1300" s="3">
        <f t="shared" si="80"/>
        <v>111.51</v>
      </c>
      <c r="K1300" s="3" t="str">
        <f t="shared" si="81"/>
        <v>₹/Kg</v>
      </c>
      <c r="L1300" s="3">
        <v>1.55E-2</v>
      </c>
      <c r="M1300" s="3"/>
      <c r="N1300" s="3">
        <f t="shared" si="82"/>
        <v>2004</v>
      </c>
      <c r="O1300" s="3" t="str">
        <f t="shared" si="83"/>
        <v>June</v>
      </c>
      <c r="P1300" s="3" t="s">
        <v>37</v>
      </c>
      <c r="Q1300" s="3"/>
    </row>
    <row r="1301" spans="1:17" hidden="1" x14ac:dyDescent="0.3">
      <c r="A1301" s="2">
        <v>38108</v>
      </c>
      <c r="B1301" s="3" t="s">
        <v>31</v>
      </c>
      <c r="C1301" s="3" t="s">
        <v>32</v>
      </c>
      <c r="D1301" s="3" t="s">
        <v>33</v>
      </c>
      <c r="E1301" s="3" t="s">
        <v>34</v>
      </c>
      <c r="F1301" s="3">
        <v>317.55</v>
      </c>
      <c r="G1301" s="3" t="s">
        <v>35</v>
      </c>
      <c r="H1301" s="3" t="s">
        <v>36</v>
      </c>
      <c r="I1301" s="3">
        <f>IF(C1301="India",1,IF(C1301="USA",INDEX('Currency Master'!B:B,MATCH(DATE(N1301,MONTH(DATEVALUE(O1301&amp;" 1")),1),'Currency Master'!A:A,0)),IF(C1301="Australia",INDEX('Currency Master'!T:T,MATCH(DATE(N1301,MONTH(DATEVALUE(O1301&amp;" 1")),1),'Currency Master'!A:A,0)),"")))</f>
        <v>34.302999999999997</v>
      </c>
      <c r="J1301" s="3">
        <f t="shared" si="80"/>
        <v>108.93</v>
      </c>
      <c r="K1301" s="3" t="str">
        <f t="shared" si="81"/>
        <v>₹/Kg</v>
      </c>
      <c r="L1301" s="3">
        <v>2.3599999999999999E-2</v>
      </c>
      <c r="M1301" s="3"/>
      <c r="N1301" s="3">
        <f t="shared" si="82"/>
        <v>2004</v>
      </c>
      <c r="O1301" s="3" t="str">
        <f t="shared" si="83"/>
        <v>May</v>
      </c>
      <c r="P1301" s="3" t="s">
        <v>37</v>
      </c>
      <c r="Q1301" s="3"/>
    </row>
    <row r="1302" spans="1:17" hidden="1" x14ac:dyDescent="0.3">
      <c r="A1302" s="2">
        <v>38078</v>
      </c>
      <c r="B1302" s="3" t="s">
        <v>31</v>
      </c>
      <c r="C1302" s="3" t="s">
        <v>32</v>
      </c>
      <c r="D1302" s="3" t="s">
        <v>33</v>
      </c>
      <c r="E1302" s="3" t="s">
        <v>34</v>
      </c>
      <c r="F1302" s="3">
        <v>310.22000000000003</v>
      </c>
      <c r="G1302" s="3" t="s">
        <v>35</v>
      </c>
      <c r="H1302" s="3" t="s">
        <v>36</v>
      </c>
      <c r="I1302" s="3">
        <f>IF(C1302="India",1,IF(C1302="USA",INDEX('Currency Master'!B:B,MATCH(DATE(N1302,MONTH(DATEVALUE(O1302&amp;" 1")),1),'Currency Master'!A:A,0)),IF(C1302="Australia",INDEX('Currency Master'!T:T,MATCH(DATE(N1302,MONTH(DATEVALUE(O1302&amp;" 1")),1),'Currency Master'!A:A,0)),"")))</f>
        <v>33.149000000000001</v>
      </c>
      <c r="J1302" s="3">
        <f t="shared" si="80"/>
        <v>102.83</v>
      </c>
      <c r="K1302" s="3" t="str">
        <f t="shared" si="81"/>
        <v>₹/Kg</v>
      </c>
      <c r="L1302" s="3">
        <v>-2.76E-2</v>
      </c>
      <c r="M1302" s="3"/>
      <c r="N1302" s="3">
        <f t="shared" si="82"/>
        <v>2004</v>
      </c>
      <c r="O1302" s="3" t="str">
        <f t="shared" si="83"/>
        <v>April</v>
      </c>
      <c r="P1302" s="3" t="s">
        <v>37</v>
      </c>
      <c r="Q1302" s="3"/>
    </row>
    <row r="1303" spans="1:17" hidden="1" x14ac:dyDescent="0.3">
      <c r="A1303" s="2">
        <v>38047</v>
      </c>
      <c r="B1303" s="3" t="s">
        <v>31</v>
      </c>
      <c r="C1303" s="3" t="s">
        <v>32</v>
      </c>
      <c r="D1303" s="3" t="s">
        <v>33</v>
      </c>
      <c r="E1303" s="3" t="s">
        <v>34</v>
      </c>
      <c r="F1303" s="3">
        <v>319.04000000000002</v>
      </c>
      <c r="G1303" s="3" t="s">
        <v>35</v>
      </c>
      <c r="H1303" s="3" t="s">
        <v>36</v>
      </c>
      <c r="I1303" s="3">
        <f>IF(C1303="India",1,IF(C1303="USA",INDEX('Currency Master'!B:B,MATCH(DATE(N1303,MONTH(DATEVALUE(O1303&amp;" 1")),1),'Currency Master'!A:A,0)),IF(C1303="Australia",INDEX('Currency Master'!T:T,MATCH(DATE(N1303,MONTH(DATEVALUE(O1303&amp;" 1")),1),'Currency Master'!A:A,0)),"")))</f>
        <v>32.097000000000001</v>
      </c>
      <c r="J1303" s="3">
        <f t="shared" si="80"/>
        <v>102.4</v>
      </c>
      <c r="K1303" s="3" t="str">
        <f t="shared" si="81"/>
        <v>₹/Kg</v>
      </c>
      <c r="L1303" s="3">
        <v>-2.3300000000000001E-2</v>
      </c>
      <c r="M1303" s="3"/>
      <c r="N1303" s="3">
        <f t="shared" si="82"/>
        <v>2004</v>
      </c>
      <c r="O1303" s="3" t="str">
        <f t="shared" si="83"/>
        <v>March</v>
      </c>
      <c r="P1303" s="3" t="s">
        <v>37</v>
      </c>
      <c r="Q1303" s="3"/>
    </row>
    <row r="1304" spans="1:17" hidden="1" x14ac:dyDescent="0.3">
      <c r="A1304" s="2">
        <v>38018</v>
      </c>
      <c r="B1304" s="3" t="s">
        <v>31</v>
      </c>
      <c r="C1304" s="3" t="s">
        <v>32</v>
      </c>
      <c r="D1304" s="3" t="s">
        <v>33</v>
      </c>
      <c r="E1304" s="3" t="s">
        <v>34</v>
      </c>
      <c r="F1304" s="3">
        <v>326.64</v>
      </c>
      <c r="G1304" s="3" t="s">
        <v>35</v>
      </c>
      <c r="H1304" s="3" t="s">
        <v>36</v>
      </c>
      <c r="I1304" s="3">
        <f>IF(C1304="India",1,IF(C1304="USA",INDEX('Currency Master'!B:B,MATCH(DATE(N1304,MONTH(DATEVALUE(O1304&amp;" 1")),1),'Currency Master'!A:A,0)),IF(C1304="Australia",INDEX('Currency Master'!T:T,MATCH(DATE(N1304,MONTH(DATEVALUE(O1304&amp;" 1")),1),'Currency Master'!A:A,0)),"")))</f>
        <v>31.062000000000001</v>
      </c>
      <c r="J1304" s="3">
        <f t="shared" si="80"/>
        <v>101.46</v>
      </c>
      <c r="K1304" s="3" t="str">
        <f t="shared" si="81"/>
        <v>₹/Kg</v>
      </c>
      <c r="L1304" s="3">
        <v>-2.2700000000000001E-2</v>
      </c>
      <c r="M1304" s="3"/>
      <c r="N1304" s="3">
        <f t="shared" si="82"/>
        <v>2004</v>
      </c>
      <c r="O1304" s="3" t="str">
        <f t="shared" si="83"/>
        <v>February</v>
      </c>
      <c r="P1304" s="3" t="s">
        <v>37</v>
      </c>
      <c r="Q1304" s="3"/>
    </row>
    <row r="1305" spans="1:17" hidden="1" x14ac:dyDescent="0.3">
      <c r="A1305" s="2">
        <v>37987</v>
      </c>
      <c r="B1305" s="3" t="s">
        <v>31</v>
      </c>
      <c r="C1305" s="3" t="s">
        <v>32</v>
      </c>
      <c r="D1305" s="3" t="s">
        <v>33</v>
      </c>
      <c r="E1305" s="3" t="s">
        <v>34</v>
      </c>
      <c r="F1305" s="3">
        <v>334.23</v>
      </c>
      <c r="G1305" s="3" t="s">
        <v>35</v>
      </c>
      <c r="H1305" s="3" t="s">
        <v>36</v>
      </c>
      <c r="I1305" s="3">
        <f>IF(C1305="India",1,IF(C1305="USA",INDEX('Currency Master'!B:B,MATCH(DATE(N1305,MONTH(DATEVALUE(O1305&amp;" 1")),1),'Currency Master'!A:A,0)),IF(C1305="Australia",INDEX('Currency Master'!T:T,MATCH(DATE(N1305,MONTH(DATEVALUE(O1305&amp;" 1")),1),'Currency Master'!A:A,0)),"")))</f>
        <v>29.696999999999999</v>
      </c>
      <c r="J1305" s="3">
        <f t="shared" si="80"/>
        <v>99.26</v>
      </c>
      <c r="K1305" s="3" t="str">
        <f t="shared" si="81"/>
        <v>₹/Kg</v>
      </c>
      <c r="L1305" s="3">
        <v>0.1082</v>
      </c>
      <c r="M1305" s="3"/>
      <c r="N1305" s="3">
        <f t="shared" si="82"/>
        <v>2004</v>
      </c>
      <c r="O1305" s="3" t="str">
        <f t="shared" si="83"/>
        <v>January</v>
      </c>
      <c r="P1305" s="3" t="s">
        <v>37</v>
      </c>
      <c r="Q1305" s="3"/>
    </row>
    <row r="1306" spans="1:17" hidden="1" x14ac:dyDescent="0.3">
      <c r="A1306" s="2">
        <v>37956</v>
      </c>
      <c r="B1306" s="3" t="s">
        <v>31</v>
      </c>
      <c r="C1306" s="3" t="s">
        <v>32</v>
      </c>
      <c r="D1306" s="3" t="s">
        <v>33</v>
      </c>
      <c r="E1306" s="3" t="s">
        <v>34</v>
      </c>
      <c r="F1306" s="3">
        <v>301.61</v>
      </c>
      <c r="G1306" s="3" t="s">
        <v>35</v>
      </c>
      <c r="H1306" s="3" t="s">
        <v>36</v>
      </c>
      <c r="I1306" s="3">
        <f>IF(C1306="India",1,IF(C1306="USA",INDEX('Currency Master'!B:B,MATCH(DATE(N1306,MONTH(DATEVALUE(O1306&amp;" 1")),1),'Currency Master'!A:A,0)),IF(C1306="Australia",INDEX('Currency Master'!T:T,MATCH(DATE(N1306,MONTH(DATEVALUE(O1306&amp;" 1")),1),'Currency Master'!A:A,0)),"")))</f>
        <v>29.963000000000001</v>
      </c>
      <c r="J1306" s="3">
        <f t="shared" si="80"/>
        <v>90.37</v>
      </c>
      <c r="K1306" s="3" t="str">
        <f t="shared" si="81"/>
        <v>₹/Kg</v>
      </c>
      <c r="L1306" s="3">
        <v>2.4799999999999999E-2</v>
      </c>
      <c r="M1306" s="3"/>
      <c r="N1306" s="3">
        <f t="shared" si="82"/>
        <v>2003</v>
      </c>
      <c r="O1306" s="3" t="str">
        <f t="shared" si="83"/>
        <v>December</v>
      </c>
      <c r="P1306" s="3" t="s">
        <v>37</v>
      </c>
      <c r="Q1306" s="3"/>
    </row>
    <row r="1307" spans="1:17" hidden="1" x14ac:dyDescent="0.3">
      <c r="A1307" s="2">
        <v>37926</v>
      </c>
      <c r="B1307" s="3" t="s">
        <v>31</v>
      </c>
      <c r="C1307" s="3" t="s">
        <v>32</v>
      </c>
      <c r="D1307" s="3" t="s">
        <v>33</v>
      </c>
      <c r="E1307" s="3" t="s">
        <v>34</v>
      </c>
      <c r="F1307" s="3">
        <v>294.3</v>
      </c>
      <c r="G1307" s="3" t="s">
        <v>35</v>
      </c>
      <c r="H1307" s="3" t="s">
        <v>36</v>
      </c>
      <c r="I1307" s="3">
        <f>IF(C1307="India",1,IF(C1307="USA",INDEX('Currency Master'!B:B,MATCH(DATE(N1307,MONTH(DATEVALUE(O1307&amp;" 1")),1),'Currency Master'!A:A,0)),IF(C1307="Australia",INDEX('Currency Master'!T:T,MATCH(DATE(N1307,MONTH(DATEVALUE(O1307&amp;" 1")),1),'Currency Master'!A:A,0)),"")))</f>
        <v>31.263999999999999</v>
      </c>
      <c r="J1307" s="3">
        <f t="shared" si="80"/>
        <v>92.01</v>
      </c>
      <c r="K1307" s="3" t="str">
        <f t="shared" si="81"/>
        <v>₹/Kg</v>
      </c>
      <c r="L1307" s="3">
        <v>-2.41E-2</v>
      </c>
      <c r="M1307" s="3"/>
      <c r="N1307" s="3">
        <f t="shared" si="82"/>
        <v>2003</v>
      </c>
      <c r="O1307" s="3" t="str">
        <f t="shared" si="83"/>
        <v>November</v>
      </c>
      <c r="P1307" s="3" t="s">
        <v>37</v>
      </c>
      <c r="Q1307" s="3"/>
    </row>
    <row r="1308" spans="1:17" hidden="1" x14ac:dyDescent="0.3">
      <c r="A1308" s="2">
        <v>37895</v>
      </c>
      <c r="B1308" s="3" t="s">
        <v>31</v>
      </c>
      <c r="C1308" s="3" t="s">
        <v>32</v>
      </c>
      <c r="D1308" s="3" t="s">
        <v>33</v>
      </c>
      <c r="E1308" s="3" t="s">
        <v>34</v>
      </c>
      <c r="F1308" s="3">
        <v>301.57</v>
      </c>
      <c r="G1308" s="3" t="s">
        <v>35</v>
      </c>
      <c r="H1308" s="3" t="s">
        <v>36</v>
      </c>
      <c r="I1308" s="3">
        <f>IF(C1308="India",1,IF(C1308="USA",INDEX('Currency Master'!B:B,MATCH(DATE(N1308,MONTH(DATEVALUE(O1308&amp;" 1")),1),'Currency Master'!A:A,0)),IF(C1308="Australia",INDEX('Currency Master'!T:T,MATCH(DATE(N1308,MONTH(DATEVALUE(O1308&amp;" 1")),1),'Currency Master'!A:A,0)),"")))</f>
        <v>30.757999999999999</v>
      </c>
      <c r="J1308" s="3">
        <f t="shared" si="80"/>
        <v>92.76</v>
      </c>
      <c r="K1308" s="3" t="str">
        <f t="shared" si="81"/>
        <v>₹/Kg</v>
      </c>
      <c r="L1308" s="3">
        <v>-2.4899999999999999E-2</v>
      </c>
      <c r="M1308" s="3"/>
      <c r="N1308" s="3">
        <f t="shared" si="82"/>
        <v>2003</v>
      </c>
      <c r="O1308" s="3" t="str">
        <f t="shared" si="83"/>
        <v>October</v>
      </c>
      <c r="P1308" s="3" t="s">
        <v>37</v>
      </c>
      <c r="Q1308" s="3"/>
    </row>
    <row r="1309" spans="1:17" hidden="1" x14ac:dyDescent="0.3">
      <c r="A1309" s="2">
        <v>37865</v>
      </c>
      <c r="B1309" s="3" t="s">
        <v>31</v>
      </c>
      <c r="C1309" s="3" t="s">
        <v>32</v>
      </c>
      <c r="D1309" s="3" t="s">
        <v>33</v>
      </c>
      <c r="E1309" s="3" t="s">
        <v>34</v>
      </c>
      <c r="F1309" s="3">
        <v>309.27</v>
      </c>
      <c r="G1309" s="3" t="s">
        <v>35</v>
      </c>
      <c r="H1309" s="3" t="s">
        <v>36</v>
      </c>
      <c r="I1309" s="3">
        <f>IF(C1309="India",1,IF(C1309="USA",INDEX('Currency Master'!B:B,MATCH(DATE(N1309,MONTH(DATEVALUE(O1309&amp;" 1")),1),'Currency Master'!A:A,0)),IF(C1309="Australia",INDEX('Currency Master'!T:T,MATCH(DATE(N1309,MONTH(DATEVALUE(O1309&amp;" 1")),1),'Currency Master'!A:A,0)),"")))</f>
        <v>29.652999999999999</v>
      </c>
      <c r="J1309" s="3">
        <f t="shared" si="80"/>
        <v>91.71</v>
      </c>
      <c r="K1309" s="3" t="str">
        <f t="shared" si="81"/>
        <v>₹/Kg</v>
      </c>
      <c r="L1309" s="3">
        <v>3.5999999999999999E-3</v>
      </c>
      <c r="M1309" s="3"/>
      <c r="N1309" s="3">
        <f t="shared" si="82"/>
        <v>2003</v>
      </c>
      <c r="O1309" s="3" t="str">
        <f t="shared" si="83"/>
        <v>September</v>
      </c>
      <c r="P1309" s="3" t="s">
        <v>37</v>
      </c>
      <c r="Q1309" s="3"/>
    </row>
    <row r="1310" spans="1:17" hidden="1" x14ac:dyDescent="0.3">
      <c r="A1310" s="2">
        <v>37834</v>
      </c>
      <c r="B1310" s="3" t="s">
        <v>31</v>
      </c>
      <c r="C1310" s="3" t="s">
        <v>32</v>
      </c>
      <c r="D1310" s="3" t="s">
        <v>33</v>
      </c>
      <c r="E1310" s="3" t="s">
        <v>34</v>
      </c>
      <c r="F1310" s="3">
        <v>308.17</v>
      </c>
      <c r="G1310" s="3" t="s">
        <v>35</v>
      </c>
      <c r="H1310" s="3" t="s">
        <v>36</v>
      </c>
      <c r="I1310" s="3">
        <f>IF(C1310="India",1,IF(C1310="USA",INDEX('Currency Master'!B:B,MATCH(DATE(N1310,MONTH(DATEVALUE(O1310&amp;" 1")),1),'Currency Master'!A:A,0)),IF(C1310="Australia",INDEX('Currency Master'!T:T,MATCH(DATE(N1310,MONTH(DATEVALUE(O1310&amp;" 1")),1),'Currency Master'!A:A,0)),"")))</f>
        <v>28.69</v>
      </c>
      <c r="J1310" s="3">
        <f t="shared" si="80"/>
        <v>88.41</v>
      </c>
      <c r="K1310" s="3" t="str">
        <f t="shared" si="81"/>
        <v>₹/Kg</v>
      </c>
      <c r="L1310" s="3">
        <v>5.4000000000000003E-3</v>
      </c>
      <c r="M1310" s="3"/>
      <c r="N1310" s="3">
        <f t="shared" si="82"/>
        <v>2003</v>
      </c>
      <c r="O1310" s="3" t="str">
        <f t="shared" si="83"/>
        <v>August</v>
      </c>
      <c r="P1310" s="3" t="s">
        <v>37</v>
      </c>
      <c r="Q1310" s="3"/>
    </row>
    <row r="1311" spans="1:17" hidden="1" x14ac:dyDescent="0.3">
      <c r="A1311" s="2">
        <v>37803</v>
      </c>
      <c r="B1311" s="3" t="s">
        <v>31</v>
      </c>
      <c r="C1311" s="3" t="s">
        <v>32</v>
      </c>
      <c r="D1311" s="3" t="s">
        <v>33</v>
      </c>
      <c r="E1311" s="3" t="s">
        <v>34</v>
      </c>
      <c r="F1311" s="3">
        <v>306.51</v>
      </c>
      <c r="G1311" s="3" t="s">
        <v>35</v>
      </c>
      <c r="H1311" s="3" t="s">
        <v>36</v>
      </c>
      <c r="I1311" s="3">
        <f>IF(C1311="India",1,IF(C1311="USA",INDEX('Currency Master'!B:B,MATCH(DATE(N1311,MONTH(DATEVALUE(O1311&amp;" 1")),1),'Currency Master'!A:A,0)),IF(C1311="Australia",INDEX('Currency Master'!T:T,MATCH(DATE(N1311,MONTH(DATEVALUE(O1311&amp;" 1")),1),'Currency Master'!A:A,0)),"")))</f>
        <v>28.978000000000002</v>
      </c>
      <c r="J1311" s="3">
        <f t="shared" si="80"/>
        <v>88.82</v>
      </c>
      <c r="K1311" s="3" t="str">
        <f t="shared" si="81"/>
        <v>₹/Kg</v>
      </c>
      <c r="L1311" s="3">
        <v>-6.3299999999999995E-2</v>
      </c>
      <c r="M1311" s="3"/>
      <c r="N1311" s="3">
        <f t="shared" si="82"/>
        <v>2003</v>
      </c>
      <c r="O1311" s="3" t="str">
        <f t="shared" si="83"/>
        <v>July</v>
      </c>
      <c r="P1311" s="3" t="s">
        <v>37</v>
      </c>
      <c r="Q1311" s="3"/>
    </row>
    <row r="1312" spans="1:17" hidden="1" x14ac:dyDescent="0.3">
      <c r="A1312" s="2">
        <v>37773</v>
      </c>
      <c r="B1312" s="3" t="s">
        <v>31</v>
      </c>
      <c r="C1312" s="3" t="s">
        <v>32</v>
      </c>
      <c r="D1312" s="3" t="s">
        <v>33</v>
      </c>
      <c r="E1312" s="3" t="s">
        <v>34</v>
      </c>
      <c r="F1312" s="3">
        <v>327.20999999999998</v>
      </c>
      <c r="G1312" s="3" t="s">
        <v>35</v>
      </c>
      <c r="H1312" s="3" t="s">
        <v>36</v>
      </c>
      <c r="I1312" s="3">
        <f>IF(C1312="India",1,IF(C1312="USA",INDEX('Currency Master'!B:B,MATCH(DATE(N1312,MONTH(DATEVALUE(O1312&amp;" 1")),1),'Currency Master'!A:A,0)),IF(C1312="Australia",INDEX('Currency Master'!T:T,MATCH(DATE(N1312,MONTH(DATEVALUE(O1312&amp;" 1")),1),'Currency Master'!A:A,0)),"")))</f>
        <v>28.08</v>
      </c>
      <c r="J1312" s="3">
        <f t="shared" si="80"/>
        <v>91.88</v>
      </c>
      <c r="K1312" s="3" t="str">
        <f t="shared" si="81"/>
        <v>₹/Kg</v>
      </c>
      <c r="L1312" s="3">
        <v>2.0799999999999999E-2</v>
      </c>
      <c r="M1312" s="3"/>
      <c r="N1312" s="3">
        <f t="shared" si="82"/>
        <v>2003</v>
      </c>
      <c r="O1312" s="3" t="str">
        <f t="shared" si="83"/>
        <v>June</v>
      </c>
      <c r="P1312" s="3" t="s">
        <v>37</v>
      </c>
      <c r="Q1312" s="3"/>
    </row>
    <row r="1313" spans="1:17" hidden="1" x14ac:dyDescent="0.3">
      <c r="A1313" s="2">
        <v>37742</v>
      </c>
      <c r="B1313" s="3" t="s">
        <v>31</v>
      </c>
      <c r="C1313" s="3" t="s">
        <v>32</v>
      </c>
      <c r="D1313" s="3" t="s">
        <v>33</v>
      </c>
      <c r="E1313" s="3" t="s">
        <v>34</v>
      </c>
      <c r="F1313" s="3">
        <v>320.56</v>
      </c>
      <c r="G1313" s="3" t="s">
        <v>35</v>
      </c>
      <c r="H1313" s="3" t="s">
        <v>36</v>
      </c>
      <c r="I1313" s="3">
        <f>IF(C1313="India",1,IF(C1313="USA",INDEX('Currency Master'!B:B,MATCH(DATE(N1313,MONTH(DATEVALUE(O1313&amp;" 1")),1),'Currency Master'!A:A,0)),IF(C1313="Australia",INDEX('Currency Master'!T:T,MATCH(DATE(N1313,MONTH(DATEVALUE(O1313&amp;" 1")),1),'Currency Master'!A:A,0)),"")))</f>
        <v>26.907</v>
      </c>
      <c r="J1313" s="3">
        <f t="shared" si="80"/>
        <v>86.25</v>
      </c>
      <c r="K1313" s="3" t="str">
        <f t="shared" si="81"/>
        <v>₹/Kg</v>
      </c>
      <c r="L1313" s="3">
        <v>-7.5600000000000001E-2</v>
      </c>
      <c r="M1313" s="3"/>
      <c r="N1313" s="3">
        <f t="shared" si="82"/>
        <v>2003</v>
      </c>
      <c r="O1313" s="3" t="str">
        <f t="shared" si="83"/>
        <v>May</v>
      </c>
      <c r="P1313" s="3" t="s">
        <v>37</v>
      </c>
      <c r="Q1313" s="3"/>
    </row>
    <row r="1314" spans="1:17" hidden="1" x14ac:dyDescent="0.3">
      <c r="A1314" s="2">
        <v>37712</v>
      </c>
      <c r="B1314" s="3" t="s">
        <v>31</v>
      </c>
      <c r="C1314" s="3" t="s">
        <v>32</v>
      </c>
      <c r="D1314" s="3" t="s">
        <v>33</v>
      </c>
      <c r="E1314" s="3" t="s">
        <v>34</v>
      </c>
      <c r="F1314" s="3">
        <v>346.79</v>
      </c>
      <c r="G1314" s="3" t="s">
        <v>35</v>
      </c>
      <c r="H1314" s="3" t="s">
        <v>36</v>
      </c>
      <c r="I1314" s="3">
        <f>IF(C1314="India",1,IF(C1314="USA",INDEX('Currency Master'!B:B,MATCH(DATE(N1314,MONTH(DATEVALUE(O1314&amp;" 1")),1),'Currency Master'!A:A,0)),IF(C1314="Australia",INDEX('Currency Master'!T:T,MATCH(DATE(N1314,MONTH(DATEVALUE(O1314&amp;" 1")),1),'Currency Master'!A:A,0)),"")))</f>
        <v>27.085000000000001</v>
      </c>
      <c r="J1314" s="3">
        <f t="shared" si="80"/>
        <v>93.93</v>
      </c>
      <c r="K1314" s="3" t="str">
        <f t="shared" si="81"/>
        <v>₹/Kg</v>
      </c>
      <c r="L1314" s="3">
        <v>-0.01</v>
      </c>
      <c r="M1314" s="3"/>
      <c r="N1314" s="3">
        <f t="shared" si="82"/>
        <v>2003</v>
      </c>
      <c r="O1314" s="3" t="str">
        <f t="shared" si="83"/>
        <v>April</v>
      </c>
      <c r="P1314" s="3" t="s">
        <v>37</v>
      </c>
      <c r="Q1314" s="3"/>
    </row>
    <row r="1315" spans="1:17" hidden="1" x14ac:dyDescent="0.3">
      <c r="A1315" s="2">
        <v>37681</v>
      </c>
      <c r="B1315" s="3" t="s">
        <v>31</v>
      </c>
      <c r="C1315" s="3" t="s">
        <v>32</v>
      </c>
      <c r="D1315" s="3" t="s">
        <v>33</v>
      </c>
      <c r="E1315" s="3" t="s">
        <v>34</v>
      </c>
      <c r="F1315" s="3">
        <v>350.29</v>
      </c>
      <c r="G1315" s="3" t="s">
        <v>35</v>
      </c>
      <c r="H1315" s="3" t="s">
        <v>36</v>
      </c>
      <c r="I1315" s="3">
        <f>IF(C1315="India",1,IF(C1315="USA",INDEX('Currency Master'!B:B,MATCH(DATE(N1315,MONTH(DATEVALUE(O1315&amp;" 1")),1),'Currency Master'!A:A,0)),IF(C1315="Australia",INDEX('Currency Master'!T:T,MATCH(DATE(N1315,MONTH(DATEVALUE(O1315&amp;" 1")),1),'Currency Master'!A:A,0)),"")))</f>
        <v>26.826000000000001</v>
      </c>
      <c r="J1315" s="3">
        <f t="shared" si="80"/>
        <v>93.97</v>
      </c>
      <c r="K1315" s="3" t="str">
        <f t="shared" si="81"/>
        <v>₹/Kg</v>
      </c>
      <c r="L1315" s="3" t="s">
        <v>23</v>
      </c>
      <c r="M1315" s="3"/>
      <c r="N1315" s="3">
        <f t="shared" si="82"/>
        <v>2003</v>
      </c>
      <c r="O1315" s="3" t="str">
        <f t="shared" si="83"/>
        <v>March</v>
      </c>
      <c r="P1315" s="3" t="s">
        <v>37</v>
      </c>
      <c r="Q1315" s="3"/>
    </row>
    <row r="1316" spans="1:17" hidden="1" x14ac:dyDescent="0.3">
      <c r="A1316" s="2">
        <v>45231</v>
      </c>
      <c r="B1316" s="3" t="s">
        <v>31</v>
      </c>
      <c r="C1316" s="3" t="s">
        <v>32</v>
      </c>
      <c r="D1316" s="3" t="s">
        <v>38</v>
      </c>
      <c r="E1316" s="3" t="s">
        <v>39</v>
      </c>
      <c r="F1316" s="3">
        <v>775.54</v>
      </c>
      <c r="G1316" s="3" t="s">
        <v>40</v>
      </c>
      <c r="H1316" s="3" t="s">
        <v>17</v>
      </c>
      <c r="I1316" s="3">
        <f>IF(C1316="India",1,IF(C1316="USA",INDEX('Currency Master'!B:B,MATCH(DATE(N1316,MONTH(DATEVALUE(O1316&amp;" 1")),1),'Currency Master'!A:A,0)),IF(C1316="Australia",INDEX('Currency Master'!T:T,MATCH(DATE(N1316,MONTH(DATEVALUE(O1316&amp;" 1")),1),'Currency Master'!A:A,0)),"")))</f>
        <v>54.722000000000001</v>
      </c>
      <c r="J1316" s="3">
        <f t="shared" si="80"/>
        <v>775.54</v>
      </c>
      <c r="K1316" s="3" t="str">
        <f t="shared" si="81"/>
        <v>₹/Kg</v>
      </c>
      <c r="L1316" s="3">
        <v>4.2099999999999999E-2</v>
      </c>
      <c r="M1316" s="3"/>
      <c r="N1316" s="3">
        <f t="shared" si="82"/>
        <v>2023</v>
      </c>
      <c r="O1316" s="3" t="str">
        <f t="shared" si="83"/>
        <v>November</v>
      </c>
      <c r="P1316" s="3" t="s">
        <v>41</v>
      </c>
      <c r="Q1316" s="3"/>
    </row>
    <row r="1317" spans="1:17" hidden="1" x14ac:dyDescent="0.3">
      <c r="A1317" s="2">
        <v>45200</v>
      </c>
      <c r="B1317" s="3" t="s">
        <v>31</v>
      </c>
      <c r="C1317" s="3" t="s">
        <v>32</v>
      </c>
      <c r="D1317" s="3" t="s">
        <v>38</v>
      </c>
      <c r="E1317" s="3" t="s">
        <v>39</v>
      </c>
      <c r="F1317" s="3">
        <v>744.19</v>
      </c>
      <c r="G1317" s="3" t="s">
        <v>40</v>
      </c>
      <c r="H1317" s="3" t="s">
        <v>17</v>
      </c>
      <c r="I1317" s="3">
        <f>IF(C1317="India",1,IF(C1317="USA",INDEX('Currency Master'!B:B,MATCH(DATE(N1317,MONTH(DATEVALUE(O1317&amp;" 1")),1),'Currency Master'!A:A,0)),IF(C1317="Australia",INDEX('Currency Master'!T:T,MATCH(DATE(N1317,MONTH(DATEVALUE(O1317&amp;" 1")),1),'Currency Master'!A:A,0)),"")))</f>
        <v>53.741999999999997</v>
      </c>
      <c r="J1317" s="3">
        <f t="shared" si="80"/>
        <v>744.19</v>
      </c>
      <c r="K1317" s="3" t="str">
        <f t="shared" si="81"/>
        <v>₹/Kg</v>
      </c>
      <c r="L1317" s="3">
        <v>-1.38E-2</v>
      </c>
      <c r="M1317" s="3"/>
      <c r="N1317" s="3">
        <f t="shared" si="82"/>
        <v>2023</v>
      </c>
      <c r="O1317" s="3" t="str">
        <f t="shared" si="83"/>
        <v>October</v>
      </c>
      <c r="P1317" s="3" t="s">
        <v>41</v>
      </c>
      <c r="Q1317" s="3"/>
    </row>
    <row r="1318" spans="1:17" hidden="1" x14ac:dyDescent="0.3">
      <c r="A1318" s="2">
        <v>45170</v>
      </c>
      <c r="B1318" s="3" t="s">
        <v>31</v>
      </c>
      <c r="C1318" s="3" t="s">
        <v>32</v>
      </c>
      <c r="D1318" s="3" t="s">
        <v>38</v>
      </c>
      <c r="E1318" s="3" t="s">
        <v>39</v>
      </c>
      <c r="F1318" s="3">
        <v>753.81</v>
      </c>
      <c r="G1318" s="3" t="s">
        <v>40</v>
      </c>
      <c r="H1318" s="3" t="s">
        <v>17</v>
      </c>
      <c r="I1318" s="3">
        <f>IF(C1318="India",1,IF(C1318="USA",INDEX('Currency Master'!B:B,MATCH(DATE(N1318,MONTH(DATEVALUE(O1318&amp;" 1")),1),'Currency Master'!A:A,0)),IF(C1318="Australia",INDEX('Currency Master'!T:T,MATCH(DATE(N1318,MONTH(DATEVALUE(O1318&amp;" 1")),1),'Currency Master'!A:A,0)),"")))</f>
        <v>54.040999999999997</v>
      </c>
      <c r="J1318" s="3">
        <f t="shared" si="80"/>
        <v>753.81</v>
      </c>
      <c r="K1318" s="3" t="str">
        <f t="shared" si="81"/>
        <v>₹/Kg</v>
      </c>
      <c r="L1318" s="3">
        <v>-2.3599999999999999E-2</v>
      </c>
      <c r="M1318" s="3"/>
      <c r="N1318" s="3">
        <f t="shared" si="82"/>
        <v>2023</v>
      </c>
      <c r="O1318" s="3" t="str">
        <f t="shared" si="83"/>
        <v>September</v>
      </c>
      <c r="P1318" s="3" t="s">
        <v>41</v>
      </c>
      <c r="Q1318" s="3"/>
    </row>
    <row r="1319" spans="1:17" hidden="1" x14ac:dyDescent="0.3">
      <c r="A1319" s="2">
        <v>45139</v>
      </c>
      <c r="B1319" s="3" t="s">
        <v>31</v>
      </c>
      <c r="C1319" s="3" t="s">
        <v>32</v>
      </c>
      <c r="D1319" s="3" t="s">
        <v>38</v>
      </c>
      <c r="E1319" s="3" t="s">
        <v>39</v>
      </c>
      <c r="F1319" s="3">
        <v>772.06</v>
      </c>
      <c r="G1319" s="3" t="s">
        <v>40</v>
      </c>
      <c r="H1319" s="3" t="s">
        <v>17</v>
      </c>
      <c r="I1319" s="3">
        <f>IF(C1319="India",1,IF(C1319="USA",INDEX('Currency Master'!B:B,MATCH(DATE(N1319,MONTH(DATEVALUE(O1319&amp;" 1")),1),'Currency Master'!A:A,0)),IF(C1319="Australia",INDEX('Currency Master'!T:T,MATCH(DATE(N1319,MONTH(DATEVALUE(O1319&amp;" 1")),1),'Currency Master'!A:A,0)),"")))</f>
        <v>54.923999999999999</v>
      </c>
      <c r="J1319" s="3">
        <f t="shared" si="80"/>
        <v>772.06</v>
      </c>
      <c r="K1319" s="3" t="str">
        <f t="shared" si="81"/>
        <v>₹/Kg</v>
      </c>
      <c r="L1319" s="3">
        <v>-5.28E-2</v>
      </c>
      <c r="M1319" s="3"/>
      <c r="N1319" s="3">
        <f t="shared" si="82"/>
        <v>2023</v>
      </c>
      <c r="O1319" s="3" t="str">
        <f t="shared" si="83"/>
        <v>August</v>
      </c>
      <c r="P1319" s="3" t="s">
        <v>41</v>
      </c>
      <c r="Q1319" s="3"/>
    </row>
    <row r="1320" spans="1:17" hidden="1" x14ac:dyDescent="0.3">
      <c r="A1320" s="2">
        <v>45108</v>
      </c>
      <c r="B1320" s="3" t="s">
        <v>31</v>
      </c>
      <c r="C1320" s="3" t="s">
        <v>32</v>
      </c>
      <c r="D1320" s="3" t="s">
        <v>38</v>
      </c>
      <c r="E1320" s="3" t="s">
        <v>39</v>
      </c>
      <c r="F1320" s="3">
        <v>815.09</v>
      </c>
      <c r="G1320" s="3" t="s">
        <v>40</v>
      </c>
      <c r="H1320" s="3" t="s">
        <v>17</v>
      </c>
      <c r="I1320" s="3">
        <f>IF(C1320="India",1,IF(C1320="USA",INDEX('Currency Master'!B:B,MATCH(DATE(N1320,MONTH(DATEVALUE(O1320&amp;" 1")),1),'Currency Master'!A:A,0)),IF(C1320="Australia",INDEX('Currency Master'!T:T,MATCH(DATE(N1320,MONTH(DATEVALUE(O1320&amp;" 1")),1),'Currency Master'!A:A,0)),"")))</f>
        <v>55.6</v>
      </c>
      <c r="J1320" s="3">
        <f t="shared" si="80"/>
        <v>815.09</v>
      </c>
      <c r="K1320" s="3" t="str">
        <f t="shared" si="81"/>
        <v>₹/Kg</v>
      </c>
      <c r="L1320" s="3">
        <v>9.1999999999999998E-3</v>
      </c>
      <c r="M1320" s="3"/>
      <c r="N1320" s="3">
        <f t="shared" si="82"/>
        <v>2023</v>
      </c>
      <c r="O1320" s="3" t="str">
        <f t="shared" si="83"/>
        <v>July</v>
      </c>
      <c r="P1320" s="3" t="s">
        <v>41</v>
      </c>
      <c r="Q1320" s="3"/>
    </row>
    <row r="1321" spans="1:17" hidden="1" x14ac:dyDescent="0.3">
      <c r="A1321" s="2">
        <v>45078</v>
      </c>
      <c r="B1321" s="3" t="s">
        <v>31</v>
      </c>
      <c r="C1321" s="3" t="s">
        <v>32</v>
      </c>
      <c r="D1321" s="3" t="s">
        <v>38</v>
      </c>
      <c r="E1321" s="3" t="s">
        <v>39</v>
      </c>
      <c r="F1321" s="3">
        <v>807.66</v>
      </c>
      <c r="G1321" s="3" t="s">
        <v>40</v>
      </c>
      <c r="H1321" s="3" t="s">
        <v>17</v>
      </c>
      <c r="I1321" s="3">
        <f>IF(C1321="India",1,IF(C1321="USA",INDEX('Currency Master'!B:B,MATCH(DATE(N1321,MONTH(DATEVALUE(O1321&amp;" 1")),1),'Currency Master'!A:A,0)),IF(C1321="Australia",INDEX('Currency Master'!T:T,MATCH(DATE(N1321,MONTH(DATEVALUE(O1321&amp;" 1")),1),'Currency Master'!A:A,0)),"")))</f>
        <v>57.658999999999999</v>
      </c>
      <c r="J1321" s="3">
        <f t="shared" si="80"/>
        <v>807.66</v>
      </c>
      <c r="K1321" s="3" t="str">
        <f t="shared" si="81"/>
        <v>₹/Kg</v>
      </c>
      <c r="L1321" s="3">
        <v>-6.5799999999999997E-2</v>
      </c>
      <c r="M1321" s="3"/>
      <c r="N1321" s="3">
        <f t="shared" si="82"/>
        <v>2023</v>
      </c>
      <c r="O1321" s="3" t="str">
        <f t="shared" si="83"/>
        <v>June</v>
      </c>
      <c r="P1321" s="3" t="s">
        <v>41</v>
      </c>
      <c r="Q1321" s="3"/>
    </row>
    <row r="1322" spans="1:17" hidden="1" x14ac:dyDescent="0.3">
      <c r="A1322" s="2">
        <v>45047</v>
      </c>
      <c r="B1322" s="3" t="s">
        <v>31</v>
      </c>
      <c r="C1322" s="3" t="s">
        <v>32</v>
      </c>
      <c r="D1322" s="3" t="s">
        <v>38</v>
      </c>
      <c r="E1322" s="3" t="s">
        <v>39</v>
      </c>
      <c r="F1322" s="3">
        <v>864.59</v>
      </c>
      <c r="G1322" s="3" t="s">
        <v>40</v>
      </c>
      <c r="H1322" s="3" t="s">
        <v>17</v>
      </c>
      <c r="I1322" s="3">
        <f>IF(C1322="India",1,IF(C1322="USA",INDEX('Currency Master'!B:B,MATCH(DATE(N1322,MONTH(DATEVALUE(O1322&amp;" 1")),1),'Currency Master'!A:A,0)),IF(C1322="Australia",INDEX('Currency Master'!T:T,MATCH(DATE(N1322,MONTH(DATEVALUE(O1322&amp;" 1")),1),'Currency Master'!A:A,0)),"")))</f>
        <v>56.354999999999997</v>
      </c>
      <c r="J1322" s="3">
        <f t="shared" si="80"/>
        <v>864.59</v>
      </c>
      <c r="K1322" s="3" t="str">
        <f t="shared" si="81"/>
        <v>₹/Kg</v>
      </c>
      <c r="L1322" s="3">
        <v>-2.98E-2</v>
      </c>
      <c r="M1322" s="3"/>
      <c r="N1322" s="3">
        <f t="shared" si="82"/>
        <v>2023</v>
      </c>
      <c r="O1322" s="3" t="str">
        <f t="shared" si="83"/>
        <v>May</v>
      </c>
      <c r="P1322" s="3" t="s">
        <v>41</v>
      </c>
      <c r="Q1322" s="3"/>
    </row>
    <row r="1323" spans="1:17" hidden="1" x14ac:dyDescent="0.3">
      <c r="A1323" s="2">
        <v>45017</v>
      </c>
      <c r="B1323" s="3" t="s">
        <v>31</v>
      </c>
      <c r="C1323" s="3" t="s">
        <v>32</v>
      </c>
      <c r="D1323" s="3" t="s">
        <v>38</v>
      </c>
      <c r="E1323" s="3" t="s">
        <v>39</v>
      </c>
      <c r="F1323" s="3">
        <v>891.19</v>
      </c>
      <c r="G1323" s="3" t="s">
        <v>40</v>
      </c>
      <c r="H1323" s="3" t="s">
        <v>17</v>
      </c>
      <c r="I1323" s="3">
        <f>IF(C1323="India",1,IF(C1323="USA",INDEX('Currency Master'!B:B,MATCH(DATE(N1323,MONTH(DATEVALUE(O1323&amp;" 1")),1),'Currency Master'!A:A,0)),IF(C1323="Australia",INDEX('Currency Master'!T:T,MATCH(DATE(N1323,MONTH(DATEVALUE(O1323&amp;" 1")),1),'Currency Master'!A:A,0)),"")))</f>
        <v>55.21</v>
      </c>
      <c r="J1323" s="3">
        <f t="shared" si="80"/>
        <v>891.19</v>
      </c>
      <c r="K1323" s="3" t="str">
        <f t="shared" si="81"/>
        <v>₹/Kg</v>
      </c>
      <c r="L1323" s="3">
        <v>-3.7999999999999999E-2</v>
      </c>
      <c r="M1323" s="3"/>
      <c r="N1323" s="3">
        <f t="shared" si="82"/>
        <v>2023</v>
      </c>
      <c r="O1323" s="3" t="str">
        <f t="shared" si="83"/>
        <v>April</v>
      </c>
      <c r="P1323" s="3" t="s">
        <v>41</v>
      </c>
      <c r="Q1323" s="3"/>
    </row>
    <row r="1324" spans="1:17" hidden="1" x14ac:dyDescent="0.3">
      <c r="A1324" s="2">
        <v>44986</v>
      </c>
      <c r="B1324" s="3" t="s">
        <v>31</v>
      </c>
      <c r="C1324" s="3" t="s">
        <v>32</v>
      </c>
      <c r="D1324" s="3" t="s">
        <v>38</v>
      </c>
      <c r="E1324" s="3" t="s">
        <v>39</v>
      </c>
      <c r="F1324" s="3">
        <v>926.4</v>
      </c>
      <c r="G1324" s="3" t="s">
        <v>40</v>
      </c>
      <c r="H1324" s="3" t="s">
        <v>17</v>
      </c>
      <c r="I1324" s="3">
        <f>IF(C1324="India",1,IF(C1324="USA",INDEX('Currency Master'!B:B,MATCH(DATE(N1324,MONTH(DATEVALUE(O1324&amp;" 1")),1),'Currency Master'!A:A,0)),IF(C1324="Australia",INDEX('Currency Master'!T:T,MATCH(DATE(N1324,MONTH(DATEVALUE(O1324&amp;" 1")),1),'Currency Master'!A:A,0)),"")))</f>
        <v>52.948</v>
      </c>
      <c r="J1324" s="3">
        <f t="shared" si="80"/>
        <v>926.4</v>
      </c>
      <c r="K1324" s="3" t="str">
        <f t="shared" si="81"/>
        <v>₹/Kg</v>
      </c>
      <c r="L1324" s="3">
        <v>-5.9499999999999997E-2</v>
      </c>
      <c r="M1324" s="3"/>
      <c r="N1324" s="3">
        <f t="shared" si="82"/>
        <v>2023</v>
      </c>
      <c r="O1324" s="3" t="str">
        <f t="shared" si="83"/>
        <v>March</v>
      </c>
      <c r="P1324" s="3" t="s">
        <v>41</v>
      </c>
      <c r="Q1324" s="3"/>
    </row>
    <row r="1325" spans="1:17" hidden="1" x14ac:dyDescent="0.3">
      <c r="A1325" s="2">
        <v>44958</v>
      </c>
      <c r="B1325" s="3" t="s">
        <v>31</v>
      </c>
      <c r="C1325" s="3" t="s">
        <v>32</v>
      </c>
      <c r="D1325" s="3" t="s">
        <v>38</v>
      </c>
      <c r="E1325" s="3" t="s">
        <v>39</v>
      </c>
      <c r="F1325" s="3">
        <v>984.99</v>
      </c>
      <c r="G1325" s="3" t="s">
        <v>40</v>
      </c>
      <c r="H1325" s="3" t="s">
        <v>17</v>
      </c>
      <c r="I1325" s="3">
        <f>IF(C1325="India",1,IF(C1325="USA",INDEX('Currency Master'!B:B,MATCH(DATE(N1325,MONTH(DATEVALUE(O1325&amp;" 1")),1),'Currency Master'!A:A,0)),IF(C1325="Australia",INDEX('Currency Master'!T:T,MATCH(DATE(N1325,MONTH(DATEVALUE(O1325&amp;" 1")),1),'Currency Master'!A:A,0)),"")))</f>
        <v>52.182000000000002</v>
      </c>
      <c r="J1325" s="3">
        <f t="shared" si="80"/>
        <v>984.99</v>
      </c>
      <c r="K1325" s="3" t="str">
        <f t="shared" si="81"/>
        <v>₹/Kg</v>
      </c>
      <c r="L1325" s="3">
        <v>4.19E-2</v>
      </c>
      <c r="M1325" s="3"/>
      <c r="N1325" s="3">
        <f t="shared" si="82"/>
        <v>2023</v>
      </c>
      <c r="O1325" s="3" t="str">
        <f t="shared" si="83"/>
        <v>February</v>
      </c>
      <c r="P1325" s="3" t="s">
        <v>41</v>
      </c>
      <c r="Q1325" s="3"/>
    </row>
    <row r="1326" spans="1:17" hidden="1" x14ac:dyDescent="0.3">
      <c r="A1326" s="2">
        <v>44927</v>
      </c>
      <c r="B1326" s="3" t="s">
        <v>31</v>
      </c>
      <c r="C1326" s="3" t="s">
        <v>32</v>
      </c>
      <c r="D1326" s="3" t="s">
        <v>38</v>
      </c>
      <c r="E1326" s="3" t="s">
        <v>39</v>
      </c>
      <c r="F1326" s="3">
        <v>945.41</v>
      </c>
      <c r="G1326" s="3" t="s">
        <v>40</v>
      </c>
      <c r="H1326" s="3" t="s">
        <v>17</v>
      </c>
      <c r="I1326" s="3">
        <f>IF(C1326="India",1,IF(C1326="USA",INDEX('Currency Master'!B:B,MATCH(DATE(N1326,MONTH(DATEVALUE(O1326&amp;" 1")),1),'Currency Master'!A:A,0)),IF(C1326="Australia",INDEX('Currency Master'!T:T,MATCH(DATE(N1326,MONTH(DATEVALUE(O1326&amp;" 1")),1),'Currency Master'!A:A,0)),"")))</f>
        <v>54.363999999999997</v>
      </c>
      <c r="J1326" s="3">
        <f t="shared" si="80"/>
        <v>945.41</v>
      </c>
      <c r="K1326" s="3" t="str">
        <f t="shared" si="81"/>
        <v>₹/Kg</v>
      </c>
      <c r="L1326" s="3">
        <v>8.1799999999999998E-2</v>
      </c>
      <c r="M1326" s="3"/>
      <c r="N1326" s="3">
        <f t="shared" si="82"/>
        <v>2023</v>
      </c>
      <c r="O1326" s="3" t="str">
        <f t="shared" si="83"/>
        <v>January</v>
      </c>
      <c r="P1326" s="3" t="s">
        <v>41</v>
      </c>
      <c r="Q1326" s="3"/>
    </row>
    <row r="1327" spans="1:17" hidden="1" x14ac:dyDescent="0.3">
      <c r="A1327" s="2">
        <v>44896</v>
      </c>
      <c r="B1327" s="3" t="s">
        <v>31</v>
      </c>
      <c r="C1327" s="3" t="s">
        <v>32</v>
      </c>
      <c r="D1327" s="3" t="s">
        <v>38</v>
      </c>
      <c r="E1327" s="3" t="s">
        <v>39</v>
      </c>
      <c r="F1327" s="3">
        <v>873.95</v>
      </c>
      <c r="G1327" s="3" t="s">
        <v>40</v>
      </c>
      <c r="H1327" s="3" t="s">
        <v>17</v>
      </c>
      <c r="I1327" s="3">
        <f>IF(C1327="India",1,IF(C1327="USA",INDEX('Currency Master'!B:B,MATCH(DATE(N1327,MONTH(DATEVALUE(O1327&amp;" 1")),1),'Currency Master'!A:A,0)),IF(C1327="Australia",INDEX('Currency Master'!T:T,MATCH(DATE(N1327,MONTH(DATEVALUE(O1327&amp;" 1")),1),'Currency Master'!A:A,0)),"")))</f>
        <v>55.415999999999997</v>
      </c>
      <c r="J1327" s="3">
        <f t="shared" si="80"/>
        <v>873.95</v>
      </c>
      <c r="K1327" s="3" t="str">
        <f t="shared" si="81"/>
        <v>₹/Kg</v>
      </c>
      <c r="L1327" s="3">
        <v>4.6699999999999998E-2</v>
      </c>
      <c r="M1327" s="3"/>
      <c r="N1327" s="3">
        <f t="shared" si="82"/>
        <v>2022</v>
      </c>
      <c r="O1327" s="3" t="str">
        <f t="shared" si="83"/>
        <v>December</v>
      </c>
      <c r="P1327" s="3" t="s">
        <v>41</v>
      </c>
      <c r="Q1327" s="3"/>
    </row>
    <row r="1328" spans="1:17" hidden="1" x14ac:dyDescent="0.3">
      <c r="A1328" s="2">
        <v>44866</v>
      </c>
      <c r="B1328" s="3" t="s">
        <v>31</v>
      </c>
      <c r="C1328" s="3" t="s">
        <v>32</v>
      </c>
      <c r="D1328" s="3" t="s">
        <v>38</v>
      </c>
      <c r="E1328" s="3" t="s">
        <v>39</v>
      </c>
      <c r="F1328" s="3">
        <v>834.94</v>
      </c>
      <c r="G1328" s="3" t="s">
        <v>40</v>
      </c>
      <c r="H1328" s="3" t="s">
        <v>17</v>
      </c>
      <c r="I1328" s="3">
        <f>IF(C1328="India",1,IF(C1328="USA",INDEX('Currency Master'!B:B,MATCH(DATE(N1328,MONTH(DATEVALUE(O1328&amp;" 1")),1),'Currency Master'!A:A,0)),IF(C1328="Australia",INDEX('Currency Master'!T:T,MATCH(DATE(N1328,MONTH(DATEVALUE(O1328&amp;" 1")),1),'Currency Master'!A:A,0)),"")))</f>
        <v>54.482999999999997</v>
      </c>
      <c r="J1328" s="3">
        <f t="shared" si="80"/>
        <v>834.94</v>
      </c>
      <c r="K1328" s="3" t="str">
        <f t="shared" si="81"/>
        <v>₹/Kg</v>
      </c>
      <c r="L1328" s="3">
        <v>9.1999999999999998E-3</v>
      </c>
      <c r="M1328" s="3"/>
      <c r="N1328" s="3">
        <f t="shared" si="82"/>
        <v>2022</v>
      </c>
      <c r="O1328" s="3" t="str">
        <f t="shared" si="83"/>
        <v>November</v>
      </c>
      <c r="P1328" s="3" t="s">
        <v>41</v>
      </c>
      <c r="Q1328" s="3"/>
    </row>
    <row r="1329" spans="1:17" hidden="1" x14ac:dyDescent="0.3">
      <c r="A1329" s="2">
        <v>44835</v>
      </c>
      <c r="B1329" s="3" t="s">
        <v>31</v>
      </c>
      <c r="C1329" s="3" t="s">
        <v>32</v>
      </c>
      <c r="D1329" s="3" t="s">
        <v>38</v>
      </c>
      <c r="E1329" s="3" t="s">
        <v>39</v>
      </c>
      <c r="F1329" s="3">
        <v>827.3</v>
      </c>
      <c r="G1329" s="3" t="s">
        <v>40</v>
      </c>
      <c r="H1329" s="3" t="s">
        <v>17</v>
      </c>
      <c r="I1329" s="3">
        <f>IF(C1329="India",1,IF(C1329="USA",INDEX('Currency Master'!B:B,MATCH(DATE(N1329,MONTH(DATEVALUE(O1329&amp;" 1")),1),'Currency Master'!A:A,0)),IF(C1329="Australia",INDEX('Currency Master'!T:T,MATCH(DATE(N1329,MONTH(DATEVALUE(O1329&amp;" 1")),1),'Currency Master'!A:A,0)),"")))</f>
        <v>55.648000000000003</v>
      </c>
      <c r="J1329" s="3">
        <f t="shared" si="80"/>
        <v>827.3</v>
      </c>
      <c r="K1329" s="3" t="str">
        <f t="shared" si="81"/>
        <v>₹/Kg</v>
      </c>
      <c r="L1329" s="3">
        <v>-3.4200000000000001E-2</v>
      </c>
      <c r="M1329" s="3"/>
      <c r="N1329" s="3">
        <f t="shared" si="82"/>
        <v>2022</v>
      </c>
      <c r="O1329" s="3" t="str">
        <f t="shared" si="83"/>
        <v>October</v>
      </c>
      <c r="P1329" s="3" t="s">
        <v>41</v>
      </c>
      <c r="Q1329" s="3"/>
    </row>
    <row r="1330" spans="1:17" hidden="1" x14ac:dyDescent="0.3">
      <c r="A1330" s="2">
        <v>44805</v>
      </c>
      <c r="B1330" s="3" t="s">
        <v>31</v>
      </c>
      <c r="C1330" s="3" t="s">
        <v>32</v>
      </c>
      <c r="D1330" s="3" t="s">
        <v>38</v>
      </c>
      <c r="E1330" s="3" t="s">
        <v>39</v>
      </c>
      <c r="F1330" s="3">
        <v>856.58</v>
      </c>
      <c r="G1330" s="3" t="s">
        <v>40</v>
      </c>
      <c r="H1330" s="3" t="s">
        <v>17</v>
      </c>
      <c r="I1330" s="3">
        <f>IF(C1330="India",1,IF(C1330="USA",INDEX('Currency Master'!B:B,MATCH(DATE(N1330,MONTH(DATEVALUE(O1330&amp;" 1")),1),'Currency Master'!A:A,0)),IF(C1330="Australia",INDEX('Currency Master'!T:T,MATCH(DATE(N1330,MONTH(DATEVALUE(O1330&amp;" 1")),1),'Currency Master'!A:A,0)),"")))</f>
        <v>54.045999999999999</v>
      </c>
      <c r="J1330" s="3">
        <f t="shared" si="80"/>
        <v>856.58</v>
      </c>
      <c r="K1330" s="3" t="str">
        <f t="shared" si="81"/>
        <v>₹/Kg</v>
      </c>
      <c r="L1330" s="3">
        <v>-4.2700000000000002E-2</v>
      </c>
      <c r="M1330" s="3"/>
      <c r="N1330" s="3">
        <f t="shared" si="82"/>
        <v>2022</v>
      </c>
      <c r="O1330" s="3" t="str">
        <f t="shared" si="83"/>
        <v>September</v>
      </c>
      <c r="P1330" s="3" t="s">
        <v>41</v>
      </c>
      <c r="Q1330" s="3"/>
    </row>
    <row r="1331" spans="1:17" hidden="1" x14ac:dyDescent="0.3">
      <c r="A1331" s="2">
        <v>44774</v>
      </c>
      <c r="B1331" s="3" t="s">
        <v>31</v>
      </c>
      <c r="C1331" s="3" t="s">
        <v>32</v>
      </c>
      <c r="D1331" s="3" t="s">
        <v>38</v>
      </c>
      <c r="E1331" s="3" t="s">
        <v>39</v>
      </c>
      <c r="F1331" s="3">
        <v>894.83</v>
      </c>
      <c r="G1331" s="3" t="s">
        <v>40</v>
      </c>
      <c r="H1331" s="3" t="s">
        <v>17</v>
      </c>
      <c r="I1331" s="3">
        <f>IF(C1331="India",1,IF(C1331="USA",INDEX('Currency Master'!B:B,MATCH(DATE(N1331,MONTH(DATEVALUE(O1331&amp;" 1")),1),'Currency Master'!A:A,0)),IF(C1331="Australia",INDEX('Currency Master'!T:T,MATCH(DATE(N1331,MONTH(DATEVALUE(O1331&amp;" 1")),1),'Currency Master'!A:A,0)),"")))</f>
        <v>56.774000000000001</v>
      </c>
      <c r="J1331" s="3">
        <f t="shared" si="80"/>
        <v>894.83</v>
      </c>
      <c r="K1331" s="3" t="str">
        <f t="shared" si="81"/>
        <v>₹/Kg</v>
      </c>
      <c r="L1331" s="3">
        <v>-2.8400000000000002E-2</v>
      </c>
      <c r="M1331" s="3"/>
      <c r="N1331" s="3">
        <f t="shared" si="82"/>
        <v>2022</v>
      </c>
      <c r="O1331" s="3" t="str">
        <f t="shared" si="83"/>
        <v>August</v>
      </c>
      <c r="P1331" s="3" t="s">
        <v>41</v>
      </c>
      <c r="Q1331" s="3"/>
    </row>
    <row r="1332" spans="1:17" hidden="1" x14ac:dyDescent="0.3">
      <c r="A1332" s="2">
        <v>44743</v>
      </c>
      <c r="B1332" s="3" t="s">
        <v>31</v>
      </c>
      <c r="C1332" s="3" t="s">
        <v>32</v>
      </c>
      <c r="D1332" s="3" t="s">
        <v>38</v>
      </c>
      <c r="E1332" s="3" t="s">
        <v>39</v>
      </c>
      <c r="F1332" s="3">
        <v>920.96</v>
      </c>
      <c r="G1332" s="3" t="s">
        <v>40</v>
      </c>
      <c r="H1332" s="3" t="s">
        <v>17</v>
      </c>
      <c r="I1332" s="3">
        <f>IF(C1332="India",1,IF(C1332="USA",INDEX('Currency Master'!B:B,MATCH(DATE(N1332,MONTH(DATEVALUE(O1332&amp;" 1")),1),'Currency Master'!A:A,0)),IF(C1332="Australia",INDEX('Currency Master'!T:T,MATCH(DATE(N1332,MONTH(DATEVALUE(O1332&amp;" 1")),1),'Currency Master'!A:A,0)),"")))</f>
        <v>54.823</v>
      </c>
      <c r="J1332" s="3">
        <f t="shared" si="80"/>
        <v>920.96</v>
      </c>
      <c r="K1332" s="3" t="str">
        <f t="shared" si="81"/>
        <v>₹/Kg</v>
      </c>
      <c r="L1332" s="3">
        <v>-5.8700000000000002E-2</v>
      </c>
      <c r="M1332" s="3"/>
      <c r="N1332" s="3">
        <f t="shared" si="82"/>
        <v>2022</v>
      </c>
      <c r="O1332" s="3" t="str">
        <f t="shared" si="83"/>
        <v>July</v>
      </c>
      <c r="P1332" s="3" t="s">
        <v>41</v>
      </c>
      <c r="Q1332" s="3"/>
    </row>
    <row r="1333" spans="1:17" hidden="1" x14ac:dyDescent="0.3">
      <c r="A1333" s="2">
        <v>44713</v>
      </c>
      <c r="B1333" s="3" t="s">
        <v>31</v>
      </c>
      <c r="C1333" s="3" t="s">
        <v>32</v>
      </c>
      <c r="D1333" s="3" t="s">
        <v>38</v>
      </c>
      <c r="E1333" s="3" t="s">
        <v>39</v>
      </c>
      <c r="F1333" s="3">
        <v>978.41</v>
      </c>
      <c r="G1333" s="3" t="s">
        <v>40</v>
      </c>
      <c r="H1333" s="3" t="s">
        <v>17</v>
      </c>
      <c r="I1333" s="3">
        <f>IF(C1333="India",1,IF(C1333="USA",INDEX('Currency Master'!B:B,MATCH(DATE(N1333,MONTH(DATEVALUE(O1333&amp;" 1")),1),'Currency Master'!A:A,0)),IF(C1333="Australia",INDEX('Currency Master'!T:T,MATCH(DATE(N1333,MONTH(DATEVALUE(O1333&amp;" 1")),1),'Currency Master'!A:A,0)),"")))</f>
        <v>52.646999999999998</v>
      </c>
      <c r="J1333" s="3">
        <f t="shared" si="80"/>
        <v>978.41</v>
      </c>
      <c r="K1333" s="3" t="str">
        <f t="shared" si="81"/>
        <v>₹/Kg</v>
      </c>
      <c r="L1333" s="3">
        <v>3.3799999999999997E-2</v>
      </c>
      <c r="M1333" s="3"/>
      <c r="N1333" s="3">
        <f t="shared" si="82"/>
        <v>2022</v>
      </c>
      <c r="O1333" s="3" t="str">
        <f t="shared" si="83"/>
        <v>June</v>
      </c>
      <c r="P1333" s="3" t="s">
        <v>41</v>
      </c>
      <c r="Q1333" s="3"/>
    </row>
    <row r="1334" spans="1:17" hidden="1" x14ac:dyDescent="0.3">
      <c r="A1334" s="2">
        <v>44682</v>
      </c>
      <c r="B1334" s="3" t="s">
        <v>31</v>
      </c>
      <c r="C1334" s="3" t="s">
        <v>32</v>
      </c>
      <c r="D1334" s="3" t="s">
        <v>38</v>
      </c>
      <c r="E1334" s="3" t="s">
        <v>39</v>
      </c>
      <c r="F1334" s="3">
        <v>946.46</v>
      </c>
      <c r="G1334" s="3" t="s">
        <v>40</v>
      </c>
      <c r="H1334" s="3" t="s">
        <v>17</v>
      </c>
      <c r="I1334" s="3">
        <f>IF(C1334="India",1,IF(C1334="USA",INDEX('Currency Master'!B:B,MATCH(DATE(N1334,MONTH(DATEVALUE(O1334&amp;" 1")),1),'Currency Master'!A:A,0)),IF(C1334="Australia",INDEX('Currency Master'!T:T,MATCH(DATE(N1334,MONTH(DATEVALUE(O1334&amp;" 1")),1),'Currency Master'!A:A,0)),"")))</f>
        <v>54.063000000000002</v>
      </c>
      <c r="J1334" s="3">
        <f t="shared" si="80"/>
        <v>946.46</v>
      </c>
      <c r="K1334" s="3" t="str">
        <f t="shared" si="81"/>
        <v>₹/Kg</v>
      </c>
      <c r="L1334" s="3">
        <v>2.0000000000000001E-4</v>
      </c>
      <c r="M1334" s="3"/>
      <c r="N1334" s="3">
        <f t="shared" si="82"/>
        <v>2022</v>
      </c>
      <c r="O1334" s="3" t="str">
        <f t="shared" si="83"/>
        <v>May</v>
      </c>
      <c r="P1334" s="3" t="s">
        <v>41</v>
      </c>
      <c r="Q1334" s="3"/>
    </row>
    <row r="1335" spans="1:17" hidden="1" x14ac:dyDescent="0.3">
      <c r="A1335" s="2">
        <v>44652</v>
      </c>
      <c r="B1335" s="3" t="s">
        <v>31</v>
      </c>
      <c r="C1335" s="3" t="s">
        <v>32</v>
      </c>
      <c r="D1335" s="3" t="s">
        <v>38</v>
      </c>
      <c r="E1335" s="3" t="s">
        <v>39</v>
      </c>
      <c r="F1335" s="3">
        <v>946.25</v>
      </c>
      <c r="G1335" s="3" t="s">
        <v>40</v>
      </c>
      <c r="H1335" s="3" t="s">
        <v>17</v>
      </c>
      <c r="I1335" s="3">
        <f>IF(C1335="India",1,IF(C1335="USA",INDEX('Currency Master'!B:B,MATCH(DATE(N1335,MONTH(DATEVALUE(O1335&amp;" 1")),1),'Currency Master'!A:A,0)),IF(C1335="Australia",INDEX('Currency Master'!T:T,MATCH(DATE(N1335,MONTH(DATEVALUE(O1335&amp;" 1")),1),'Currency Master'!A:A,0)),"")))</f>
        <v>53.487000000000002</v>
      </c>
      <c r="J1335" s="3">
        <f t="shared" si="80"/>
        <v>946.25</v>
      </c>
      <c r="K1335" s="3" t="str">
        <f t="shared" si="81"/>
        <v>₹/Kg</v>
      </c>
      <c r="L1335" s="3">
        <v>-5.9999999999999995E-4</v>
      </c>
      <c r="M1335" s="3"/>
      <c r="N1335" s="3">
        <f t="shared" si="82"/>
        <v>2022</v>
      </c>
      <c r="O1335" s="3" t="str">
        <f t="shared" si="83"/>
        <v>April</v>
      </c>
      <c r="P1335" s="3" t="s">
        <v>41</v>
      </c>
      <c r="Q1335" s="3"/>
    </row>
    <row r="1336" spans="1:17" hidden="1" x14ac:dyDescent="0.3">
      <c r="A1336" s="2">
        <v>44621</v>
      </c>
      <c r="B1336" s="3" t="s">
        <v>31</v>
      </c>
      <c r="C1336" s="3" t="s">
        <v>32</v>
      </c>
      <c r="D1336" s="3" t="s">
        <v>38</v>
      </c>
      <c r="E1336" s="3" t="s">
        <v>39</v>
      </c>
      <c r="F1336" s="3">
        <v>946.77</v>
      </c>
      <c r="G1336" s="3" t="s">
        <v>40</v>
      </c>
      <c r="H1336" s="3" t="s">
        <v>17</v>
      </c>
      <c r="I1336" s="3">
        <f>IF(C1336="India",1,IF(C1336="USA",INDEX('Currency Master'!B:B,MATCH(DATE(N1336,MONTH(DATEVALUE(O1336&amp;" 1")),1),'Currency Master'!A:A,0)),IF(C1336="Australia",INDEX('Currency Master'!T:T,MATCH(DATE(N1336,MONTH(DATEVALUE(O1336&amp;" 1")),1),'Currency Master'!A:A,0)),"")))</f>
        <v>56.344000000000001</v>
      </c>
      <c r="J1336" s="3">
        <f t="shared" si="80"/>
        <v>946.77</v>
      </c>
      <c r="K1336" s="3" t="str">
        <f t="shared" si="81"/>
        <v>₹/Kg</v>
      </c>
      <c r="L1336" s="3">
        <v>2.1700000000000001E-2</v>
      </c>
      <c r="M1336" s="3"/>
      <c r="N1336" s="3">
        <f t="shared" si="82"/>
        <v>2022</v>
      </c>
      <c r="O1336" s="3" t="str">
        <f t="shared" si="83"/>
        <v>March</v>
      </c>
      <c r="P1336" s="3" t="s">
        <v>41</v>
      </c>
      <c r="Q1336" s="3"/>
    </row>
    <row r="1337" spans="1:17" hidden="1" x14ac:dyDescent="0.3">
      <c r="A1337" s="2">
        <v>44593</v>
      </c>
      <c r="B1337" s="3" t="s">
        <v>31</v>
      </c>
      <c r="C1337" s="3" t="s">
        <v>32</v>
      </c>
      <c r="D1337" s="3" t="s">
        <v>38</v>
      </c>
      <c r="E1337" s="3" t="s">
        <v>39</v>
      </c>
      <c r="F1337" s="3">
        <v>926.63</v>
      </c>
      <c r="G1337" s="3" t="s">
        <v>40</v>
      </c>
      <c r="H1337" s="3" t="s">
        <v>17</v>
      </c>
      <c r="I1337" s="3">
        <f>IF(C1337="India",1,IF(C1337="USA",INDEX('Currency Master'!B:B,MATCH(DATE(N1337,MONTH(DATEVALUE(O1337&amp;" 1")),1),'Currency Master'!A:A,0)),IF(C1337="Australia",INDEX('Currency Master'!T:T,MATCH(DATE(N1337,MONTH(DATEVALUE(O1337&amp;" 1")),1),'Currency Master'!A:A,0)),"")))</f>
        <v>53.591000000000001</v>
      </c>
      <c r="J1337" s="3">
        <f t="shared" si="80"/>
        <v>926.63</v>
      </c>
      <c r="K1337" s="3" t="str">
        <f t="shared" si="81"/>
        <v>₹/Kg</v>
      </c>
      <c r="L1337" s="3">
        <v>1.6799999999999999E-2</v>
      </c>
      <c r="M1337" s="3"/>
      <c r="N1337" s="3">
        <f t="shared" si="82"/>
        <v>2022</v>
      </c>
      <c r="O1337" s="3" t="str">
        <f t="shared" si="83"/>
        <v>February</v>
      </c>
      <c r="P1337" s="3" t="s">
        <v>41</v>
      </c>
      <c r="Q1337" s="3"/>
    </row>
    <row r="1338" spans="1:17" hidden="1" x14ac:dyDescent="0.3">
      <c r="A1338" s="2">
        <v>44562</v>
      </c>
      <c r="B1338" s="3" t="s">
        <v>31</v>
      </c>
      <c r="C1338" s="3" t="s">
        <v>32</v>
      </c>
      <c r="D1338" s="3" t="s">
        <v>38</v>
      </c>
      <c r="E1338" s="3" t="s">
        <v>39</v>
      </c>
      <c r="F1338" s="3">
        <v>911.32</v>
      </c>
      <c r="G1338" s="3" t="s">
        <v>40</v>
      </c>
      <c r="H1338" s="3" t="s">
        <v>17</v>
      </c>
      <c r="I1338" s="3">
        <f>IF(C1338="India",1,IF(C1338="USA",INDEX('Currency Master'!B:B,MATCH(DATE(N1338,MONTH(DATEVALUE(O1338&amp;" 1")),1),'Currency Master'!A:A,0)),IF(C1338="Australia",INDEX('Currency Master'!T:T,MATCH(DATE(N1338,MONTH(DATEVALUE(O1338&amp;" 1")),1),'Currency Master'!A:A,0)),"")))</f>
        <v>53.360999999999997</v>
      </c>
      <c r="J1338" s="3">
        <f t="shared" si="80"/>
        <v>911.32</v>
      </c>
      <c r="K1338" s="3" t="str">
        <f t="shared" si="81"/>
        <v>₹/Kg</v>
      </c>
      <c r="L1338" s="3">
        <v>8.5000000000000006E-3</v>
      </c>
      <c r="M1338" s="3"/>
      <c r="N1338" s="3">
        <f t="shared" si="82"/>
        <v>2022</v>
      </c>
      <c r="O1338" s="3" t="str">
        <f t="shared" si="83"/>
        <v>January</v>
      </c>
      <c r="P1338" s="3" t="s">
        <v>41</v>
      </c>
      <c r="Q1338" s="3"/>
    </row>
    <row r="1339" spans="1:17" hidden="1" x14ac:dyDescent="0.3">
      <c r="A1339" s="2">
        <v>44531</v>
      </c>
      <c r="B1339" s="3" t="s">
        <v>31</v>
      </c>
      <c r="C1339" s="3" t="s">
        <v>32</v>
      </c>
      <c r="D1339" s="3" t="s">
        <v>38</v>
      </c>
      <c r="E1339" s="3" t="s">
        <v>39</v>
      </c>
      <c r="F1339" s="3">
        <v>903.62</v>
      </c>
      <c r="G1339" s="3" t="s">
        <v>40</v>
      </c>
      <c r="H1339" s="3" t="s">
        <v>17</v>
      </c>
      <c r="I1339" s="3">
        <f>IF(C1339="India",1,IF(C1339="USA",INDEX('Currency Master'!B:B,MATCH(DATE(N1339,MONTH(DATEVALUE(O1339&amp;" 1")),1),'Currency Master'!A:A,0)),IF(C1339="Australia",INDEX('Currency Master'!T:T,MATCH(DATE(N1339,MONTH(DATEVALUE(O1339&amp;" 1")),1),'Currency Master'!A:A,0)),"")))</f>
        <v>54.593000000000004</v>
      </c>
      <c r="J1339" s="3">
        <f t="shared" si="80"/>
        <v>903.62</v>
      </c>
      <c r="K1339" s="3" t="str">
        <f t="shared" si="81"/>
        <v>₹/Kg</v>
      </c>
      <c r="L1339" s="3">
        <v>1.4200000000000001E-2</v>
      </c>
      <c r="M1339" s="3"/>
      <c r="N1339" s="3">
        <f t="shared" si="82"/>
        <v>2021</v>
      </c>
      <c r="O1339" s="3" t="str">
        <f t="shared" si="83"/>
        <v>December</v>
      </c>
      <c r="P1339" s="3" t="s">
        <v>41</v>
      </c>
      <c r="Q1339" s="3"/>
    </row>
    <row r="1340" spans="1:17" hidden="1" x14ac:dyDescent="0.3">
      <c r="A1340" s="2">
        <v>44501</v>
      </c>
      <c r="B1340" s="3" t="s">
        <v>31</v>
      </c>
      <c r="C1340" s="3" t="s">
        <v>32</v>
      </c>
      <c r="D1340" s="3" t="s">
        <v>38</v>
      </c>
      <c r="E1340" s="3" t="s">
        <v>39</v>
      </c>
      <c r="F1340" s="3">
        <v>890.94</v>
      </c>
      <c r="G1340" s="3" t="s">
        <v>40</v>
      </c>
      <c r="H1340" s="3" t="s">
        <v>17</v>
      </c>
      <c r="I1340" s="3">
        <f>IF(C1340="India",1,IF(C1340="USA",INDEX('Currency Master'!B:B,MATCH(DATE(N1340,MONTH(DATEVALUE(O1340&amp;" 1")),1),'Currency Master'!A:A,0)),IF(C1340="Australia",INDEX('Currency Master'!T:T,MATCH(DATE(N1340,MONTH(DATEVALUE(O1340&amp;" 1")),1),'Currency Master'!A:A,0)),"")))</f>
        <v>55.755000000000003</v>
      </c>
      <c r="J1340" s="3">
        <f t="shared" si="80"/>
        <v>890.94</v>
      </c>
      <c r="K1340" s="3" t="str">
        <f t="shared" si="81"/>
        <v>₹/Kg</v>
      </c>
      <c r="L1340" s="3">
        <v>-3.0599999999999999E-2</v>
      </c>
      <c r="M1340" s="3"/>
      <c r="N1340" s="3">
        <f t="shared" si="82"/>
        <v>2021</v>
      </c>
      <c r="O1340" s="3" t="str">
        <f t="shared" si="83"/>
        <v>November</v>
      </c>
      <c r="P1340" s="3" t="s">
        <v>41</v>
      </c>
      <c r="Q1340" s="3"/>
    </row>
    <row r="1341" spans="1:17" hidden="1" x14ac:dyDescent="0.3">
      <c r="A1341" s="2">
        <v>44470</v>
      </c>
      <c r="B1341" s="3" t="s">
        <v>31</v>
      </c>
      <c r="C1341" s="3" t="s">
        <v>32</v>
      </c>
      <c r="D1341" s="3" t="s">
        <v>38</v>
      </c>
      <c r="E1341" s="3" t="s">
        <v>39</v>
      </c>
      <c r="F1341" s="3">
        <v>919.07</v>
      </c>
      <c r="G1341" s="3" t="s">
        <v>40</v>
      </c>
      <c r="H1341" s="3" t="s">
        <v>17</v>
      </c>
      <c r="I1341" s="3">
        <f>IF(C1341="India",1,IF(C1341="USA",INDEX('Currency Master'!B:B,MATCH(DATE(N1341,MONTH(DATEVALUE(O1341&amp;" 1")),1),'Currency Master'!A:A,0)),IF(C1341="Australia",INDEX('Currency Master'!T:T,MATCH(DATE(N1341,MONTH(DATEVALUE(O1341&amp;" 1")),1),'Currency Master'!A:A,0)),"")))</f>
        <v>56.066000000000003</v>
      </c>
      <c r="J1341" s="3">
        <f t="shared" si="80"/>
        <v>919.07</v>
      </c>
      <c r="K1341" s="3" t="str">
        <f t="shared" si="81"/>
        <v>₹/Kg</v>
      </c>
      <c r="L1341" s="3">
        <v>2.9000000000000001E-2</v>
      </c>
      <c r="M1341" s="3"/>
      <c r="N1341" s="3">
        <f t="shared" si="82"/>
        <v>2021</v>
      </c>
      <c r="O1341" s="3" t="str">
        <f t="shared" si="83"/>
        <v>October</v>
      </c>
      <c r="P1341" s="3" t="s">
        <v>41</v>
      </c>
      <c r="Q1341" s="3"/>
    </row>
    <row r="1342" spans="1:17" hidden="1" x14ac:dyDescent="0.3">
      <c r="A1342" s="2">
        <v>44440</v>
      </c>
      <c r="B1342" s="3" t="s">
        <v>31</v>
      </c>
      <c r="C1342" s="3" t="s">
        <v>32</v>
      </c>
      <c r="D1342" s="3" t="s">
        <v>38</v>
      </c>
      <c r="E1342" s="3" t="s">
        <v>39</v>
      </c>
      <c r="F1342" s="3">
        <v>893.14</v>
      </c>
      <c r="G1342" s="3" t="s">
        <v>40</v>
      </c>
      <c r="H1342" s="3" t="s">
        <v>17</v>
      </c>
      <c r="I1342" s="3">
        <f>IF(C1342="India",1,IF(C1342="USA",INDEX('Currency Master'!B:B,MATCH(DATE(N1342,MONTH(DATEVALUE(O1342&amp;" 1")),1),'Currency Master'!A:A,0)),IF(C1342="Australia",INDEX('Currency Master'!T:T,MATCH(DATE(N1342,MONTH(DATEVALUE(O1342&amp;" 1")),1),'Currency Master'!A:A,0)),"")))</f>
        <v>57.137</v>
      </c>
      <c r="J1342" s="3">
        <f t="shared" si="80"/>
        <v>893.14</v>
      </c>
      <c r="K1342" s="3" t="str">
        <f t="shared" si="81"/>
        <v>₹/Kg</v>
      </c>
      <c r="L1342" s="3">
        <v>-1.1900000000000001E-2</v>
      </c>
      <c r="M1342" s="3"/>
      <c r="N1342" s="3">
        <f t="shared" si="82"/>
        <v>2021</v>
      </c>
      <c r="O1342" s="3" t="str">
        <f t="shared" si="83"/>
        <v>September</v>
      </c>
      <c r="P1342" s="3" t="s">
        <v>41</v>
      </c>
      <c r="Q1342" s="3"/>
    </row>
    <row r="1343" spans="1:17" hidden="1" x14ac:dyDescent="0.3">
      <c r="A1343" s="2">
        <v>44409</v>
      </c>
      <c r="B1343" s="3" t="s">
        <v>31</v>
      </c>
      <c r="C1343" s="3" t="s">
        <v>32</v>
      </c>
      <c r="D1343" s="3" t="s">
        <v>38</v>
      </c>
      <c r="E1343" s="3" t="s">
        <v>39</v>
      </c>
      <c r="F1343" s="3">
        <v>903.93</v>
      </c>
      <c r="G1343" s="3" t="s">
        <v>40</v>
      </c>
      <c r="H1343" s="3" t="s">
        <v>17</v>
      </c>
      <c r="I1343" s="3">
        <f>IF(C1343="India",1,IF(C1343="USA",INDEX('Currency Master'!B:B,MATCH(DATE(N1343,MONTH(DATEVALUE(O1343&amp;" 1")),1),'Currency Master'!A:A,0)),IF(C1343="Australia",INDEX('Currency Master'!T:T,MATCH(DATE(N1343,MONTH(DATEVALUE(O1343&amp;" 1")),1),'Currency Master'!A:A,0)),"")))</f>
        <v>55.555</v>
      </c>
      <c r="J1343" s="3">
        <f t="shared" si="80"/>
        <v>903.93</v>
      </c>
      <c r="K1343" s="3" t="str">
        <f t="shared" si="81"/>
        <v>₹/Kg</v>
      </c>
      <c r="L1343" s="3">
        <v>-7.3400000000000007E-2</v>
      </c>
      <c r="M1343" s="3"/>
      <c r="N1343" s="3">
        <f t="shared" si="82"/>
        <v>2021</v>
      </c>
      <c r="O1343" s="3" t="str">
        <f t="shared" si="83"/>
        <v>August</v>
      </c>
      <c r="P1343" s="3" t="s">
        <v>41</v>
      </c>
      <c r="Q1343" s="3"/>
    </row>
    <row r="1344" spans="1:17" hidden="1" x14ac:dyDescent="0.3">
      <c r="A1344" s="2">
        <v>44378</v>
      </c>
      <c r="B1344" s="3" t="s">
        <v>31</v>
      </c>
      <c r="C1344" s="3" t="s">
        <v>32</v>
      </c>
      <c r="D1344" s="3" t="s">
        <v>38</v>
      </c>
      <c r="E1344" s="3" t="s">
        <v>39</v>
      </c>
      <c r="F1344" s="3">
        <v>975.53</v>
      </c>
      <c r="G1344" s="3" t="s">
        <v>40</v>
      </c>
      <c r="H1344" s="3" t="s">
        <v>17</v>
      </c>
      <c r="I1344" s="3">
        <f>IF(C1344="India",1,IF(C1344="USA",INDEX('Currency Master'!B:B,MATCH(DATE(N1344,MONTH(DATEVALUE(O1344&amp;" 1")),1),'Currency Master'!A:A,0)),IF(C1344="Australia",INDEX('Currency Master'!T:T,MATCH(DATE(N1344,MONTH(DATEVALUE(O1344&amp;" 1")),1),'Currency Master'!A:A,0)),"")))</f>
        <v>56.954999999999998</v>
      </c>
      <c r="J1344" s="3">
        <f t="shared" si="80"/>
        <v>975.53</v>
      </c>
      <c r="K1344" s="3" t="str">
        <f t="shared" si="81"/>
        <v>₹/Kg</v>
      </c>
      <c r="L1344" s="3">
        <v>-8.9999999999999993E-3</v>
      </c>
      <c r="M1344" s="3"/>
      <c r="N1344" s="3">
        <f t="shared" si="82"/>
        <v>2021</v>
      </c>
      <c r="O1344" s="3" t="str">
        <f t="shared" si="83"/>
        <v>July</v>
      </c>
      <c r="P1344" s="3" t="s">
        <v>41</v>
      </c>
      <c r="Q1344" s="3"/>
    </row>
    <row r="1345" spans="1:17" hidden="1" x14ac:dyDescent="0.3">
      <c r="A1345" s="2">
        <v>44348</v>
      </c>
      <c r="B1345" s="3" t="s">
        <v>31</v>
      </c>
      <c r="C1345" s="3" t="s">
        <v>32</v>
      </c>
      <c r="D1345" s="3" t="s">
        <v>38</v>
      </c>
      <c r="E1345" s="3" t="s">
        <v>39</v>
      </c>
      <c r="F1345" s="3">
        <v>984.37</v>
      </c>
      <c r="G1345" s="3" t="s">
        <v>40</v>
      </c>
      <c r="H1345" s="3" t="s">
        <v>17</v>
      </c>
      <c r="I1345" s="3">
        <f>IF(C1345="India",1,IF(C1345="USA",INDEX('Currency Master'!B:B,MATCH(DATE(N1345,MONTH(DATEVALUE(O1345&amp;" 1")),1),'Currency Master'!A:A,0)),IF(C1345="Australia",INDEX('Currency Master'!T:T,MATCH(DATE(N1345,MONTH(DATEVALUE(O1345&amp;" 1")),1),'Currency Master'!A:A,0)),"")))</f>
        <v>55.692999999999998</v>
      </c>
      <c r="J1345" s="3">
        <f t="shared" si="80"/>
        <v>984.37</v>
      </c>
      <c r="K1345" s="3" t="str">
        <f t="shared" si="81"/>
        <v>₹/Kg</v>
      </c>
      <c r="L1345" s="3">
        <v>6.7199999999999996E-2</v>
      </c>
      <c r="M1345" s="3"/>
      <c r="N1345" s="3">
        <f t="shared" si="82"/>
        <v>2021</v>
      </c>
      <c r="O1345" s="3" t="str">
        <f t="shared" si="83"/>
        <v>June</v>
      </c>
      <c r="P1345" s="3" t="s">
        <v>41</v>
      </c>
      <c r="Q1345" s="3"/>
    </row>
    <row r="1346" spans="1:17" hidden="1" x14ac:dyDescent="0.3">
      <c r="A1346" s="2">
        <v>44317</v>
      </c>
      <c r="B1346" s="3" t="s">
        <v>31</v>
      </c>
      <c r="C1346" s="3" t="s">
        <v>32</v>
      </c>
      <c r="D1346" s="3" t="s">
        <v>38</v>
      </c>
      <c r="E1346" s="3" t="s">
        <v>39</v>
      </c>
      <c r="F1346" s="3">
        <v>922.42</v>
      </c>
      <c r="G1346" s="3" t="s">
        <v>40</v>
      </c>
      <c r="H1346" s="3" t="s">
        <v>17</v>
      </c>
      <c r="I1346" s="3">
        <f>IF(C1346="India",1,IF(C1346="USA",INDEX('Currency Master'!B:B,MATCH(DATE(N1346,MONTH(DATEVALUE(O1346&amp;" 1")),1),'Currency Master'!A:A,0)),IF(C1346="Australia",INDEX('Currency Master'!T:T,MATCH(DATE(N1346,MONTH(DATEVALUE(O1346&amp;" 1")),1),'Currency Master'!A:A,0)),"")))</f>
        <v>56.194000000000003</v>
      </c>
      <c r="J1346" s="3">
        <f t="shared" si="80"/>
        <v>922.42</v>
      </c>
      <c r="K1346" s="3" t="str">
        <f t="shared" si="81"/>
        <v>₹/Kg</v>
      </c>
      <c r="L1346" s="3">
        <v>1.24E-2</v>
      </c>
      <c r="M1346" s="3"/>
      <c r="N1346" s="3">
        <f t="shared" si="82"/>
        <v>2021</v>
      </c>
      <c r="O1346" s="3" t="str">
        <f t="shared" si="83"/>
        <v>May</v>
      </c>
      <c r="P1346" s="3" t="s">
        <v>41</v>
      </c>
      <c r="Q1346" s="3"/>
    </row>
    <row r="1347" spans="1:17" hidden="1" x14ac:dyDescent="0.3">
      <c r="A1347" s="2">
        <v>44287</v>
      </c>
      <c r="B1347" s="3" t="s">
        <v>31</v>
      </c>
      <c r="C1347" s="3" t="s">
        <v>32</v>
      </c>
      <c r="D1347" s="3" t="s">
        <v>38</v>
      </c>
      <c r="E1347" s="3" t="s">
        <v>39</v>
      </c>
      <c r="F1347" s="3">
        <v>911.08</v>
      </c>
      <c r="G1347" s="3" t="s">
        <v>40</v>
      </c>
      <c r="H1347" s="3" t="s">
        <v>17</v>
      </c>
      <c r="I1347" s="3">
        <f>IF(C1347="India",1,IF(C1347="USA",INDEX('Currency Master'!B:B,MATCH(DATE(N1347,MONTH(DATEVALUE(O1347&amp;" 1")),1),'Currency Master'!A:A,0)),IF(C1347="Australia",INDEX('Currency Master'!T:T,MATCH(DATE(N1347,MONTH(DATEVALUE(O1347&amp;" 1")),1),'Currency Master'!A:A,0)),"")))</f>
        <v>54.345999999999997</v>
      </c>
      <c r="J1347" s="3">
        <f t="shared" ref="J1347:J1410" si="84">IF(C1347="India",F1347,IF(C1347="USA",IF(G1347="US Cents/Lb",ROUND(((F1347/100)/0.453592)*I1347*356,0),F1347),IF(C1347="Australia",IF(G1347="AUc/kg",ROUND((F1347/100)*I1347,2),F1347),"")))</f>
        <v>911.08</v>
      </c>
      <c r="K1347" s="3" t="str">
        <f t="shared" ref="K1347:K1410" si="85">IF(C1347="India",G1347,IF(C1347="USA","₹/Candy",IF(C1347="Australia","₹/Kg","")))</f>
        <v>₹/Kg</v>
      </c>
      <c r="L1347" s="3">
        <v>2.4400000000000002E-2</v>
      </c>
      <c r="M1347" s="3"/>
      <c r="N1347" s="3">
        <f t="shared" ref="N1347:N1410" si="86">YEAR(A1347)</f>
        <v>2021</v>
      </c>
      <c r="O1347" s="3" t="str">
        <f t="shared" ref="O1347:O1410" si="87">TEXT(A1347,"mmmm")</f>
        <v>April</v>
      </c>
      <c r="P1347" s="3" t="s">
        <v>41</v>
      </c>
      <c r="Q1347" s="3"/>
    </row>
    <row r="1348" spans="1:17" hidden="1" x14ac:dyDescent="0.3">
      <c r="A1348" s="2">
        <v>44256</v>
      </c>
      <c r="B1348" s="3" t="s">
        <v>31</v>
      </c>
      <c r="C1348" s="3" t="s">
        <v>32</v>
      </c>
      <c r="D1348" s="3" t="s">
        <v>38</v>
      </c>
      <c r="E1348" s="3" t="s">
        <v>39</v>
      </c>
      <c r="F1348" s="3">
        <v>889.38</v>
      </c>
      <c r="G1348" s="3" t="s">
        <v>40</v>
      </c>
      <c r="H1348" s="3" t="s">
        <v>17</v>
      </c>
      <c r="I1348" s="3">
        <f>IF(C1348="India",1,IF(C1348="USA",INDEX('Currency Master'!B:B,MATCH(DATE(N1348,MONTH(DATEVALUE(O1348&amp;" 1")),1),'Currency Master'!A:A,0)),IF(C1348="Australia",INDEX('Currency Master'!T:T,MATCH(DATE(N1348,MONTH(DATEVALUE(O1348&amp;" 1")),1),'Currency Master'!A:A,0)),"")))</f>
        <v>52.381999999999998</v>
      </c>
      <c r="J1348" s="3">
        <f t="shared" si="84"/>
        <v>889.38</v>
      </c>
      <c r="K1348" s="3" t="str">
        <f t="shared" si="85"/>
        <v>₹/Kg</v>
      </c>
      <c r="L1348" s="3">
        <v>-2.5000000000000001E-3</v>
      </c>
      <c r="M1348" s="3"/>
      <c r="N1348" s="3">
        <f t="shared" si="86"/>
        <v>2021</v>
      </c>
      <c r="O1348" s="3" t="str">
        <f t="shared" si="87"/>
        <v>March</v>
      </c>
      <c r="P1348" s="3" t="s">
        <v>41</v>
      </c>
      <c r="Q1348" s="3"/>
    </row>
    <row r="1349" spans="1:17" hidden="1" x14ac:dyDescent="0.3">
      <c r="A1349" s="2">
        <v>44228</v>
      </c>
      <c r="B1349" s="3" t="s">
        <v>31</v>
      </c>
      <c r="C1349" s="3" t="s">
        <v>32</v>
      </c>
      <c r="D1349" s="3" t="s">
        <v>38</v>
      </c>
      <c r="E1349" s="3" t="s">
        <v>39</v>
      </c>
      <c r="F1349" s="3">
        <v>891.62</v>
      </c>
      <c r="G1349" s="3" t="s">
        <v>40</v>
      </c>
      <c r="H1349" s="3" t="s">
        <v>17</v>
      </c>
      <c r="I1349" s="3">
        <f>IF(C1349="India",1,IF(C1349="USA",INDEX('Currency Master'!B:B,MATCH(DATE(N1349,MONTH(DATEVALUE(O1349&amp;" 1")),1),'Currency Master'!A:A,0)),IF(C1349="Australia",INDEX('Currency Master'!T:T,MATCH(DATE(N1349,MONTH(DATEVALUE(O1349&amp;" 1")),1),'Currency Master'!A:A,0)),"")))</f>
        <v>52.683999999999997</v>
      </c>
      <c r="J1349" s="3">
        <f t="shared" si="84"/>
        <v>891.62</v>
      </c>
      <c r="K1349" s="3" t="str">
        <f t="shared" si="85"/>
        <v>₹/Kg</v>
      </c>
      <c r="L1349" s="3">
        <v>0.105</v>
      </c>
      <c r="M1349" s="3"/>
      <c r="N1349" s="3">
        <f t="shared" si="86"/>
        <v>2021</v>
      </c>
      <c r="O1349" s="3" t="str">
        <f t="shared" si="87"/>
        <v>February</v>
      </c>
      <c r="P1349" s="3" t="s">
        <v>41</v>
      </c>
      <c r="Q1349" s="3"/>
    </row>
    <row r="1350" spans="1:17" hidden="1" x14ac:dyDescent="0.3">
      <c r="A1350" s="2">
        <v>44197</v>
      </c>
      <c r="B1350" s="3" t="s">
        <v>31</v>
      </c>
      <c r="C1350" s="3" t="s">
        <v>32</v>
      </c>
      <c r="D1350" s="3" t="s">
        <v>38</v>
      </c>
      <c r="E1350" s="3" t="s">
        <v>39</v>
      </c>
      <c r="F1350" s="3">
        <v>806.93</v>
      </c>
      <c r="G1350" s="3" t="s">
        <v>40</v>
      </c>
      <c r="H1350" s="3" t="s">
        <v>17</v>
      </c>
      <c r="I1350" s="3">
        <f>IF(C1350="India",1,IF(C1350="USA",INDEX('Currency Master'!B:B,MATCH(DATE(N1350,MONTH(DATEVALUE(O1350&amp;" 1")),1),'Currency Master'!A:A,0)),IF(C1350="Australia",INDEX('Currency Master'!T:T,MATCH(DATE(N1350,MONTH(DATEVALUE(O1350&amp;" 1")),1),'Currency Master'!A:A,0)),"")))</f>
        <v>54.024999999999999</v>
      </c>
      <c r="J1350" s="3">
        <f t="shared" si="84"/>
        <v>806.93</v>
      </c>
      <c r="K1350" s="3" t="str">
        <f t="shared" si="85"/>
        <v>₹/Kg</v>
      </c>
      <c r="L1350" s="3">
        <v>4.58E-2</v>
      </c>
      <c r="M1350" s="3"/>
      <c r="N1350" s="3">
        <f t="shared" si="86"/>
        <v>2021</v>
      </c>
      <c r="O1350" s="3" t="str">
        <f t="shared" si="87"/>
        <v>January</v>
      </c>
      <c r="P1350" s="3" t="s">
        <v>41</v>
      </c>
      <c r="Q1350" s="3"/>
    </row>
    <row r="1351" spans="1:17" hidden="1" x14ac:dyDescent="0.3">
      <c r="A1351" s="2">
        <v>44166</v>
      </c>
      <c r="B1351" s="3" t="s">
        <v>31</v>
      </c>
      <c r="C1351" s="3" t="s">
        <v>32</v>
      </c>
      <c r="D1351" s="3" t="s">
        <v>38</v>
      </c>
      <c r="E1351" s="3" t="s">
        <v>39</v>
      </c>
      <c r="F1351" s="3">
        <v>771.62</v>
      </c>
      <c r="G1351" s="3" t="s">
        <v>40</v>
      </c>
      <c r="H1351" s="3" t="s">
        <v>17</v>
      </c>
      <c r="I1351" s="3">
        <f>IF(C1351="India",1,IF(C1351="USA",INDEX('Currency Master'!B:B,MATCH(DATE(N1351,MONTH(DATEVALUE(O1351&amp;" 1")),1),'Currency Master'!A:A,0)),IF(C1351="Australia",INDEX('Currency Master'!T:T,MATCH(DATE(N1351,MONTH(DATEVALUE(O1351&amp;" 1")),1),'Currency Master'!A:A,0)),"")))</f>
        <v>53.505000000000003</v>
      </c>
      <c r="J1351" s="3">
        <f t="shared" si="84"/>
        <v>771.62</v>
      </c>
      <c r="K1351" s="3" t="str">
        <f t="shared" si="85"/>
        <v>₹/Kg</v>
      </c>
      <c r="L1351" s="3">
        <v>2.8199999999999999E-2</v>
      </c>
      <c r="M1351" s="3"/>
      <c r="N1351" s="3">
        <f t="shared" si="86"/>
        <v>2020</v>
      </c>
      <c r="O1351" s="3" t="str">
        <f t="shared" si="87"/>
        <v>December</v>
      </c>
      <c r="P1351" s="3" t="s">
        <v>41</v>
      </c>
      <c r="Q1351" s="3"/>
    </row>
    <row r="1352" spans="1:17" hidden="1" x14ac:dyDescent="0.3">
      <c r="A1352" s="2">
        <v>44136</v>
      </c>
      <c r="B1352" s="3" t="s">
        <v>31</v>
      </c>
      <c r="C1352" s="3" t="s">
        <v>32</v>
      </c>
      <c r="D1352" s="3" t="s">
        <v>38</v>
      </c>
      <c r="E1352" s="3" t="s">
        <v>39</v>
      </c>
      <c r="F1352" s="3">
        <v>750.47</v>
      </c>
      <c r="G1352" s="3" t="s">
        <v>40</v>
      </c>
      <c r="H1352" s="3" t="s">
        <v>17</v>
      </c>
      <c r="I1352" s="3">
        <f>IF(C1352="India",1,IF(C1352="USA",INDEX('Currency Master'!B:B,MATCH(DATE(N1352,MONTH(DATEVALUE(O1352&amp;" 1")),1),'Currency Master'!A:A,0)),IF(C1352="Australia",INDEX('Currency Master'!T:T,MATCH(DATE(N1352,MONTH(DATEVALUE(O1352&amp;" 1")),1),'Currency Master'!A:A,0)),"")))</f>
        <v>52.137999999999998</v>
      </c>
      <c r="J1352" s="3">
        <f t="shared" si="84"/>
        <v>750.47</v>
      </c>
      <c r="K1352" s="3" t="str">
        <f t="shared" si="85"/>
        <v>₹/Kg</v>
      </c>
      <c r="L1352" s="3">
        <v>9.4100000000000003E-2</v>
      </c>
      <c r="M1352" s="3"/>
      <c r="N1352" s="3">
        <f t="shared" si="86"/>
        <v>2020</v>
      </c>
      <c r="O1352" s="3" t="str">
        <f t="shared" si="87"/>
        <v>November</v>
      </c>
      <c r="P1352" s="3" t="s">
        <v>41</v>
      </c>
      <c r="Q1352" s="3"/>
    </row>
    <row r="1353" spans="1:17" hidden="1" x14ac:dyDescent="0.3">
      <c r="A1353" s="2">
        <v>44105</v>
      </c>
      <c r="B1353" s="3" t="s">
        <v>31</v>
      </c>
      <c r="C1353" s="3" t="s">
        <v>32</v>
      </c>
      <c r="D1353" s="3" t="s">
        <v>38</v>
      </c>
      <c r="E1353" s="3" t="s">
        <v>39</v>
      </c>
      <c r="F1353" s="3">
        <v>685.9</v>
      </c>
      <c r="G1353" s="3" t="s">
        <v>40</v>
      </c>
      <c r="H1353" s="3" t="s">
        <v>17</v>
      </c>
      <c r="I1353" s="3">
        <f>IF(C1353="India",1,IF(C1353="USA",INDEX('Currency Master'!B:B,MATCH(DATE(N1353,MONTH(DATEVALUE(O1353&amp;" 1")),1),'Currency Master'!A:A,0)),IF(C1353="Australia",INDEX('Currency Master'!T:T,MATCH(DATE(N1353,MONTH(DATEVALUE(O1353&amp;" 1")),1),'Currency Master'!A:A,0)),"")))</f>
        <v>50.387999999999998</v>
      </c>
      <c r="J1353" s="3">
        <f t="shared" si="84"/>
        <v>685.9</v>
      </c>
      <c r="K1353" s="3" t="str">
        <f t="shared" si="85"/>
        <v>₹/Kg</v>
      </c>
      <c r="L1353" s="3">
        <v>0.28539999999999999</v>
      </c>
      <c r="M1353" s="3"/>
      <c r="N1353" s="3">
        <f t="shared" si="86"/>
        <v>2020</v>
      </c>
      <c r="O1353" s="3" t="str">
        <f t="shared" si="87"/>
        <v>October</v>
      </c>
      <c r="P1353" s="3" t="s">
        <v>41</v>
      </c>
      <c r="Q1353" s="3"/>
    </row>
    <row r="1354" spans="1:17" hidden="1" x14ac:dyDescent="0.3">
      <c r="A1354" s="2">
        <v>44075</v>
      </c>
      <c r="B1354" s="3" t="s">
        <v>31</v>
      </c>
      <c r="C1354" s="3" t="s">
        <v>32</v>
      </c>
      <c r="D1354" s="3" t="s">
        <v>38</v>
      </c>
      <c r="E1354" s="3" t="s">
        <v>39</v>
      </c>
      <c r="F1354" s="3">
        <v>533.62</v>
      </c>
      <c r="G1354" s="3" t="s">
        <v>40</v>
      </c>
      <c r="H1354" s="3" t="s">
        <v>17</v>
      </c>
      <c r="I1354" s="3">
        <f>IF(C1354="India",1,IF(C1354="USA",INDEX('Currency Master'!B:B,MATCH(DATE(N1354,MONTH(DATEVALUE(O1354&amp;" 1")),1),'Currency Master'!A:A,0)),IF(C1354="Australia",INDEX('Currency Master'!T:T,MATCH(DATE(N1354,MONTH(DATEVALUE(O1354&amp;" 1")),1),'Currency Master'!A:A,0)),"")))</f>
        <v>48.875</v>
      </c>
      <c r="J1354" s="3">
        <f t="shared" si="84"/>
        <v>533.62</v>
      </c>
      <c r="K1354" s="3" t="str">
        <f t="shared" si="85"/>
        <v>₹/Kg</v>
      </c>
      <c r="L1354" s="3">
        <v>-0.1081</v>
      </c>
      <c r="M1354" s="3"/>
      <c r="N1354" s="3">
        <f t="shared" si="86"/>
        <v>2020</v>
      </c>
      <c r="O1354" s="3" t="str">
        <f t="shared" si="87"/>
        <v>September</v>
      </c>
      <c r="P1354" s="3" t="s">
        <v>41</v>
      </c>
      <c r="Q1354" s="3"/>
    </row>
    <row r="1355" spans="1:17" hidden="1" x14ac:dyDescent="0.3">
      <c r="A1355" s="2">
        <v>44044</v>
      </c>
      <c r="B1355" s="3" t="s">
        <v>31</v>
      </c>
      <c r="C1355" s="3" t="s">
        <v>32</v>
      </c>
      <c r="D1355" s="3" t="s">
        <v>38</v>
      </c>
      <c r="E1355" s="3" t="s">
        <v>39</v>
      </c>
      <c r="F1355" s="3">
        <v>598.32000000000005</v>
      </c>
      <c r="G1355" s="3" t="s">
        <v>40</v>
      </c>
      <c r="H1355" s="3" t="s">
        <v>17</v>
      </c>
      <c r="I1355" s="3">
        <f>IF(C1355="India",1,IF(C1355="USA",INDEX('Currency Master'!B:B,MATCH(DATE(N1355,MONTH(DATEVALUE(O1355&amp;" 1")),1),'Currency Master'!A:A,0)),IF(C1355="Australia",INDEX('Currency Master'!T:T,MATCH(DATE(N1355,MONTH(DATEVALUE(O1355&amp;" 1")),1),'Currency Master'!A:A,0)),"")))</f>
        <v>46.216999999999999</v>
      </c>
      <c r="J1355" s="3">
        <f t="shared" si="84"/>
        <v>598.32000000000005</v>
      </c>
      <c r="K1355" s="3" t="str">
        <f t="shared" si="85"/>
        <v>₹/Kg</v>
      </c>
      <c r="L1355" s="3">
        <v>-0.10979999999999999</v>
      </c>
      <c r="M1355" s="3"/>
      <c r="N1355" s="3">
        <f t="shared" si="86"/>
        <v>2020</v>
      </c>
      <c r="O1355" s="3" t="str">
        <f t="shared" si="87"/>
        <v>August</v>
      </c>
      <c r="P1355" s="3" t="s">
        <v>41</v>
      </c>
      <c r="Q1355" s="3"/>
    </row>
    <row r="1356" spans="1:17" hidden="1" x14ac:dyDescent="0.3">
      <c r="A1356" s="2">
        <v>44013</v>
      </c>
      <c r="B1356" s="3" t="s">
        <v>31</v>
      </c>
      <c r="C1356" s="3" t="s">
        <v>32</v>
      </c>
      <c r="D1356" s="3" t="s">
        <v>38</v>
      </c>
      <c r="E1356" s="3" t="s">
        <v>39</v>
      </c>
      <c r="F1356" s="3">
        <v>672.14</v>
      </c>
      <c r="G1356" s="3" t="s">
        <v>40</v>
      </c>
      <c r="H1356" s="3" t="s">
        <v>17</v>
      </c>
      <c r="I1356" s="3">
        <f>IF(C1356="India",1,IF(C1356="USA",INDEX('Currency Master'!B:B,MATCH(DATE(N1356,MONTH(DATEVALUE(O1356&amp;" 1")),1),'Currency Master'!A:A,0)),IF(C1356="Australia",INDEX('Currency Master'!T:T,MATCH(DATE(N1356,MONTH(DATEVALUE(O1356&amp;" 1")),1),'Currency Master'!A:A,0)),"")))</f>
        <v>47.212000000000003</v>
      </c>
      <c r="J1356" s="3">
        <f t="shared" si="84"/>
        <v>672.14</v>
      </c>
      <c r="K1356" s="3" t="str">
        <f t="shared" si="85"/>
        <v>₹/Kg</v>
      </c>
      <c r="L1356" s="3">
        <v>-3.09E-2</v>
      </c>
      <c r="M1356" s="3"/>
      <c r="N1356" s="3">
        <f t="shared" si="86"/>
        <v>2020</v>
      </c>
      <c r="O1356" s="3" t="str">
        <f t="shared" si="87"/>
        <v>July</v>
      </c>
      <c r="P1356" s="3" t="s">
        <v>41</v>
      </c>
      <c r="Q1356" s="3"/>
    </row>
    <row r="1357" spans="1:17" hidden="1" x14ac:dyDescent="0.3">
      <c r="A1357" s="2">
        <v>43983</v>
      </c>
      <c r="B1357" s="3" t="s">
        <v>31</v>
      </c>
      <c r="C1357" s="3" t="s">
        <v>32</v>
      </c>
      <c r="D1357" s="3" t="s">
        <v>38</v>
      </c>
      <c r="E1357" s="3" t="s">
        <v>39</v>
      </c>
      <c r="F1357" s="3">
        <v>693.56</v>
      </c>
      <c r="G1357" s="3" t="s">
        <v>40</v>
      </c>
      <c r="H1357" s="3" t="s">
        <v>17</v>
      </c>
      <c r="I1357" s="3">
        <f>IF(C1357="India",1,IF(C1357="USA",INDEX('Currency Master'!B:B,MATCH(DATE(N1357,MONTH(DATEVALUE(O1357&amp;" 1")),1),'Currency Master'!A:A,0)),IF(C1357="Australia",INDEX('Currency Master'!T:T,MATCH(DATE(N1357,MONTH(DATEVALUE(O1357&amp;" 1")),1),'Currency Master'!A:A,0)),"")))</f>
        <v>47.866999999999997</v>
      </c>
      <c r="J1357" s="3">
        <f t="shared" si="84"/>
        <v>693.56</v>
      </c>
      <c r="K1357" s="3" t="str">
        <f t="shared" si="85"/>
        <v>₹/Kg</v>
      </c>
      <c r="L1357" s="3">
        <v>1.9099999999999999E-2</v>
      </c>
      <c r="M1357" s="3"/>
      <c r="N1357" s="3">
        <f t="shared" si="86"/>
        <v>2020</v>
      </c>
      <c r="O1357" s="3" t="str">
        <f t="shared" si="87"/>
        <v>June</v>
      </c>
      <c r="P1357" s="3" t="s">
        <v>41</v>
      </c>
      <c r="Q1357" s="3"/>
    </row>
    <row r="1358" spans="1:17" hidden="1" x14ac:dyDescent="0.3">
      <c r="A1358" s="2">
        <v>43952</v>
      </c>
      <c r="B1358" s="3" t="s">
        <v>31</v>
      </c>
      <c r="C1358" s="3" t="s">
        <v>32</v>
      </c>
      <c r="D1358" s="3" t="s">
        <v>38</v>
      </c>
      <c r="E1358" s="3" t="s">
        <v>39</v>
      </c>
      <c r="F1358" s="3">
        <v>680.55</v>
      </c>
      <c r="G1358" s="3" t="s">
        <v>40</v>
      </c>
      <c r="H1358" s="3" t="s">
        <v>17</v>
      </c>
      <c r="I1358" s="3">
        <f>IF(C1358="India",1,IF(C1358="USA",INDEX('Currency Master'!B:B,MATCH(DATE(N1358,MONTH(DATEVALUE(O1358&amp;" 1")),1),'Currency Master'!A:A,0)),IF(C1358="Australia",INDEX('Currency Master'!T:T,MATCH(DATE(N1358,MONTH(DATEVALUE(O1358&amp;" 1")),1),'Currency Master'!A:A,0)),"")))</f>
        <v>50.094999999999999</v>
      </c>
      <c r="J1358" s="3">
        <f t="shared" si="84"/>
        <v>680.55</v>
      </c>
      <c r="K1358" s="3" t="str">
        <f t="shared" si="85"/>
        <v>₹/Kg</v>
      </c>
      <c r="L1358" s="3">
        <v>-4.7E-2</v>
      </c>
      <c r="M1358" s="3"/>
      <c r="N1358" s="3">
        <f t="shared" si="86"/>
        <v>2020</v>
      </c>
      <c r="O1358" s="3" t="str">
        <f t="shared" si="87"/>
        <v>May</v>
      </c>
      <c r="P1358" s="3" t="s">
        <v>41</v>
      </c>
      <c r="Q1358" s="3"/>
    </row>
    <row r="1359" spans="1:17" hidden="1" x14ac:dyDescent="0.3">
      <c r="A1359" s="2">
        <v>43922</v>
      </c>
      <c r="B1359" s="3" t="s">
        <v>31</v>
      </c>
      <c r="C1359" s="3" t="s">
        <v>32</v>
      </c>
      <c r="D1359" s="3" t="s">
        <v>38</v>
      </c>
      <c r="E1359" s="3" t="s">
        <v>39</v>
      </c>
      <c r="F1359" s="3">
        <v>714.14</v>
      </c>
      <c r="G1359" s="3" t="s">
        <v>40</v>
      </c>
      <c r="H1359" s="3" t="s">
        <v>17</v>
      </c>
      <c r="I1359" s="3">
        <f>IF(C1359="India",1,IF(C1359="USA",INDEX('Currency Master'!B:B,MATCH(DATE(N1359,MONTH(DATEVALUE(O1359&amp;" 1")),1),'Currency Master'!A:A,0)),IF(C1359="Australia",INDEX('Currency Master'!T:T,MATCH(DATE(N1359,MONTH(DATEVALUE(O1359&amp;" 1")),1),'Currency Master'!A:A,0)),"")))</f>
        <v>48.529000000000003</v>
      </c>
      <c r="J1359" s="3">
        <f t="shared" si="84"/>
        <v>714.14</v>
      </c>
      <c r="K1359" s="3" t="str">
        <f t="shared" si="85"/>
        <v>₹/Kg</v>
      </c>
      <c r="L1359" s="3">
        <v>-9.8599999999999993E-2</v>
      </c>
      <c r="M1359" s="3"/>
      <c r="N1359" s="3">
        <f t="shared" si="86"/>
        <v>2020</v>
      </c>
      <c r="O1359" s="3" t="str">
        <f t="shared" si="87"/>
        <v>April</v>
      </c>
      <c r="P1359" s="3" t="s">
        <v>41</v>
      </c>
      <c r="Q1359" s="3"/>
    </row>
    <row r="1360" spans="1:17" hidden="1" x14ac:dyDescent="0.3">
      <c r="A1360" s="2">
        <v>43891</v>
      </c>
      <c r="B1360" s="3" t="s">
        <v>31</v>
      </c>
      <c r="C1360" s="3" t="s">
        <v>32</v>
      </c>
      <c r="D1360" s="3" t="s">
        <v>38</v>
      </c>
      <c r="E1360" s="3" t="s">
        <v>39</v>
      </c>
      <c r="F1360" s="3">
        <v>792.29</v>
      </c>
      <c r="G1360" s="3" t="s">
        <v>40</v>
      </c>
      <c r="H1360" s="3" t="s">
        <v>17</v>
      </c>
      <c r="I1360" s="3">
        <f>IF(C1360="India",1,IF(C1360="USA",INDEX('Currency Master'!B:B,MATCH(DATE(N1360,MONTH(DATEVALUE(O1360&amp;" 1")),1),'Currency Master'!A:A,0)),IF(C1360="Australia",INDEX('Currency Master'!T:T,MATCH(DATE(N1360,MONTH(DATEVALUE(O1360&amp;" 1")),1),'Currency Master'!A:A,0)),"")))</f>
        <v>48.924999999999997</v>
      </c>
      <c r="J1360" s="3">
        <f t="shared" si="84"/>
        <v>792.29</v>
      </c>
      <c r="K1360" s="3" t="str">
        <f t="shared" si="85"/>
        <v>₹/Kg</v>
      </c>
      <c r="L1360" s="3">
        <v>-9.4200000000000006E-2</v>
      </c>
      <c r="M1360" s="3"/>
      <c r="N1360" s="3">
        <f t="shared" si="86"/>
        <v>2020</v>
      </c>
      <c r="O1360" s="3" t="str">
        <f t="shared" si="87"/>
        <v>March</v>
      </c>
      <c r="P1360" s="3" t="s">
        <v>41</v>
      </c>
      <c r="Q1360" s="3"/>
    </row>
    <row r="1361" spans="1:17" hidden="1" x14ac:dyDescent="0.3">
      <c r="A1361" s="2">
        <v>43862</v>
      </c>
      <c r="B1361" s="3" t="s">
        <v>31</v>
      </c>
      <c r="C1361" s="3" t="s">
        <v>32</v>
      </c>
      <c r="D1361" s="3" t="s">
        <v>38</v>
      </c>
      <c r="E1361" s="3" t="s">
        <v>39</v>
      </c>
      <c r="F1361" s="3">
        <v>874.69</v>
      </c>
      <c r="G1361" s="3" t="s">
        <v>40</v>
      </c>
      <c r="H1361" s="3" t="s">
        <v>17</v>
      </c>
      <c r="I1361" s="3">
        <f>IF(C1361="India",1,IF(C1361="USA",INDEX('Currency Master'!B:B,MATCH(DATE(N1361,MONTH(DATEVALUE(O1361&amp;" 1")),1),'Currency Master'!A:A,0)),IF(C1361="Australia",INDEX('Currency Master'!T:T,MATCH(DATE(N1361,MONTH(DATEVALUE(O1361&amp;" 1")),1),'Currency Master'!A:A,0)),"")))</f>
        <v>47.654000000000003</v>
      </c>
      <c r="J1361" s="3">
        <f t="shared" si="84"/>
        <v>874.69</v>
      </c>
      <c r="K1361" s="3" t="str">
        <f t="shared" si="85"/>
        <v>₹/Kg</v>
      </c>
      <c r="L1361" s="3">
        <v>-2.3E-2</v>
      </c>
      <c r="M1361" s="3"/>
      <c r="N1361" s="3">
        <f t="shared" si="86"/>
        <v>2020</v>
      </c>
      <c r="O1361" s="3" t="str">
        <f t="shared" si="87"/>
        <v>February</v>
      </c>
      <c r="P1361" s="3" t="s">
        <v>41</v>
      </c>
      <c r="Q1361" s="3"/>
    </row>
    <row r="1362" spans="1:17" hidden="1" x14ac:dyDescent="0.3">
      <c r="A1362" s="2">
        <v>43831</v>
      </c>
      <c r="B1362" s="3" t="s">
        <v>31</v>
      </c>
      <c r="C1362" s="3" t="s">
        <v>32</v>
      </c>
      <c r="D1362" s="3" t="s">
        <v>38</v>
      </c>
      <c r="E1362" s="3" t="s">
        <v>39</v>
      </c>
      <c r="F1362" s="3">
        <v>895.29</v>
      </c>
      <c r="G1362" s="3" t="s">
        <v>40</v>
      </c>
      <c r="H1362" s="3" t="s">
        <v>17</v>
      </c>
      <c r="I1362" s="3">
        <f>IF(C1362="India",1,IF(C1362="USA",INDEX('Currency Master'!B:B,MATCH(DATE(N1362,MONTH(DATEVALUE(O1362&amp;" 1")),1),'Currency Master'!A:A,0)),IF(C1362="Australia",INDEX('Currency Master'!T:T,MATCH(DATE(N1362,MONTH(DATEVALUE(O1362&amp;" 1")),1),'Currency Master'!A:A,0)),"")))</f>
        <v>48.128999999999998</v>
      </c>
      <c r="J1362" s="3">
        <f t="shared" si="84"/>
        <v>895.29</v>
      </c>
      <c r="K1362" s="3" t="str">
        <f t="shared" si="85"/>
        <v>₹/Kg</v>
      </c>
      <c r="L1362" s="3">
        <v>4.1300000000000003E-2</v>
      </c>
      <c r="M1362" s="3"/>
      <c r="N1362" s="3">
        <f t="shared" si="86"/>
        <v>2020</v>
      </c>
      <c r="O1362" s="3" t="str">
        <f t="shared" si="87"/>
        <v>January</v>
      </c>
      <c r="P1362" s="3" t="s">
        <v>41</v>
      </c>
      <c r="Q1362" s="3"/>
    </row>
    <row r="1363" spans="1:17" hidden="1" x14ac:dyDescent="0.3">
      <c r="A1363" s="2">
        <v>43800</v>
      </c>
      <c r="B1363" s="3" t="s">
        <v>31</v>
      </c>
      <c r="C1363" s="3" t="s">
        <v>32</v>
      </c>
      <c r="D1363" s="3" t="s">
        <v>38</v>
      </c>
      <c r="E1363" s="3" t="s">
        <v>39</v>
      </c>
      <c r="F1363" s="3">
        <v>859.8</v>
      </c>
      <c r="G1363" s="3" t="s">
        <v>40</v>
      </c>
      <c r="H1363" s="3" t="s">
        <v>17</v>
      </c>
      <c r="I1363" s="3">
        <f>IF(C1363="India",1,IF(C1363="USA",INDEX('Currency Master'!B:B,MATCH(DATE(N1363,MONTH(DATEVALUE(O1363&amp;" 1")),1),'Currency Master'!A:A,0)),IF(C1363="Australia",INDEX('Currency Master'!T:T,MATCH(DATE(N1363,MONTH(DATEVALUE(O1363&amp;" 1")),1),'Currency Master'!A:A,0)),"")))</f>
        <v>47.128</v>
      </c>
      <c r="J1363" s="3">
        <f t="shared" si="84"/>
        <v>859.8</v>
      </c>
      <c r="K1363" s="3" t="str">
        <f t="shared" si="85"/>
        <v>₹/Kg</v>
      </c>
      <c r="L1363" s="3">
        <v>-1.4E-2</v>
      </c>
      <c r="M1363" s="3"/>
      <c r="N1363" s="3">
        <f t="shared" si="86"/>
        <v>2019</v>
      </c>
      <c r="O1363" s="3" t="str">
        <f t="shared" si="87"/>
        <v>December</v>
      </c>
      <c r="P1363" s="3" t="s">
        <v>41</v>
      </c>
      <c r="Q1363" s="3"/>
    </row>
    <row r="1364" spans="1:17" hidden="1" x14ac:dyDescent="0.3">
      <c r="A1364" s="2">
        <v>43770</v>
      </c>
      <c r="B1364" s="3" t="s">
        <v>31</v>
      </c>
      <c r="C1364" s="3" t="s">
        <v>32</v>
      </c>
      <c r="D1364" s="3" t="s">
        <v>38</v>
      </c>
      <c r="E1364" s="3" t="s">
        <v>39</v>
      </c>
      <c r="F1364" s="3">
        <v>872.01</v>
      </c>
      <c r="G1364" s="3" t="s">
        <v>40</v>
      </c>
      <c r="H1364" s="3" t="s">
        <v>17</v>
      </c>
      <c r="I1364" s="3">
        <f>IF(C1364="India",1,IF(C1364="USA",INDEX('Currency Master'!B:B,MATCH(DATE(N1364,MONTH(DATEVALUE(O1364&amp;" 1")),1),'Currency Master'!A:A,0)),IF(C1364="Australia",INDEX('Currency Master'!T:T,MATCH(DATE(N1364,MONTH(DATEVALUE(O1364&amp;" 1")),1),'Currency Master'!A:A,0)),"")))</f>
        <v>48.396000000000001</v>
      </c>
      <c r="J1364" s="3">
        <f t="shared" si="84"/>
        <v>872.01</v>
      </c>
      <c r="K1364" s="3" t="str">
        <f t="shared" si="85"/>
        <v>₹/Kg</v>
      </c>
      <c r="L1364" s="3">
        <v>8.3000000000000001E-3</v>
      </c>
      <c r="M1364" s="3"/>
      <c r="N1364" s="3">
        <f t="shared" si="86"/>
        <v>2019</v>
      </c>
      <c r="O1364" s="3" t="str">
        <f t="shared" si="87"/>
        <v>November</v>
      </c>
      <c r="P1364" s="3" t="s">
        <v>41</v>
      </c>
      <c r="Q1364" s="3"/>
    </row>
    <row r="1365" spans="1:17" hidden="1" x14ac:dyDescent="0.3">
      <c r="A1365" s="2">
        <v>43739</v>
      </c>
      <c r="B1365" s="3" t="s">
        <v>31</v>
      </c>
      <c r="C1365" s="3" t="s">
        <v>32</v>
      </c>
      <c r="D1365" s="3" t="s">
        <v>38</v>
      </c>
      <c r="E1365" s="3" t="s">
        <v>39</v>
      </c>
      <c r="F1365" s="3">
        <v>864.82</v>
      </c>
      <c r="G1365" s="3" t="s">
        <v>40</v>
      </c>
      <c r="H1365" s="3" t="s">
        <v>17</v>
      </c>
      <c r="I1365" s="3">
        <f>IF(C1365="India",1,IF(C1365="USA",INDEX('Currency Master'!B:B,MATCH(DATE(N1365,MONTH(DATEVALUE(O1365&amp;" 1")),1),'Currency Master'!A:A,0)),IF(C1365="Australia",INDEX('Currency Master'!T:T,MATCH(DATE(N1365,MONTH(DATEVALUE(O1365&amp;" 1")),1),'Currency Master'!A:A,0)),"")))</f>
        <v>48.268000000000001</v>
      </c>
      <c r="J1365" s="3">
        <f t="shared" si="84"/>
        <v>864.82</v>
      </c>
      <c r="K1365" s="3" t="str">
        <f t="shared" si="85"/>
        <v>₹/Kg</v>
      </c>
      <c r="L1365" s="3">
        <v>2.9499999999999998E-2</v>
      </c>
      <c r="M1365" s="3"/>
      <c r="N1365" s="3">
        <f t="shared" si="86"/>
        <v>2019</v>
      </c>
      <c r="O1365" s="3" t="str">
        <f t="shared" si="87"/>
        <v>October</v>
      </c>
      <c r="P1365" s="3" t="s">
        <v>41</v>
      </c>
      <c r="Q1365" s="3"/>
    </row>
    <row r="1366" spans="1:17" hidden="1" x14ac:dyDescent="0.3">
      <c r="A1366" s="2">
        <v>43709</v>
      </c>
      <c r="B1366" s="3" t="s">
        <v>31</v>
      </c>
      <c r="C1366" s="3" t="s">
        <v>32</v>
      </c>
      <c r="D1366" s="3" t="s">
        <v>38</v>
      </c>
      <c r="E1366" s="3" t="s">
        <v>39</v>
      </c>
      <c r="F1366" s="3">
        <v>840.05</v>
      </c>
      <c r="G1366" s="3" t="s">
        <v>40</v>
      </c>
      <c r="H1366" s="3" t="s">
        <v>17</v>
      </c>
      <c r="I1366" s="3">
        <f>IF(C1366="India",1,IF(C1366="USA",INDEX('Currency Master'!B:B,MATCH(DATE(N1366,MONTH(DATEVALUE(O1366&amp;" 1")),1),'Currency Master'!A:A,0)),IF(C1366="Australia",INDEX('Currency Master'!T:T,MATCH(DATE(N1366,MONTH(DATEVALUE(O1366&amp;" 1")),1),'Currency Master'!A:A,0)),"")))</f>
        <v>49.079000000000001</v>
      </c>
      <c r="J1366" s="3">
        <f t="shared" si="84"/>
        <v>840.05</v>
      </c>
      <c r="K1366" s="3" t="str">
        <f t="shared" si="85"/>
        <v>₹/Kg</v>
      </c>
      <c r="L1366" s="3">
        <v>-3.6299999999999999E-2</v>
      </c>
      <c r="M1366" s="3"/>
      <c r="N1366" s="3">
        <f t="shared" si="86"/>
        <v>2019</v>
      </c>
      <c r="O1366" s="3" t="str">
        <f t="shared" si="87"/>
        <v>September</v>
      </c>
      <c r="P1366" s="3" t="s">
        <v>41</v>
      </c>
      <c r="Q1366" s="3"/>
    </row>
    <row r="1367" spans="1:17" hidden="1" x14ac:dyDescent="0.3">
      <c r="A1367" s="2">
        <v>43678</v>
      </c>
      <c r="B1367" s="3" t="s">
        <v>31</v>
      </c>
      <c r="C1367" s="3" t="s">
        <v>32</v>
      </c>
      <c r="D1367" s="3" t="s">
        <v>38</v>
      </c>
      <c r="E1367" s="3" t="s">
        <v>39</v>
      </c>
      <c r="F1367" s="3">
        <v>871.73</v>
      </c>
      <c r="G1367" s="3" t="s">
        <v>40</v>
      </c>
      <c r="H1367" s="3" t="s">
        <v>17</v>
      </c>
      <c r="I1367" s="3">
        <f>IF(C1367="India",1,IF(C1367="USA",INDEX('Currency Master'!B:B,MATCH(DATE(N1367,MONTH(DATEVALUE(O1367&amp;" 1")),1),'Currency Master'!A:A,0)),IF(C1367="Australia",INDEX('Currency Master'!T:T,MATCH(DATE(N1367,MONTH(DATEVALUE(O1367&amp;" 1")),1),'Currency Master'!A:A,0)),"")))</f>
        <v>49.076000000000001</v>
      </c>
      <c r="J1367" s="3">
        <f t="shared" si="84"/>
        <v>871.73</v>
      </c>
      <c r="K1367" s="3" t="str">
        <f t="shared" si="85"/>
        <v>₹/Kg</v>
      </c>
      <c r="L1367" s="3">
        <v>-0.1067</v>
      </c>
      <c r="M1367" s="3"/>
      <c r="N1367" s="3">
        <f t="shared" si="86"/>
        <v>2019</v>
      </c>
      <c r="O1367" s="3" t="str">
        <f t="shared" si="87"/>
        <v>August</v>
      </c>
      <c r="P1367" s="3" t="s">
        <v>41</v>
      </c>
      <c r="Q1367" s="3"/>
    </row>
    <row r="1368" spans="1:17" hidden="1" x14ac:dyDescent="0.3">
      <c r="A1368" s="2">
        <v>43647</v>
      </c>
      <c r="B1368" s="3" t="s">
        <v>31</v>
      </c>
      <c r="C1368" s="3" t="s">
        <v>32</v>
      </c>
      <c r="D1368" s="3" t="s">
        <v>38</v>
      </c>
      <c r="E1368" s="3" t="s">
        <v>39</v>
      </c>
      <c r="F1368" s="3">
        <v>975.9</v>
      </c>
      <c r="G1368" s="3" t="s">
        <v>40</v>
      </c>
      <c r="H1368" s="3" t="s">
        <v>17</v>
      </c>
      <c r="I1368" s="3">
        <f>IF(C1368="India",1,IF(C1368="USA",INDEX('Currency Master'!B:B,MATCH(DATE(N1368,MONTH(DATEVALUE(O1368&amp;" 1")),1),'Currency Master'!A:A,0)),IF(C1368="Australia",INDEX('Currency Master'!T:T,MATCH(DATE(N1368,MONTH(DATEVALUE(O1368&amp;" 1")),1),'Currency Master'!A:A,0)),"")))</f>
        <v>50.247</v>
      </c>
      <c r="J1368" s="3">
        <f t="shared" si="84"/>
        <v>975.9</v>
      </c>
      <c r="K1368" s="3" t="str">
        <f t="shared" si="85"/>
        <v>₹/Kg</v>
      </c>
      <c r="L1368" s="3">
        <v>-4.48E-2</v>
      </c>
      <c r="M1368" s="3"/>
      <c r="N1368" s="3">
        <f t="shared" si="86"/>
        <v>2019</v>
      </c>
      <c r="O1368" s="3" t="str">
        <f t="shared" si="87"/>
        <v>July</v>
      </c>
      <c r="P1368" s="3" t="s">
        <v>41</v>
      </c>
      <c r="Q1368" s="3"/>
    </row>
    <row r="1369" spans="1:17" hidden="1" x14ac:dyDescent="0.3">
      <c r="A1369" s="2">
        <v>43617</v>
      </c>
      <c r="B1369" s="3" t="s">
        <v>31</v>
      </c>
      <c r="C1369" s="3" t="s">
        <v>32</v>
      </c>
      <c r="D1369" s="3" t="s">
        <v>38</v>
      </c>
      <c r="E1369" s="3" t="s">
        <v>39</v>
      </c>
      <c r="F1369" s="3">
        <v>1021.7</v>
      </c>
      <c r="G1369" s="3" t="s">
        <v>40</v>
      </c>
      <c r="H1369" s="3" t="s">
        <v>17</v>
      </c>
      <c r="I1369" s="3">
        <f>IF(C1369="India",1,IF(C1369="USA",INDEX('Currency Master'!B:B,MATCH(DATE(N1369,MONTH(DATEVALUE(O1369&amp;" 1")),1),'Currency Master'!A:A,0)),IF(C1369="Australia",INDEX('Currency Master'!T:T,MATCH(DATE(N1369,MONTH(DATEVALUE(O1369&amp;" 1")),1),'Currency Master'!A:A,0)),"")))</f>
        <v>51.616</v>
      </c>
      <c r="J1369" s="3">
        <f t="shared" si="84"/>
        <v>1021.7</v>
      </c>
      <c r="K1369" s="3" t="str">
        <f t="shared" si="85"/>
        <v>₹/Kg</v>
      </c>
      <c r="L1369" s="3">
        <v>-6.13E-2</v>
      </c>
      <c r="M1369" s="3"/>
      <c r="N1369" s="3">
        <f t="shared" si="86"/>
        <v>2019</v>
      </c>
      <c r="O1369" s="3" t="str">
        <f t="shared" si="87"/>
        <v>June</v>
      </c>
      <c r="P1369" s="3" t="s">
        <v>41</v>
      </c>
      <c r="Q1369" s="3"/>
    </row>
    <row r="1370" spans="1:17" hidden="1" x14ac:dyDescent="0.3">
      <c r="A1370" s="2">
        <v>43586</v>
      </c>
      <c r="B1370" s="3" t="s">
        <v>31</v>
      </c>
      <c r="C1370" s="3" t="s">
        <v>32</v>
      </c>
      <c r="D1370" s="3" t="s">
        <v>38</v>
      </c>
      <c r="E1370" s="3" t="s">
        <v>39</v>
      </c>
      <c r="F1370" s="3">
        <v>1088.45</v>
      </c>
      <c r="G1370" s="3" t="s">
        <v>40</v>
      </c>
      <c r="H1370" s="3" t="s">
        <v>17</v>
      </c>
      <c r="I1370" s="3">
        <f>IF(C1370="India",1,IF(C1370="USA",INDEX('Currency Master'!B:B,MATCH(DATE(N1370,MONTH(DATEVALUE(O1370&amp;" 1")),1),'Currency Master'!A:A,0)),IF(C1370="Australia",INDEX('Currency Master'!T:T,MATCH(DATE(N1370,MONTH(DATEVALUE(O1370&amp;" 1")),1),'Currency Master'!A:A,0)),"")))</f>
        <v>49.033000000000001</v>
      </c>
      <c r="J1370" s="3">
        <f t="shared" si="84"/>
        <v>1088.45</v>
      </c>
      <c r="K1370" s="3" t="str">
        <f t="shared" si="85"/>
        <v>₹/Kg</v>
      </c>
      <c r="L1370" s="3">
        <v>-4.2099999999999999E-2</v>
      </c>
      <c r="M1370" s="3"/>
      <c r="N1370" s="3">
        <f t="shared" si="86"/>
        <v>2019</v>
      </c>
      <c r="O1370" s="3" t="str">
        <f t="shared" si="87"/>
        <v>May</v>
      </c>
      <c r="P1370" s="3" t="s">
        <v>41</v>
      </c>
      <c r="Q1370" s="3"/>
    </row>
    <row r="1371" spans="1:17" hidden="1" x14ac:dyDescent="0.3">
      <c r="A1371" s="2">
        <v>43556</v>
      </c>
      <c r="B1371" s="3" t="s">
        <v>31</v>
      </c>
      <c r="C1371" s="3" t="s">
        <v>32</v>
      </c>
      <c r="D1371" s="3" t="s">
        <v>38</v>
      </c>
      <c r="E1371" s="3" t="s">
        <v>39</v>
      </c>
      <c r="F1371" s="3">
        <v>1136.3</v>
      </c>
      <c r="G1371" s="3" t="s">
        <v>40</v>
      </c>
      <c r="H1371" s="3" t="s">
        <v>17</v>
      </c>
      <c r="I1371" s="3">
        <f>IF(C1371="India",1,IF(C1371="USA",INDEX('Currency Master'!B:B,MATCH(DATE(N1371,MONTH(DATEVALUE(O1371&amp;" 1")),1),'Currency Master'!A:A,0)),IF(C1371="Australia",INDEX('Currency Master'!T:T,MATCH(DATE(N1371,MONTH(DATEVALUE(O1371&amp;" 1")),1),'Currency Master'!A:A,0)),"")))</f>
        <v>50.942</v>
      </c>
      <c r="J1371" s="3">
        <f t="shared" si="84"/>
        <v>1136.3</v>
      </c>
      <c r="K1371" s="3" t="str">
        <f t="shared" si="85"/>
        <v>₹/Kg</v>
      </c>
      <c r="L1371" s="3">
        <v>-1.5100000000000001E-2</v>
      </c>
      <c r="M1371" s="3"/>
      <c r="N1371" s="3">
        <f t="shared" si="86"/>
        <v>2019</v>
      </c>
      <c r="O1371" s="3" t="str">
        <f t="shared" si="87"/>
        <v>April</v>
      </c>
      <c r="P1371" s="3" t="s">
        <v>41</v>
      </c>
      <c r="Q1371" s="3"/>
    </row>
    <row r="1372" spans="1:17" hidden="1" x14ac:dyDescent="0.3">
      <c r="A1372" s="2">
        <v>43525</v>
      </c>
      <c r="B1372" s="3" t="s">
        <v>31</v>
      </c>
      <c r="C1372" s="3" t="s">
        <v>32</v>
      </c>
      <c r="D1372" s="3" t="s">
        <v>38</v>
      </c>
      <c r="E1372" s="3" t="s">
        <v>39</v>
      </c>
      <c r="F1372" s="3">
        <v>1153.67</v>
      </c>
      <c r="G1372" s="3" t="s">
        <v>40</v>
      </c>
      <c r="H1372" s="3" t="s">
        <v>17</v>
      </c>
      <c r="I1372" s="3">
        <f>IF(C1372="India",1,IF(C1372="USA",INDEX('Currency Master'!B:B,MATCH(DATE(N1372,MONTH(DATEVALUE(O1372&amp;" 1")),1),'Currency Master'!A:A,0)),IF(C1372="Australia",INDEX('Currency Master'!T:T,MATCH(DATE(N1372,MONTH(DATEVALUE(O1372&amp;" 1")),1),'Currency Master'!A:A,0)),"")))</f>
        <v>52.305</v>
      </c>
      <c r="J1372" s="3">
        <f t="shared" si="84"/>
        <v>1153.67</v>
      </c>
      <c r="K1372" s="3" t="str">
        <f t="shared" si="85"/>
        <v>₹/Kg</v>
      </c>
      <c r="L1372" s="3">
        <v>-4.1200000000000001E-2</v>
      </c>
      <c r="M1372" s="3"/>
      <c r="N1372" s="3">
        <f t="shared" si="86"/>
        <v>2019</v>
      </c>
      <c r="O1372" s="3" t="str">
        <f t="shared" si="87"/>
        <v>March</v>
      </c>
      <c r="P1372" s="3" t="s">
        <v>41</v>
      </c>
      <c r="Q1372" s="3"/>
    </row>
    <row r="1373" spans="1:17" hidden="1" x14ac:dyDescent="0.3">
      <c r="A1373" s="2">
        <v>43497</v>
      </c>
      <c r="B1373" s="3" t="s">
        <v>31</v>
      </c>
      <c r="C1373" s="3" t="s">
        <v>32</v>
      </c>
      <c r="D1373" s="3" t="s">
        <v>38</v>
      </c>
      <c r="E1373" s="3" t="s">
        <v>39</v>
      </c>
      <c r="F1373" s="3">
        <v>1203.23</v>
      </c>
      <c r="G1373" s="3" t="s">
        <v>40</v>
      </c>
      <c r="H1373" s="3" t="s">
        <v>17</v>
      </c>
      <c r="I1373" s="3">
        <f>IF(C1373="India",1,IF(C1373="USA",INDEX('Currency Master'!B:B,MATCH(DATE(N1373,MONTH(DATEVALUE(O1373&amp;" 1")),1),'Currency Master'!A:A,0)),IF(C1373="Australia",INDEX('Currency Master'!T:T,MATCH(DATE(N1373,MONTH(DATEVALUE(O1373&amp;" 1")),1),'Currency Master'!A:A,0)),"")))</f>
        <v>52.402999999999999</v>
      </c>
      <c r="J1373" s="3">
        <f t="shared" si="84"/>
        <v>1203.23</v>
      </c>
      <c r="K1373" s="3" t="str">
        <f t="shared" si="85"/>
        <v>₹/Kg</v>
      </c>
      <c r="L1373" s="3">
        <v>3.3399999999999999E-2</v>
      </c>
      <c r="M1373" s="3"/>
      <c r="N1373" s="3">
        <f t="shared" si="86"/>
        <v>2019</v>
      </c>
      <c r="O1373" s="3" t="str">
        <f t="shared" si="87"/>
        <v>February</v>
      </c>
      <c r="P1373" s="3" t="s">
        <v>41</v>
      </c>
      <c r="Q1373" s="3"/>
    </row>
    <row r="1374" spans="1:17" hidden="1" x14ac:dyDescent="0.3">
      <c r="A1374" s="2">
        <v>43466</v>
      </c>
      <c r="B1374" s="3" t="s">
        <v>31</v>
      </c>
      <c r="C1374" s="3" t="s">
        <v>32</v>
      </c>
      <c r="D1374" s="3" t="s">
        <v>38</v>
      </c>
      <c r="E1374" s="3" t="s">
        <v>39</v>
      </c>
      <c r="F1374" s="3">
        <v>1164.33</v>
      </c>
      <c r="G1374" s="3" t="s">
        <v>40</v>
      </c>
      <c r="H1374" s="3" t="s">
        <v>17</v>
      </c>
      <c r="I1374" s="3">
        <f>IF(C1374="India",1,IF(C1374="USA",INDEX('Currency Master'!B:B,MATCH(DATE(N1374,MONTH(DATEVALUE(O1374&amp;" 1")),1),'Currency Master'!A:A,0)),IF(C1374="Australia",INDEX('Currency Master'!T:T,MATCH(DATE(N1374,MONTH(DATEVALUE(O1374&amp;" 1")),1),'Currency Master'!A:A,0)),"")))</f>
        <v>51.048999999999999</v>
      </c>
      <c r="J1374" s="3">
        <f t="shared" si="84"/>
        <v>1164.33</v>
      </c>
      <c r="K1374" s="3" t="str">
        <f t="shared" si="85"/>
        <v>₹/Kg</v>
      </c>
      <c r="L1374" s="3">
        <v>2.5600000000000001E-2</v>
      </c>
      <c r="M1374" s="3"/>
      <c r="N1374" s="3">
        <f t="shared" si="86"/>
        <v>2019</v>
      </c>
      <c r="O1374" s="3" t="str">
        <f t="shared" si="87"/>
        <v>January</v>
      </c>
      <c r="P1374" s="3" t="s">
        <v>41</v>
      </c>
      <c r="Q1374" s="3"/>
    </row>
    <row r="1375" spans="1:17" hidden="1" x14ac:dyDescent="0.3">
      <c r="A1375" s="2">
        <v>43435</v>
      </c>
      <c r="B1375" s="3" t="s">
        <v>31</v>
      </c>
      <c r="C1375" s="3" t="s">
        <v>32</v>
      </c>
      <c r="D1375" s="3" t="s">
        <v>38</v>
      </c>
      <c r="E1375" s="3" t="s">
        <v>39</v>
      </c>
      <c r="F1375" s="3">
        <v>1135.31</v>
      </c>
      <c r="G1375" s="3" t="s">
        <v>40</v>
      </c>
      <c r="H1375" s="3" t="s">
        <v>17</v>
      </c>
      <c r="I1375" s="3">
        <f>IF(C1375="India",1,IF(C1375="USA",INDEX('Currency Master'!B:B,MATCH(DATE(N1375,MONTH(DATEVALUE(O1375&amp;" 1")),1),'Currency Master'!A:A,0)),IF(C1375="Australia",INDEX('Currency Master'!T:T,MATCH(DATE(N1375,MONTH(DATEVALUE(O1375&amp;" 1")),1),'Currency Master'!A:A,0)),"")))</f>
        <v>50.831000000000003</v>
      </c>
      <c r="J1375" s="3">
        <f t="shared" si="84"/>
        <v>1135.31</v>
      </c>
      <c r="K1375" s="3" t="str">
        <f t="shared" si="85"/>
        <v>₹/Kg</v>
      </c>
      <c r="L1375" s="3">
        <v>0.01</v>
      </c>
      <c r="M1375" s="3"/>
      <c r="N1375" s="3">
        <f t="shared" si="86"/>
        <v>2018</v>
      </c>
      <c r="O1375" s="3" t="str">
        <f t="shared" si="87"/>
        <v>December</v>
      </c>
      <c r="P1375" s="3" t="s">
        <v>41</v>
      </c>
      <c r="Q1375" s="3"/>
    </row>
    <row r="1376" spans="1:17" hidden="1" x14ac:dyDescent="0.3">
      <c r="A1376" s="2">
        <v>43405</v>
      </c>
      <c r="B1376" s="3" t="s">
        <v>31</v>
      </c>
      <c r="C1376" s="3" t="s">
        <v>32</v>
      </c>
      <c r="D1376" s="3" t="s">
        <v>38</v>
      </c>
      <c r="E1376" s="3" t="s">
        <v>39</v>
      </c>
      <c r="F1376" s="3">
        <v>1124.02</v>
      </c>
      <c r="G1376" s="3" t="s">
        <v>40</v>
      </c>
      <c r="H1376" s="3" t="s">
        <v>17</v>
      </c>
      <c r="I1376" s="3">
        <f>IF(C1376="India",1,IF(C1376="USA",INDEX('Currency Master'!B:B,MATCH(DATE(N1376,MONTH(DATEVALUE(O1376&amp;" 1")),1),'Currency Master'!A:A,0)),IF(C1376="Australia",INDEX('Currency Master'!T:T,MATCH(DATE(N1376,MONTH(DATEVALUE(O1376&amp;" 1")),1),'Currency Master'!A:A,0)),"")))</f>
        <v>50.667000000000002</v>
      </c>
      <c r="J1376" s="3">
        <f t="shared" si="84"/>
        <v>1124.02</v>
      </c>
      <c r="K1376" s="3" t="str">
        <f t="shared" si="85"/>
        <v>₹/Kg</v>
      </c>
      <c r="L1376" s="3">
        <v>-7.5999999999999998E-2</v>
      </c>
      <c r="M1376" s="3"/>
      <c r="N1376" s="3">
        <f t="shared" si="86"/>
        <v>2018</v>
      </c>
      <c r="O1376" s="3" t="str">
        <f t="shared" si="87"/>
        <v>November</v>
      </c>
      <c r="P1376" s="3" t="s">
        <v>41</v>
      </c>
      <c r="Q1376" s="3"/>
    </row>
    <row r="1377" spans="1:17" hidden="1" x14ac:dyDescent="0.3">
      <c r="A1377" s="2">
        <v>43374</v>
      </c>
      <c r="B1377" s="3" t="s">
        <v>31</v>
      </c>
      <c r="C1377" s="3" t="s">
        <v>32</v>
      </c>
      <c r="D1377" s="3" t="s">
        <v>38</v>
      </c>
      <c r="E1377" s="3" t="s">
        <v>39</v>
      </c>
      <c r="F1377" s="3">
        <v>1216.42</v>
      </c>
      <c r="G1377" s="3" t="s">
        <v>40</v>
      </c>
      <c r="H1377" s="3" t="s">
        <v>17</v>
      </c>
      <c r="I1377" s="3">
        <f>IF(C1377="India",1,IF(C1377="USA",INDEX('Currency Master'!B:B,MATCH(DATE(N1377,MONTH(DATEVALUE(O1377&amp;" 1")),1),'Currency Master'!A:A,0)),IF(C1377="Australia",INDEX('Currency Master'!T:T,MATCH(DATE(N1377,MONTH(DATEVALUE(O1377&amp;" 1")),1),'Currency Master'!A:A,0)),"")))</f>
        <v>51.017000000000003</v>
      </c>
      <c r="J1377" s="3">
        <f t="shared" si="84"/>
        <v>1216.42</v>
      </c>
      <c r="K1377" s="3" t="str">
        <f t="shared" si="85"/>
        <v>₹/Kg</v>
      </c>
      <c r="L1377" s="3">
        <v>-3.6999999999999998E-2</v>
      </c>
      <c r="M1377" s="3"/>
      <c r="N1377" s="3">
        <f t="shared" si="86"/>
        <v>2018</v>
      </c>
      <c r="O1377" s="3" t="str">
        <f t="shared" si="87"/>
        <v>October</v>
      </c>
      <c r="P1377" s="3" t="s">
        <v>41</v>
      </c>
      <c r="Q1377" s="3"/>
    </row>
    <row r="1378" spans="1:17" hidden="1" x14ac:dyDescent="0.3">
      <c r="A1378" s="2">
        <v>43344</v>
      </c>
      <c r="B1378" s="3" t="s">
        <v>31</v>
      </c>
      <c r="C1378" s="3" t="s">
        <v>32</v>
      </c>
      <c r="D1378" s="3" t="s">
        <v>38</v>
      </c>
      <c r="E1378" s="3" t="s">
        <v>39</v>
      </c>
      <c r="F1378" s="3">
        <v>1263.17</v>
      </c>
      <c r="G1378" s="3" t="s">
        <v>40</v>
      </c>
      <c r="H1378" s="3" t="s">
        <v>17</v>
      </c>
      <c r="I1378" s="3">
        <f>IF(C1378="India",1,IF(C1378="USA",INDEX('Currency Master'!B:B,MATCH(DATE(N1378,MONTH(DATEVALUE(O1378&amp;" 1")),1),'Currency Master'!A:A,0)),IF(C1378="Australia",INDEX('Currency Master'!T:T,MATCH(DATE(N1378,MONTH(DATEVALUE(O1378&amp;" 1")),1),'Currency Master'!A:A,0)),"")))</f>
        <v>50.042999999999999</v>
      </c>
      <c r="J1378" s="3">
        <f t="shared" si="84"/>
        <v>1263.17</v>
      </c>
      <c r="K1378" s="3" t="str">
        <f t="shared" si="85"/>
        <v>₹/Kg</v>
      </c>
      <c r="L1378" s="3">
        <v>4.3900000000000002E-2</v>
      </c>
      <c r="M1378" s="3"/>
      <c r="N1378" s="3">
        <f t="shared" si="86"/>
        <v>2018</v>
      </c>
      <c r="O1378" s="3" t="str">
        <f t="shared" si="87"/>
        <v>September</v>
      </c>
      <c r="P1378" s="3" t="s">
        <v>41</v>
      </c>
      <c r="Q1378" s="3"/>
    </row>
    <row r="1379" spans="1:17" hidden="1" x14ac:dyDescent="0.3">
      <c r="A1379" s="2">
        <v>43313</v>
      </c>
      <c r="B1379" s="3" t="s">
        <v>31</v>
      </c>
      <c r="C1379" s="3" t="s">
        <v>32</v>
      </c>
      <c r="D1379" s="3" t="s">
        <v>38</v>
      </c>
      <c r="E1379" s="3" t="s">
        <v>39</v>
      </c>
      <c r="F1379" s="3">
        <v>1210</v>
      </c>
      <c r="G1379" s="3" t="s">
        <v>40</v>
      </c>
      <c r="H1379" s="3" t="s">
        <v>17</v>
      </c>
      <c r="I1379" s="3">
        <f>IF(C1379="India",1,IF(C1379="USA",INDEX('Currency Master'!B:B,MATCH(DATE(N1379,MONTH(DATEVALUE(O1379&amp;" 1")),1),'Currency Master'!A:A,0)),IF(C1379="Australia",INDEX('Currency Master'!T:T,MATCH(DATE(N1379,MONTH(DATEVALUE(O1379&amp;" 1")),1),'Currency Master'!A:A,0)),"")))</f>
        <v>49.991</v>
      </c>
      <c r="J1379" s="3">
        <f t="shared" si="84"/>
        <v>1210</v>
      </c>
      <c r="K1379" s="3" t="str">
        <f t="shared" si="85"/>
        <v>₹/Kg</v>
      </c>
      <c r="L1379" s="3">
        <v>4.2700000000000002E-2</v>
      </c>
      <c r="M1379" s="3"/>
      <c r="N1379" s="3">
        <f t="shared" si="86"/>
        <v>2018</v>
      </c>
      <c r="O1379" s="3" t="str">
        <f t="shared" si="87"/>
        <v>August</v>
      </c>
      <c r="P1379" s="3" t="s">
        <v>41</v>
      </c>
      <c r="Q1379" s="3"/>
    </row>
    <row r="1380" spans="1:17" hidden="1" x14ac:dyDescent="0.3">
      <c r="A1380" s="2">
        <v>43282</v>
      </c>
      <c r="B1380" s="3" t="s">
        <v>31</v>
      </c>
      <c r="C1380" s="3" t="s">
        <v>32</v>
      </c>
      <c r="D1380" s="3" t="s">
        <v>38</v>
      </c>
      <c r="E1380" s="3" t="s">
        <v>39</v>
      </c>
      <c r="F1380" s="3">
        <v>1160.42</v>
      </c>
      <c r="G1380" s="3" t="s">
        <v>40</v>
      </c>
      <c r="H1380" s="3" t="s">
        <v>17</v>
      </c>
      <c r="I1380" s="3">
        <f>IF(C1380="India",1,IF(C1380="USA",INDEX('Currency Master'!B:B,MATCH(DATE(N1380,MONTH(DATEVALUE(O1380&amp;" 1")),1),'Currency Master'!A:A,0)),IF(C1380="Australia",INDEX('Currency Master'!T:T,MATCH(DATE(N1380,MONTH(DATEVALUE(O1380&amp;" 1")),1),'Currency Master'!A:A,0)),"")))</f>
        <v>50.601999999999997</v>
      </c>
      <c r="J1380" s="3">
        <f t="shared" si="84"/>
        <v>1160.42</v>
      </c>
      <c r="K1380" s="3" t="str">
        <f t="shared" si="85"/>
        <v>₹/Kg</v>
      </c>
      <c r="L1380" s="3">
        <v>-1.61E-2</v>
      </c>
      <c r="M1380" s="3"/>
      <c r="N1380" s="3">
        <f t="shared" si="86"/>
        <v>2018</v>
      </c>
      <c r="O1380" s="3" t="str">
        <f t="shared" si="87"/>
        <v>July</v>
      </c>
      <c r="P1380" s="3" t="s">
        <v>41</v>
      </c>
      <c r="Q1380" s="3"/>
    </row>
    <row r="1381" spans="1:17" hidden="1" x14ac:dyDescent="0.3">
      <c r="A1381" s="2">
        <v>43252</v>
      </c>
      <c r="B1381" s="3" t="s">
        <v>31</v>
      </c>
      <c r="C1381" s="3" t="s">
        <v>32</v>
      </c>
      <c r="D1381" s="3" t="s">
        <v>38</v>
      </c>
      <c r="E1381" s="3" t="s">
        <v>39</v>
      </c>
      <c r="F1381" s="3">
        <v>1179.3699999999999</v>
      </c>
      <c r="G1381" s="3" t="s">
        <v>40</v>
      </c>
      <c r="H1381" s="3" t="s">
        <v>17</v>
      </c>
      <c r="I1381" s="3">
        <f>IF(C1381="India",1,IF(C1381="USA",INDEX('Currency Master'!B:B,MATCH(DATE(N1381,MONTH(DATEVALUE(O1381&amp;" 1")),1),'Currency Master'!A:A,0)),IF(C1381="Australia",INDEX('Currency Master'!T:T,MATCH(DATE(N1381,MONTH(DATEVALUE(O1381&amp;" 1")),1),'Currency Master'!A:A,0)),"")))</f>
        <v>51.174999999999997</v>
      </c>
      <c r="J1381" s="3">
        <f t="shared" si="84"/>
        <v>1179.3699999999999</v>
      </c>
      <c r="K1381" s="3" t="str">
        <f t="shared" si="85"/>
        <v>₹/Kg</v>
      </c>
      <c r="L1381" s="3">
        <v>5.8900000000000001E-2</v>
      </c>
      <c r="M1381" s="3"/>
      <c r="N1381" s="3">
        <f t="shared" si="86"/>
        <v>2018</v>
      </c>
      <c r="O1381" s="3" t="str">
        <f t="shared" si="87"/>
        <v>June</v>
      </c>
      <c r="P1381" s="3" t="s">
        <v>41</v>
      </c>
      <c r="Q1381" s="3"/>
    </row>
    <row r="1382" spans="1:17" hidden="1" x14ac:dyDescent="0.3">
      <c r="A1382" s="2">
        <v>43221</v>
      </c>
      <c r="B1382" s="3" t="s">
        <v>31</v>
      </c>
      <c r="C1382" s="3" t="s">
        <v>32</v>
      </c>
      <c r="D1382" s="3" t="s">
        <v>38</v>
      </c>
      <c r="E1382" s="3" t="s">
        <v>39</v>
      </c>
      <c r="F1382" s="3">
        <v>1113.72</v>
      </c>
      <c r="G1382" s="3" t="s">
        <v>40</v>
      </c>
      <c r="H1382" s="3" t="s">
        <v>17</v>
      </c>
      <c r="I1382" s="3">
        <f>IF(C1382="India",1,IF(C1382="USA",INDEX('Currency Master'!B:B,MATCH(DATE(N1382,MONTH(DATEVALUE(O1382&amp;" 1")),1),'Currency Master'!A:A,0)),IF(C1382="Australia",INDEX('Currency Master'!T:T,MATCH(DATE(N1382,MONTH(DATEVALUE(O1382&amp;" 1")),1),'Currency Master'!A:A,0)),"")))</f>
        <v>49.793999999999997</v>
      </c>
      <c r="J1382" s="3">
        <f t="shared" si="84"/>
        <v>1113.72</v>
      </c>
      <c r="K1382" s="3" t="str">
        <f t="shared" si="85"/>
        <v>₹/Kg</v>
      </c>
      <c r="L1382" s="3">
        <v>6.0600000000000001E-2</v>
      </c>
      <c r="M1382" s="3"/>
      <c r="N1382" s="3">
        <f t="shared" si="86"/>
        <v>2018</v>
      </c>
      <c r="O1382" s="3" t="str">
        <f t="shared" si="87"/>
        <v>May</v>
      </c>
      <c r="P1382" s="3" t="s">
        <v>41</v>
      </c>
      <c r="Q1382" s="3"/>
    </row>
    <row r="1383" spans="1:17" hidden="1" x14ac:dyDescent="0.3">
      <c r="A1383" s="2">
        <v>43191</v>
      </c>
      <c r="B1383" s="3" t="s">
        <v>31</v>
      </c>
      <c r="C1383" s="3" t="s">
        <v>32</v>
      </c>
      <c r="D1383" s="3" t="s">
        <v>38</v>
      </c>
      <c r="E1383" s="3" t="s">
        <v>39</v>
      </c>
      <c r="F1383" s="3">
        <v>1050.05</v>
      </c>
      <c r="G1383" s="3" t="s">
        <v>40</v>
      </c>
      <c r="H1383" s="3" t="s">
        <v>17</v>
      </c>
      <c r="I1383" s="3">
        <f>IF(C1383="India",1,IF(C1383="USA",INDEX('Currency Master'!B:B,MATCH(DATE(N1383,MONTH(DATEVALUE(O1383&amp;" 1")),1),'Currency Master'!A:A,0)),IF(C1383="Australia",INDEX('Currency Master'!T:T,MATCH(DATE(N1383,MONTH(DATEVALUE(O1383&amp;" 1")),1),'Currency Master'!A:A,0)),"")))</f>
        <v>48.786000000000001</v>
      </c>
      <c r="J1383" s="3">
        <f t="shared" si="84"/>
        <v>1050.05</v>
      </c>
      <c r="K1383" s="3" t="str">
        <f t="shared" si="85"/>
        <v>₹/Kg</v>
      </c>
      <c r="L1383" s="3">
        <v>4.4000000000000003E-3</v>
      </c>
      <c r="M1383" s="3"/>
      <c r="N1383" s="3">
        <f t="shared" si="86"/>
        <v>2018</v>
      </c>
      <c r="O1383" s="3" t="str">
        <f t="shared" si="87"/>
        <v>April</v>
      </c>
      <c r="P1383" s="3" t="s">
        <v>41</v>
      </c>
      <c r="Q1383" s="3"/>
    </row>
    <row r="1384" spans="1:17" hidden="1" x14ac:dyDescent="0.3">
      <c r="A1384" s="2">
        <v>43160</v>
      </c>
      <c r="B1384" s="3" t="s">
        <v>31</v>
      </c>
      <c r="C1384" s="3" t="s">
        <v>32</v>
      </c>
      <c r="D1384" s="3" t="s">
        <v>38</v>
      </c>
      <c r="E1384" s="3" t="s">
        <v>39</v>
      </c>
      <c r="F1384" s="3">
        <v>1045.49</v>
      </c>
      <c r="G1384" s="3" t="s">
        <v>40</v>
      </c>
      <c r="H1384" s="3" t="s">
        <v>17</v>
      </c>
      <c r="I1384" s="3">
        <f>IF(C1384="India",1,IF(C1384="USA",INDEX('Currency Master'!B:B,MATCH(DATE(N1384,MONTH(DATEVALUE(O1384&amp;" 1")),1),'Currency Master'!A:A,0)),IF(C1384="Australia",INDEX('Currency Master'!T:T,MATCH(DATE(N1384,MONTH(DATEVALUE(O1384&amp;" 1")),1),'Currency Master'!A:A,0)),"")))</f>
        <v>49.558</v>
      </c>
      <c r="J1384" s="3">
        <f t="shared" si="84"/>
        <v>1045.49</v>
      </c>
      <c r="K1384" s="3" t="str">
        <f t="shared" si="85"/>
        <v>₹/Kg</v>
      </c>
      <c r="L1384" s="3">
        <v>-3.5499999999999997E-2</v>
      </c>
      <c r="M1384" s="3"/>
      <c r="N1384" s="3">
        <f t="shared" si="86"/>
        <v>2018</v>
      </c>
      <c r="O1384" s="3" t="str">
        <f t="shared" si="87"/>
        <v>March</v>
      </c>
      <c r="P1384" s="3" t="s">
        <v>41</v>
      </c>
      <c r="Q1384" s="3"/>
    </row>
    <row r="1385" spans="1:17" hidden="1" x14ac:dyDescent="0.3">
      <c r="A1385" s="2">
        <v>43132</v>
      </c>
      <c r="B1385" s="3" t="s">
        <v>31</v>
      </c>
      <c r="C1385" s="3" t="s">
        <v>32</v>
      </c>
      <c r="D1385" s="3" t="s">
        <v>38</v>
      </c>
      <c r="E1385" s="3" t="s">
        <v>39</v>
      </c>
      <c r="F1385" s="3">
        <v>1083.97</v>
      </c>
      <c r="G1385" s="3" t="s">
        <v>40</v>
      </c>
      <c r="H1385" s="3" t="s">
        <v>17</v>
      </c>
      <c r="I1385" s="3">
        <f>IF(C1385="India",1,IF(C1385="USA",INDEX('Currency Master'!B:B,MATCH(DATE(N1385,MONTH(DATEVALUE(O1385&amp;" 1")),1),'Currency Master'!A:A,0)),IF(C1385="Australia",INDEX('Currency Master'!T:T,MATCH(DATE(N1385,MONTH(DATEVALUE(O1385&amp;" 1")),1),'Currency Master'!A:A,0)),"")))</f>
        <v>51.152999999999999</v>
      </c>
      <c r="J1385" s="3">
        <f t="shared" si="84"/>
        <v>1083.97</v>
      </c>
      <c r="K1385" s="3" t="str">
        <f t="shared" si="85"/>
        <v>₹/Kg</v>
      </c>
      <c r="L1385" s="3">
        <v>5.4000000000000003E-3</v>
      </c>
      <c r="M1385" s="3"/>
      <c r="N1385" s="3">
        <f t="shared" si="86"/>
        <v>2018</v>
      </c>
      <c r="O1385" s="3" t="str">
        <f t="shared" si="87"/>
        <v>February</v>
      </c>
      <c r="P1385" s="3" t="s">
        <v>41</v>
      </c>
      <c r="Q1385" s="3"/>
    </row>
    <row r="1386" spans="1:17" hidden="1" x14ac:dyDescent="0.3">
      <c r="A1386" s="2">
        <v>43101</v>
      </c>
      <c r="B1386" s="3" t="s">
        <v>31</v>
      </c>
      <c r="C1386" s="3" t="s">
        <v>32</v>
      </c>
      <c r="D1386" s="3" t="s">
        <v>38</v>
      </c>
      <c r="E1386" s="3" t="s">
        <v>39</v>
      </c>
      <c r="F1386" s="3">
        <v>1078.1600000000001</v>
      </c>
      <c r="G1386" s="3" t="s">
        <v>40</v>
      </c>
      <c r="H1386" s="3" t="s">
        <v>17</v>
      </c>
      <c r="I1386" s="3">
        <f>IF(C1386="India",1,IF(C1386="USA",INDEX('Currency Master'!B:B,MATCH(DATE(N1386,MONTH(DATEVALUE(O1386&amp;" 1")),1),'Currency Master'!A:A,0)),IF(C1386="Australia",INDEX('Currency Master'!T:T,MATCH(DATE(N1386,MONTH(DATEVALUE(O1386&amp;" 1")),1),'Currency Master'!A:A,0)),"")))</f>
        <v>50.798999999999999</v>
      </c>
      <c r="J1386" s="3">
        <f t="shared" si="84"/>
        <v>1078.1600000000001</v>
      </c>
      <c r="K1386" s="3" t="str">
        <f t="shared" si="85"/>
        <v>₹/Kg</v>
      </c>
      <c r="L1386" s="3">
        <v>7.6499999999999999E-2</v>
      </c>
      <c r="M1386" s="3"/>
      <c r="N1386" s="3">
        <f t="shared" si="86"/>
        <v>2018</v>
      </c>
      <c r="O1386" s="3" t="str">
        <f t="shared" si="87"/>
        <v>January</v>
      </c>
      <c r="P1386" s="3" t="s">
        <v>41</v>
      </c>
      <c r="Q1386" s="3"/>
    </row>
    <row r="1387" spans="1:17" hidden="1" x14ac:dyDescent="0.3">
      <c r="A1387" s="2">
        <v>43070</v>
      </c>
      <c r="B1387" s="3" t="s">
        <v>31</v>
      </c>
      <c r="C1387" s="3" t="s">
        <v>32</v>
      </c>
      <c r="D1387" s="3" t="s">
        <v>38</v>
      </c>
      <c r="E1387" s="3" t="s">
        <v>39</v>
      </c>
      <c r="F1387" s="3">
        <v>1001.55</v>
      </c>
      <c r="G1387" s="3" t="s">
        <v>40</v>
      </c>
      <c r="H1387" s="3" t="s">
        <v>17</v>
      </c>
      <c r="I1387" s="3">
        <f>IF(C1387="India",1,IF(C1387="USA",INDEX('Currency Master'!B:B,MATCH(DATE(N1387,MONTH(DATEVALUE(O1387&amp;" 1")),1),'Currency Master'!A:A,0)),IF(C1387="Australia",INDEX('Currency Master'!T:T,MATCH(DATE(N1387,MONTH(DATEVALUE(O1387&amp;" 1")),1),'Currency Master'!A:A,0)),"")))</f>
        <v>51.348999999999997</v>
      </c>
      <c r="J1387" s="3">
        <f t="shared" si="84"/>
        <v>1001.55</v>
      </c>
      <c r="K1387" s="3" t="str">
        <f t="shared" si="85"/>
        <v>₹/Kg</v>
      </c>
      <c r="L1387" s="3">
        <v>1.7100000000000001E-2</v>
      </c>
      <c r="M1387" s="3"/>
      <c r="N1387" s="3">
        <f t="shared" si="86"/>
        <v>2017</v>
      </c>
      <c r="O1387" s="3" t="str">
        <f t="shared" si="87"/>
        <v>December</v>
      </c>
      <c r="P1387" s="3" t="s">
        <v>41</v>
      </c>
      <c r="Q1387" s="3"/>
    </row>
    <row r="1388" spans="1:17" hidden="1" x14ac:dyDescent="0.3">
      <c r="A1388" s="2">
        <v>43040</v>
      </c>
      <c r="B1388" s="3" t="s">
        <v>31</v>
      </c>
      <c r="C1388" s="3" t="s">
        <v>32</v>
      </c>
      <c r="D1388" s="3" t="s">
        <v>38</v>
      </c>
      <c r="E1388" s="3" t="s">
        <v>39</v>
      </c>
      <c r="F1388" s="3">
        <v>984.7</v>
      </c>
      <c r="G1388" s="3" t="s">
        <v>40</v>
      </c>
      <c r="H1388" s="3" t="s">
        <v>17</v>
      </c>
      <c r="I1388" s="3">
        <f>IF(C1388="India",1,IF(C1388="USA",INDEX('Currency Master'!B:B,MATCH(DATE(N1388,MONTH(DATEVALUE(O1388&amp;" 1")),1),'Currency Master'!A:A,0)),IF(C1388="Australia",INDEX('Currency Master'!T:T,MATCH(DATE(N1388,MONTH(DATEVALUE(O1388&amp;" 1")),1),'Currency Master'!A:A,0)),"")))</f>
        <v>49.662999999999997</v>
      </c>
      <c r="J1388" s="3">
        <f t="shared" si="84"/>
        <v>984.7</v>
      </c>
      <c r="K1388" s="3" t="str">
        <f t="shared" si="85"/>
        <v>₹/Kg</v>
      </c>
      <c r="L1388" s="3">
        <v>3.3700000000000001E-2</v>
      </c>
      <c r="M1388" s="3"/>
      <c r="N1388" s="3">
        <f t="shared" si="86"/>
        <v>2017</v>
      </c>
      <c r="O1388" s="3" t="str">
        <f t="shared" si="87"/>
        <v>November</v>
      </c>
      <c r="P1388" s="3" t="s">
        <v>41</v>
      </c>
      <c r="Q1388" s="3"/>
    </row>
    <row r="1389" spans="1:17" hidden="1" x14ac:dyDescent="0.3">
      <c r="A1389" s="2">
        <v>43009</v>
      </c>
      <c r="B1389" s="3" t="s">
        <v>31</v>
      </c>
      <c r="C1389" s="3" t="s">
        <v>32</v>
      </c>
      <c r="D1389" s="3" t="s">
        <v>38</v>
      </c>
      <c r="E1389" s="3" t="s">
        <v>39</v>
      </c>
      <c r="F1389" s="3">
        <v>952.63</v>
      </c>
      <c r="G1389" s="3" t="s">
        <v>40</v>
      </c>
      <c r="H1389" s="3" t="s">
        <v>17</v>
      </c>
      <c r="I1389" s="3">
        <f>IF(C1389="India",1,IF(C1389="USA",INDEX('Currency Master'!B:B,MATCH(DATE(N1389,MONTH(DATEVALUE(O1389&amp;" 1")),1),'Currency Master'!A:A,0)),IF(C1389="Australia",INDEX('Currency Master'!T:T,MATCH(DATE(N1389,MONTH(DATEVALUE(O1389&amp;" 1")),1),'Currency Master'!A:A,0)),"")))</f>
        <v>47.920999999999999</v>
      </c>
      <c r="J1389" s="3">
        <f t="shared" si="84"/>
        <v>952.63</v>
      </c>
      <c r="K1389" s="3" t="str">
        <f t="shared" si="85"/>
        <v>₹/Kg</v>
      </c>
      <c r="L1389" s="3">
        <v>3.3700000000000001E-2</v>
      </c>
      <c r="M1389" s="3"/>
      <c r="N1389" s="3">
        <f t="shared" si="86"/>
        <v>2017</v>
      </c>
      <c r="O1389" s="3" t="str">
        <f t="shared" si="87"/>
        <v>October</v>
      </c>
      <c r="P1389" s="3" t="s">
        <v>41</v>
      </c>
      <c r="Q1389" s="3"/>
    </row>
    <row r="1390" spans="1:17" hidden="1" x14ac:dyDescent="0.3">
      <c r="A1390" s="2">
        <v>42979</v>
      </c>
      <c r="B1390" s="3" t="s">
        <v>31</v>
      </c>
      <c r="C1390" s="3" t="s">
        <v>32</v>
      </c>
      <c r="D1390" s="3" t="s">
        <v>38</v>
      </c>
      <c r="E1390" s="3" t="s">
        <v>39</v>
      </c>
      <c r="F1390" s="3">
        <v>921.61</v>
      </c>
      <c r="G1390" s="3" t="s">
        <v>40</v>
      </c>
      <c r="H1390" s="3" t="s">
        <v>17</v>
      </c>
      <c r="I1390" s="3">
        <f>IF(C1390="India",1,IF(C1390="USA",INDEX('Currency Master'!B:B,MATCH(DATE(N1390,MONTH(DATEVALUE(O1390&amp;" 1")),1),'Currency Master'!A:A,0)),IF(C1390="Australia",INDEX('Currency Master'!T:T,MATCH(DATE(N1390,MONTH(DATEVALUE(O1390&amp;" 1")),1),'Currency Master'!A:A,0)),"")))</f>
        <v>48.1</v>
      </c>
      <c r="J1390" s="3">
        <f t="shared" si="84"/>
        <v>921.61</v>
      </c>
      <c r="K1390" s="3" t="str">
        <f t="shared" si="85"/>
        <v>₹/Kg</v>
      </c>
      <c r="L1390" s="3">
        <v>-2.0299999999999999E-2</v>
      </c>
      <c r="M1390" s="3"/>
      <c r="N1390" s="3">
        <f t="shared" si="86"/>
        <v>2017</v>
      </c>
      <c r="O1390" s="3" t="str">
        <f t="shared" si="87"/>
        <v>September</v>
      </c>
      <c r="P1390" s="3" t="s">
        <v>41</v>
      </c>
      <c r="Q1390" s="3"/>
    </row>
    <row r="1391" spans="1:17" hidden="1" x14ac:dyDescent="0.3">
      <c r="A1391" s="2">
        <v>42948</v>
      </c>
      <c r="B1391" s="3" t="s">
        <v>31</v>
      </c>
      <c r="C1391" s="3" t="s">
        <v>32</v>
      </c>
      <c r="D1391" s="3" t="s">
        <v>38</v>
      </c>
      <c r="E1391" s="3" t="s">
        <v>39</v>
      </c>
      <c r="F1391" s="3">
        <v>940.68</v>
      </c>
      <c r="G1391" s="3" t="s">
        <v>40</v>
      </c>
      <c r="H1391" s="3" t="s">
        <v>17</v>
      </c>
      <c r="I1391" s="3">
        <f>IF(C1391="India",1,IF(C1391="USA",INDEX('Currency Master'!B:B,MATCH(DATE(N1391,MONTH(DATEVALUE(O1391&amp;" 1")),1),'Currency Master'!A:A,0)),IF(C1391="Australia",INDEX('Currency Master'!T:T,MATCH(DATE(N1391,MONTH(DATEVALUE(O1391&amp;" 1")),1),'Currency Master'!A:A,0)),"")))</f>
        <v>49.468000000000004</v>
      </c>
      <c r="J1391" s="3">
        <f t="shared" si="84"/>
        <v>940.68</v>
      </c>
      <c r="K1391" s="3" t="str">
        <f t="shared" si="85"/>
        <v>₹/Kg</v>
      </c>
      <c r="L1391" s="3">
        <v>3.7999999999999999E-2</v>
      </c>
      <c r="M1391" s="3"/>
      <c r="N1391" s="3">
        <f t="shared" si="86"/>
        <v>2017</v>
      </c>
      <c r="O1391" s="3" t="str">
        <f t="shared" si="87"/>
        <v>August</v>
      </c>
      <c r="P1391" s="3" t="s">
        <v>41</v>
      </c>
      <c r="Q1391" s="3"/>
    </row>
    <row r="1392" spans="1:17" hidden="1" x14ac:dyDescent="0.3">
      <c r="A1392" s="2">
        <v>42917</v>
      </c>
      <c r="B1392" s="3" t="s">
        <v>31</v>
      </c>
      <c r="C1392" s="3" t="s">
        <v>32</v>
      </c>
      <c r="D1392" s="3" t="s">
        <v>38</v>
      </c>
      <c r="E1392" s="3" t="s">
        <v>39</v>
      </c>
      <c r="F1392" s="3">
        <v>906.26</v>
      </c>
      <c r="G1392" s="3" t="s">
        <v>40</v>
      </c>
      <c r="H1392" s="3" t="s">
        <v>17</v>
      </c>
      <c r="I1392" s="3">
        <f>IF(C1392="India",1,IF(C1392="USA",INDEX('Currency Master'!B:B,MATCH(DATE(N1392,MONTH(DATEVALUE(O1392&amp;" 1")),1),'Currency Master'!A:A,0)),IF(C1392="Australia",INDEX('Currency Master'!T:T,MATCH(DATE(N1392,MONTH(DATEVALUE(O1392&amp;" 1")),1),'Currency Master'!A:A,0)),"")))</f>
        <v>51.072000000000003</v>
      </c>
      <c r="J1392" s="3">
        <f t="shared" si="84"/>
        <v>906.26</v>
      </c>
      <c r="K1392" s="3" t="str">
        <f t="shared" si="85"/>
        <v>₹/Kg</v>
      </c>
      <c r="L1392" s="3">
        <v>1.9E-3</v>
      </c>
      <c r="M1392" s="3"/>
      <c r="N1392" s="3">
        <f t="shared" si="86"/>
        <v>2017</v>
      </c>
      <c r="O1392" s="3" t="str">
        <f t="shared" si="87"/>
        <v>July</v>
      </c>
      <c r="P1392" s="3" t="s">
        <v>41</v>
      </c>
      <c r="Q1392" s="3"/>
    </row>
    <row r="1393" spans="1:17" hidden="1" x14ac:dyDescent="0.3">
      <c r="A1393" s="2">
        <v>42887</v>
      </c>
      <c r="B1393" s="3" t="s">
        <v>31</v>
      </c>
      <c r="C1393" s="3" t="s">
        <v>32</v>
      </c>
      <c r="D1393" s="3" t="s">
        <v>38</v>
      </c>
      <c r="E1393" s="3" t="s">
        <v>39</v>
      </c>
      <c r="F1393" s="3">
        <v>904.57</v>
      </c>
      <c r="G1393" s="3" t="s">
        <v>40</v>
      </c>
      <c r="H1393" s="3" t="s">
        <v>17</v>
      </c>
      <c r="I1393" s="3">
        <f>IF(C1393="India",1,IF(C1393="USA",INDEX('Currency Master'!B:B,MATCH(DATE(N1393,MONTH(DATEVALUE(O1393&amp;" 1")),1),'Currency Master'!A:A,0)),IF(C1393="Australia",INDEX('Currency Master'!T:T,MATCH(DATE(N1393,MONTH(DATEVALUE(O1393&amp;" 1")),1),'Currency Master'!A:A,0)),"")))</f>
        <v>51.177999999999997</v>
      </c>
      <c r="J1393" s="3">
        <f t="shared" si="84"/>
        <v>904.57</v>
      </c>
      <c r="K1393" s="3" t="str">
        <f t="shared" si="85"/>
        <v>₹/Kg</v>
      </c>
      <c r="L1393" s="3">
        <v>-2.0400000000000001E-2</v>
      </c>
      <c r="M1393" s="3"/>
      <c r="N1393" s="3">
        <f t="shared" si="86"/>
        <v>2017</v>
      </c>
      <c r="O1393" s="3" t="str">
        <f t="shared" si="87"/>
        <v>June</v>
      </c>
      <c r="P1393" s="3" t="s">
        <v>41</v>
      </c>
      <c r="Q1393" s="3"/>
    </row>
    <row r="1394" spans="1:17" hidden="1" x14ac:dyDescent="0.3">
      <c r="A1394" s="2">
        <v>42856</v>
      </c>
      <c r="B1394" s="3" t="s">
        <v>31</v>
      </c>
      <c r="C1394" s="3" t="s">
        <v>32</v>
      </c>
      <c r="D1394" s="3" t="s">
        <v>38</v>
      </c>
      <c r="E1394" s="3" t="s">
        <v>39</v>
      </c>
      <c r="F1394" s="3">
        <v>923.42</v>
      </c>
      <c r="G1394" s="3" t="s">
        <v>40</v>
      </c>
      <c r="H1394" s="3" t="s">
        <v>17</v>
      </c>
      <c r="I1394" s="3">
        <f>IF(C1394="India",1,IF(C1394="USA",INDEX('Currency Master'!B:B,MATCH(DATE(N1394,MONTH(DATEVALUE(O1394&amp;" 1")),1),'Currency Master'!A:A,0)),IF(C1394="Australia",INDEX('Currency Master'!T:T,MATCH(DATE(N1394,MONTH(DATEVALUE(O1394&amp;" 1")),1),'Currency Master'!A:A,0)),"")))</f>
        <v>49.021999999999998</v>
      </c>
      <c r="J1394" s="3">
        <f t="shared" si="84"/>
        <v>923.42</v>
      </c>
      <c r="K1394" s="3" t="str">
        <f t="shared" si="85"/>
        <v>₹/Kg</v>
      </c>
      <c r="L1394" s="3">
        <v>2.1700000000000001E-2</v>
      </c>
      <c r="M1394" s="3"/>
      <c r="N1394" s="3">
        <f t="shared" si="86"/>
        <v>2017</v>
      </c>
      <c r="O1394" s="3" t="str">
        <f t="shared" si="87"/>
        <v>May</v>
      </c>
      <c r="P1394" s="3" t="s">
        <v>41</v>
      </c>
      <c r="Q1394" s="3"/>
    </row>
    <row r="1395" spans="1:17" hidden="1" x14ac:dyDescent="0.3">
      <c r="A1395" s="2">
        <v>42826</v>
      </c>
      <c r="B1395" s="3" t="s">
        <v>31</v>
      </c>
      <c r="C1395" s="3" t="s">
        <v>32</v>
      </c>
      <c r="D1395" s="3" t="s">
        <v>38</v>
      </c>
      <c r="E1395" s="3" t="s">
        <v>39</v>
      </c>
      <c r="F1395" s="3">
        <v>903.79</v>
      </c>
      <c r="G1395" s="3" t="s">
        <v>40</v>
      </c>
      <c r="H1395" s="3" t="s">
        <v>17</v>
      </c>
      <c r="I1395" s="3">
        <f>IF(C1395="India",1,IF(C1395="USA",INDEX('Currency Master'!B:B,MATCH(DATE(N1395,MONTH(DATEVALUE(O1395&amp;" 1")),1),'Currency Master'!A:A,0)),IF(C1395="Australia",INDEX('Currency Master'!T:T,MATCH(DATE(N1395,MONTH(DATEVALUE(O1395&amp;" 1")),1),'Currency Master'!A:A,0)),"")))</f>
        <v>50.631999999999998</v>
      </c>
      <c r="J1395" s="3">
        <f t="shared" si="84"/>
        <v>903.79</v>
      </c>
      <c r="K1395" s="3" t="str">
        <f t="shared" si="85"/>
        <v>₹/Kg</v>
      </c>
      <c r="L1395" s="3">
        <v>-5.7500000000000002E-2</v>
      </c>
      <c r="M1395" s="3"/>
      <c r="N1395" s="3">
        <f t="shared" si="86"/>
        <v>2017</v>
      </c>
      <c r="O1395" s="3" t="str">
        <f t="shared" si="87"/>
        <v>April</v>
      </c>
      <c r="P1395" s="3" t="s">
        <v>41</v>
      </c>
      <c r="Q1395" s="3"/>
    </row>
    <row r="1396" spans="1:17" hidden="1" x14ac:dyDescent="0.3">
      <c r="A1396" s="2">
        <v>42795</v>
      </c>
      <c r="B1396" s="3" t="s">
        <v>31</v>
      </c>
      <c r="C1396" s="3" t="s">
        <v>32</v>
      </c>
      <c r="D1396" s="3" t="s">
        <v>38</v>
      </c>
      <c r="E1396" s="3" t="s">
        <v>39</v>
      </c>
      <c r="F1396" s="3">
        <v>958.96</v>
      </c>
      <c r="G1396" s="3" t="s">
        <v>40</v>
      </c>
      <c r="H1396" s="3" t="s">
        <v>17</v>
      </c>
      <c r="I1396" s="3">
        <f>IF(C1396="India",1,IF(C1396="USA",INDEX('Currency Master'!B:B,MATCH(DATE(N1396,MONTH(DATEVALUE(O1396&amp;" 1")),1),'Currency Master'!A:A,0)),IF(C1396="Australia",INDEX('Currency Master'!T:T,MATCH(DATE(N1396,MONTH(DATEVALUE(O1396&amp;" 1")),1),'Currency Master'!A:A,0)),"")))</f>
        <v>50.732999999999997</v>
      </c>
      <c r="J1396" s="3">
        <f t="shared" si="84"/>
        <v>958.96</v>
      </c>
      <c r="K1396" s="3" t="str">
        <f t="shared" si="85"/>
        <v>₹/Kg</v>
      </c>
      <c r="L1396" s="3">
        <v>4.6600000000000003E-2</v>
      </c>
      <c r="M1396" s="3"/>
      <c r="N1396" s="3">
        <f t="shared" si="86"/>
        <v>2017</v>
      </c>
      <c r="O1396" s="3" t="str">
        <f t="shared" si="87"/>
        <v>March</v>
      </c>
      <c r="P1396" s="3" t="s">
        <v>41</v>
      </c>
      <c r="Q1396" s="3"/>
    </row>
    <row r="1397" spans="1:17" hidden="1" x14ac:dyDescent="0.3">
      <c r="A1397" s="2">
        <v>42767</v>
      </c>
      <c r="B1397" s="3" t="s">
        <v>31</v>
      </c>
      <c r="C1397" s="3" t="s">
        <v>32</v>
      </c>
      <c r="D1397" s="3" t="s">
        <v>38</v>
      </c>
      <c r="E1397" s="3" t="s">
        <v>39</v>
      </c>
      <c r="F1397" s="3">
        <v>916.25</v>
      </c>
      <c r="G1397" s="3" t="s">
        <v>40</v>
      </c>
      <c r="H1397" s="3" t="s">
        <v>17</v>
      </c>
      <c r="I1397" s="3">
        <f>IF(C1397="India",1,IF(C1397="USA",INDEX('Currency Master'!B:B,MATCH(DATE(N1397,MONTH(DATEVALUE(O1397&amp;" 1")),1),'Currency Master'!A:A,0)),IF(C1397="Australia",INDEX('Currency Master'!T:T,MATCH(DATE(N1397,MONTH(DATEVALUE(O1397&amp;" 1")),1),'Currency Master'!A:A,0)),"")))</f>
        <v>50.933999999999997</v>
      </c>
      <c r="J1397" s="3">
        <f t="shared" si="84"/>
        <v>916.25</v>
      </c>
      <c r="K1397" s="3" t="str">
        <f t="shared" si="85"/>
        <v>₹/Kg</v>
      </c>
      <c r="L1397" s="3">
        <v>3.04E-2</v>
      </c>
      <c r="M1397" s="3"/>
      <c r="N1397" s="3">
        <f t="shared" si="86"/>
        <v>2017</v>
      </c>
      <c r="O1397" s="3" t="str">
        <f t="shared" si="87"/>
        <v>February</v>
      </c>
      <c r="P1397" s="3" t="s">
        <v>41</v>
      </c>
      <c r="Q1397" s="3"/>
    </row>
    <row r="1398" spans="1:17" hidden="1" x14ac:dyDescent="0.3">
      <c r="A1398" s="2">
        <v>42736</v>
      </c>
      <c r="B1398" s="3" t="s">
        <v>31</v>
      </c>
      <c r="C1398" s="3" t="s">
        <v>32</v>
      </c>
      <c r="D1398" s="3" t="s">
        <v>38</v>
      </c>
      <c r="E1398" s="3" t="s">
        <v>39</v>
      </c>
      <c r="F1398" s="3">
        <v>889.23</v>
      </c>
      <c r="G1398" s="3" t="s">
        <v>40</v>
      </c>
      <c r="H1398" s="3" t="s">
        <v>17</v>
      </c>
      <c r="I1398" s="3">
        <f>IF(C1398="India",1,IF(C1398="USA",INDEX('Currency Master'!B:B,MATCH(DATE(N1398,MONTH(DATEVALUE(O1398&amp;" 1")),1),'Currency Master'!A:A,0)),IF(C1398="Australia",INDEX('Currency Master'!T:T,MATCH(DATE(N1398,MONTH(DATEVALUE(O1398&amp;" 1")),1),'Currency Master'!A:A,0)),"")))</f>
        <v>50.316000000000003</v>
      </c>
      <c r="J1398" s="3">
        <f t="shared" si="84"/>
        <v>889.23</v>
      </c>
      <c r="K1398" s="3" t="str">
        <f t="shared" si="85"/>
        <v>₹/Kg</v>
      </c>
      <c r="L1398" s="3">
        <v>8.5699999999999998E-2</v>
      </c>
      <c r="M1398" s="3"/>
      <c r="N1398" s="3">
        <f t="shared" si="86"/>
        <v>2017</v>
      </c>
      <c r="O1398" s="3" t="str">
        <f t="shared" si="87"/>
        <v>January</v>
      </c>
      <c r="P1398" s="3" t="s">
        <v>41</v>
      </c>
      <c r="Q1398" s="3"/>
    </row>
    <row r="1399" spans="1:17" hidden="1" x14ac:dyDescent="0.3">
      <c r="A1399" s="2">
        <v>42705</v>
      </c>
      <c r="B1399" s="3" t="s">
        <v>31</v>
      </c>
      <c r="C1399" s="3" t="s">
        <v>32</v>
      </c>
      <c r="D1399" s="3" t="s">
        <v>38</v>
      </c>
      <c r="E1399" s="3" t="s">
        <v>39</v>
      </c>
      <c r="F1399" s="3">
        <v>819</v>
      </c>
      <c r="G1399" s="3" t="s">
        <v>40</v>
      </c>
      <c r="H1399" s="3" t="s">
        <v>17</v>
      </c>
      <c r="I1399" s="3">
        <f>IF(C1399="India",1,IF(C1399="USA",INDEX('Currency Master'!B:B,MATCH(DATE(N1399,MONTH(DATEVALUE(O1399&amp;" 1")),1),'Currency Master'!A:A,0)),IF(C1399="Australia",INDEX('Currency Master'!T:T,MATCH(DATE(N1399,MONTH(DATEVALUE(O1399&amp;" 1")),1),'Currency Master'!A:A,0)),"")))</f>
        <v>50.604999999999997</v>
      </c>
      <c r="J1399" s="3">
        <f t="shared" si="84"/>
        <v>819</v>
      </c>
      <c r="K1399" s="3" t="str">
        <f t="shared" si="85"/>
        <v>₹/Kg</v>
      </c>
      <c r="L1399" s="3">
        <v>1.9800000000000002E-2</v>
      </c>
      <c r="M1399" s="3"/>
      <c r="N1399" s="3">
        <f t="shared" si="86"/>
        <v>2016</v>
      </c>
      <c r="O1399" s="3" t="str">
        <f t="shared" si="87"/>
        <v>December</v>
      </c>
      <c r="P1399" s="3" t="s">
        <v>41</v>
      </c>
      <c r="Q1399" s="3"/>
    </row>
    <row r="1400" spans="1:17" hidden="1" x14ac:dyDescent="0.3">
      <c r="A1400" s="2">
        <v>42675</v>
      </c>
      <c r="B1400" s="3" t="s">
        <v>31</v>
      </c>
      <c r="C1400" s="3" t="s">
        <v>32</v>
      </c>
      <c r="D1400" s="3" t="s">
        <v>38</v>
      </c>
      <c r="E1400" s="3" t="s">
        <v>39</v>
      </c>
      <c r="F1400" s="3">
        <v>803.09</v>
      </c>
      <c r="G1400" s="3" t="s">
        <v>40</v>
      </c>
      <c r="H1400" s="3" t="s">
        <v>17</v>
      </c>
      <c r="I1400" s="3">
        <f>IF(C1400="India",1,IF(C1400="USA",INDEX('Currency Master'!B:B,MATCH(DATE(N1400,MONTH(DATEVALUE(O1400&amp;" 1")),1),'Currency Master'!A:A,0)),IF(C1400="Australia",INDEX('Currency Master'!T:T,MATCH(DATE(N1400,MONTH(DATEVALUE(O1400&amp;" 1")),1),'Currency Master'!A:A,0)),"")))</f>
        <v>50.262</v>
      </c>
      <c r="J1400" s="3">
        <f t="shared" si="84"/>
        <v>803.09</v>
      </c>
      <c r="K1400" s="3" t="str">
        <f t="shared" si="85"/>
        <v>₹/Kg</v>
      </c>
      <c r="L1400" s="3">
        <v>1.35E-2</v>
      </c>
      <c r="M1400" s="3"/>
      <c r="N1400" s="3">
        <f t="shared" si="86"/>
        <v>2016</v>
      </c>
      <c r="O1400" s="3" t="str">
        <f t="shared" si="87"/>
        <v>November</v>
      </c>
      <c r="P1400" s="3" t="s">
        <v>41</v>
      </c>
      <c r="Q1400" s="3"/>
    </row>
    <row r="1401" spans="1:17" hidden="1" x14ac:dyDescent="0.3">
      <c r="A1401" s="2">
        <v>42644</v>
      </c>
      <c r="B1401" s="3" t="s">
        <v>31</v>
      </c>
      <c r="C1401" s="3" t="s">
        <v>32</v>
      </c>
      <c r="D1401" s="3" t="s">
        <v>38</v>
      </c>
      <c r="E1401" s="3" t="s">
        <v>39</v>
      </c>
      <c r="F1401" s="3">
        <v>792.35</v>
      </c>
      <c r="G1401" s="3" t="s">
        <v>40</v>
      </c>
      <c r="H1401" s="3" t="s">
        <v>17</v>
      </c>
      <c r="I1401" s="3">
        <f>IF(C1401="India",1,IF(C1401="USA",INDEX('Currency Master'!B:B,MATCH(DATE(N1401,MONTH(DATEVALUE(O1401&amp;" 1")),1),'Currency Master'!A:A,0)),IF(C1401="Australia",INDEX('Currency Master'!T:T,MATCH(DATE(N1401,MONTH(DATEVALUE(O1401&amp;" 1")),1),'Currency Master'!A:A,0)),"")))</f>
        <v>48.578000000000003</v>
      </c>
      <c r="J1401" s="3">
        <f t="shared" si="84"/>
        <v>792.35</v>
      </c>
      <c r="K1401" s="3" t="str">
        <f t="shared" si="85"/>
        <v>₹/Kg</v>
      </c>
      <c r="L1401" s="3">
        <v>3.4700000000000002E-2</v>
      </c>
      <c r="M1401" s="3"/>
      <c r="N1401" s="3">
        <f t="shared" si="86"/>
        <v>2016</v>
      </c>
      <c r="O1401" s="3" t="str">
        <f t="shared" si="87"/>
        <v>October</v>
      </c>
      <c r="P1401" s="3" t="s">
        <v>41</v>
      </c>
      <c r="Q1401" s="3"/>
    </row>
    <row r="1402" spans="1:17" hidden="1" x14ac:dyDescent="0.3">
      <c r="A1402" s="2">
        <v>42614</v>
      </c>
      <c r="B1402" s="3" t="s">
        <v>31</v>
      </c>
      <c r="C1402" s="3" t="s">
        <v>32</v>
      </c>
      <c r="D1402" s="3" t="s">
        <v>38</v>
      </c>
      <c r="E1402" s="3" t="s">
        <v>39</v>
      </c>
      <c r="F1402" s="3">
        <v>765.8</v>
      </c>
      <c r="G1402" s="3" t="s">
        <v>40</v>
      </c>
      <c r="H1402" s="3" t="s">
        <v>17</v>
      </c>
      <c r="I1402" s="3">
        <f>IF(C1402="India",1,IF(C1402="USA",INDEX('Currency Master'!B:B,MATCH(DATE(N1402,MONTH(DATEVALUE(O1402&amp;" 1")),1),'Currency Master'!A:A,0)),IF(C1402="Australia",INDEX('Currency Master'!T:T,MATCH(DATE(N1402,MONTH(DATEVALUE(O1402&amp;" 1")),1),'Currency Master'!A:A,0)),"")))</f>
        <v>50.488999999999997</v>
      </c>
      <c r="J1402" s="3">
        <f t="shared" si="84"/>
        <v>765.8</v>
      </c>
      <c r="K1402" s="3" t="str">
        <f t="shared" si="85"/>
        <v>₹/Kg</v>
      </c>
      <c r="L1402" s="3">
        <v>1.4E-3</v>
      </c>
      <c r="M1402" s="3"/>
      <c r="N1402" s="3">
        <f t="shared" si="86"/>
        <v>2016</v>
      </c>
      <c r="O1402" s="3" t="str">
        <f t="shared" si="87"/>
        <v>September</v>
      </c>
      <c r="P1402" s="3" t="s">
        <v>41</v>
      </c>
      <c r="Q1402" s="3"/>
    </row>
    <row r="1403" spans="1:17" hidden="1" x14ac:dyDescent="0.3">
      <c r="A1403" s="2">
        <v>42583</v>
      </c>
      <c r="B1403" s="3" t="s">
        <v>31</v>
      </c>
      <c r="C1403" s="3" t="s">
        <v>32</v>
      </c>
      <c r="D1403" s="3" t="s">
        <v>38</v>
      </c>
      <c r="E1403" s="3" t="s">
        <v>39</v>
      </c>
      <c r="F1403" s="3">
        <v>764.75</v>
      </c>
      <c r="G1403" s="3" t="s">
        <v>40</v>
      </c>
      <c r="H1403" s="3" t="s">
        <v>17</v>
      </c>
      <c r="I1403" s="3">
        <f>IF(C1403="India",1,IF(C1403="USA",INDEX('Currency Master'!B:B,MATCH(DATE(N1403,MONTH(DATEVALUE(O1403&amp;" 1")),1),'Currency Master'!A:A,0)),IF(C1403="Australia",INDEX('Currency Master'!T:T,MATCH(DATE(N1403,MONTH(DATEVALUE(O1403&amp;" 1")),1),'Currency Master'!A:A,0)),"")))</f>
        <v>50.707999999999998</v>
      </c>
      <c r="J1403" s="3">
        <f t="shared" si="84"/>
        <v>764.75</v>
      </c>
      <c r="K1403" s="3" t="str">
        <f t="shared" si="85"/>
        <v>₹/Kg</v>
      </c>
      <c r="L1403" s="3">
        <v>-2.9999999999999997E-4</v>
      </c>
      <c r="M1403" s="3"/>
      <c r="N1403" s="3">
        <f t="shared" si="86"/>
        <v>2016</v>
      </c>
      <c r="O1403" s="3" t="str">
        <f t="shared" si="87"/>
        <v>August</v>
      </c>
      <c r="P1403" s="3" t="s">
        <v>41</v>
      </c>
      <c r="Q1403" s="3"/>
    </row>
    <row r="1404" spans="1:17" hidden="1" x14ac:dyDescent="0.3">
      <c r="A1404" s="2">
        <v>42552</v>
      </c>
      <c r="B1404" s="3" t="s">
        <v>31</v>
      </c>
      <c r="C1404" s="3" t="s">
        <v>32</v>
      </c>
      <c r="D1404" s="3" t="s">
        <v>38</v>
      </c>
      <c r="E1404" s="3" t="s">
        <v>39</v>
      </c>
      <c r="F1404" s="3">
        <v>765.02</v>
      </c>
      <c r="G1404" s="3" t="s">
        <v>40</v>
      </c>
      <c r="H1404" s="3" t="s">
        <v>17</v>
      </c>
      <c r="I1404" s="3">
        <f>IF(C1404="India",1,IF(C1404="USA",INDEX('Currency Master'!B:B,MATCH(DATE(N1404,MONTH(DATEVALUE(O1404&amp;" 1")),1),'Currency Master'!A:A,0)),IF(C1404="Australia",INDEX('Currency Master'!T:T,MATCH(DATE(N1404,MONTH(DATEVALUE(O1404&amp;" 1")),1),'Currency Master'!A:A,0)),"")))</f>
        <v>48.68</v>
      </c>
      <c r="J1404" s="3">
        <f t="shared" si="84"/>
        <v>765.02</v>
      </c>
      <c r="K1404" s="3" t="str">
        <f t="shared" si="85"/>
        <v>₹/Kg</v>
      </c>
      <c r="L1404" s="3">
        <v>3.9100000000000003E-2</v>
      </c>
      <c r="M1404" s="3"/>
      <c r="N1404" s="3">
        <f t="shared" si="86"/>
        <v>2016</v>
      </c>
      <c r="O1404" s="3" t="str">
        <f t="shared" si="87"/>
        <v>July</v>
      </c>
      <c r="P1404" s="3" t="s">
        <v>41</v>
      </c>
      <c r="Q1404" s="3"/>
    </row>
    <row r="1405" spans="1:17" hidden="1" x14ac:dyDescent="0.3">
      <c r="A1405" s="2">
        <v>42522</v>
      </c>
      <c r="B1405" s="3" t="s">
        <v>31</v>
      </c>
      <c r="C1405" s="3" t="s">
        <v>32</v>
      </c>
      <c r="D1405" s="3" t="s">
        <v>38</v>
      </c>
      <c r="E1405" s="3" t="s">
        <v>39</v>
      </c>
      <c r="F1405" s="3">
        <v>736.2</v>
      </c>
      <c r="G1405" s="3" t="s">
        <v>40</v>
      </c>
      <c r="H1405" s="3" t="s">
        <v>17</v>
      </c>
      <c r="I1405" s="3">
        <f>IF(C1405="India",1,IF(C1405="USA",INDEX('Currency Master'!B:B,MATCH(DATE(N1405,MONTH(DATEVALUE(O1405&amp;" 1")),1),'Currency Master'!A:A,0)),IF(C1405="Australia",INDEX('Currency Master'!T:T,MATCH(DATE(N1405,MONTH(DATEVALUE(O1405&amp;" 1")),1),'Currency Master'!A:A,0)),"")))</f>
        <v>48.064</v>
      </c>
      <c r="J1405" s="3">
        <f t="shared" si="84"/>
        <v>736.2</v>
      </c>
      <c r="K1405" s="3" t="str">
        <f t="shared" si="85"/>
        <v>₹/Kg</v>
      </c>
      <c r="L1405" s="3">
        <v>3.5999999999999999E-3</v>
      </c>
      <c r="M1405" s="3"/>
      <c r="N1405" s="3">
        <f t="shared" si="86"/>
        <v>2016</v>
      </c>
      <c r="O1405" s="3" t="str">
        <f t="shared" si="87"/>
        <v>June</v>
      </c>
      <c r="P1405" s="3" t="s">
        <v>41</v>
      </c>
      <c r="Q1405" s="3"/>
    </row>
    <row r="1406" spans="1:17" hidden="1" x14ac:dyDescent="0.3">
      <c r="A1406" s="2">
        <v>42491</v>
      </c>
      <c r="B1406" s="3" t="s">
        <v>31</v>
      </c>
      <c r="C1406" s="3" t="s">
        <v>32</v>
      </c>
      <c r="D1406" s="3" t="s">
        <v>38</v>
      </c>
      <c r="E1406" s="3" t="s">
        <v>39</v>
      </c>
      <c r="F1406" s="3">
        <v>733.55</v>
      </c>
      <c r="G1406" s="3" t="s">
        <v>40</v>
      </c>
      <c r="H1406" s="3" t="s">
        <v>17</v>
      </c>
      <c r="I1406" s="3">
        <f>IF(C1406="India",1,IF(C1406="USA",INDEX('Currency Master'!B:B,MATCH(DATE(N1406,MONTH(DATEVALUE(O1406&amp;" 1")),1),'Currency Master'!A:A,0)),IF(C1406="Australia",INDEX('Currency Master'!T:T,MATCH(DATE(N1406,MONTH(DATEVALUE(O1406&amp;" 1")),1),'Currency Master'!A:A,0)),"")))</f>
        <v>48.158999999999999</v>
      </c>
      <c r="J1406" s="3">
        <f t="shared" si="84"/>
        <v>733.55</v>
      </c>
      <c r="K1406" s="3" t="str">
        <f t="shared" si="85"/>
        <v>₹/Kg</v>
      </c>
      <c r="L1406" s="3">
        <v>1.44E-2</v>
      </c>
      <c r="M1406" s="3"/>
      <c r="N1406" s="3">
        <f t="shared" si="86"/>
        <v>2016</v>
      </c>
      <c r="O1406" s="3" t="str">
        <f t="shared" si="87"/>
        <v>May</v>
      </c>
      <c r="P1406" s="3" t="s">
        <v>41</v>
      </c>
      <c r="Q1406" s="3"/>
    </row>
    <row r="1407" spans="1:17" hidden="1" x14ac:dyDescent="0.3">
      <c r="A1407" s="2">
        <v>42461</v>
      </c>
      <c r="B1407" s="3" t="s">
        <v>31</v>
      </c>
      <c r="C1407" s="3" t="s">
        <v>32</v>
      </c>
      <c r="D1407" s="3" t="s">
        <v>38</v>
      </c>
      <c r="E1407" s="3" t="s">
        <v>39</v>
      </c>
      <c r="F1407" s="3">
        <v>723.14</v>
      </c>
      <c r="G1407" s="3" t="s">
        <v>40</v>
      </c>
      <c r="H1407" s="3" t="s">
        <v>17</v>
      </c>
      <c r="I1407" s="3">
        <f>IF(C1407="India",1,IF(C1407="USA",INDEX('Currency Master'!B:B,MATCH(DATE(N1407,MONTH(DATEVALUE(O1407&amp;" 1")),1),'Currency Master'!A:A,0)),IF(C1407="Australia",INDEX('Currency Master'!T:T,MATCH(DATE(N1407,MONTH(DATEVALUE(O1407&amp;" 1")),1),'Currency Master'!A:A,0)),"")))</f>
        <v>48.018999999999998</v>
      </c>
      <c r="J1407" s="3">
        <f t="shared" si="84"/>
        <v>723.14</v>
      </c>
      <c r="K1407" s="3" t="str">
        <f t="shared" si="85"/>
        <v>₹/Kg</v>
      </c>
      <c r="L1407" s="3">
        <v>4.1099999999999998E-2</v>
      </c>
      <c r="M1407" s="3"/>
      <c r="N1407" s="3">
        <f t="shared" si="86"/>
        <v>2016</v>
      </c>
      <c r="O1407" s="3" t="str">
        <f t="shared" si="87"/>
        <v>April</v>
      </c>
      <c r="P1407" s="3" t="s">
        <v>41</v>
      </c>
      <c r="Q1407" s="3"/>
    </row>
    <row r="1408" spans="1:17" hidden="1" x14ac:dyDescent="0.3">
      <c r="A1408" s="2">
        <v>42430</v>
      </c>
      <c r="B1408" s="3" t="s">
        <v>31</v>
      </c>
      <c r="C1408" s="3" t="s">
        <v>32</v>
      </c>
      <c r="D1408" s="3" t="s">
        <v>38</v>
      </c>
      <c r="E1408" s="3" t="s">
        <v>39</v>
      </c>
      <c r="F1408" s="3">
        <v>694.61</v>
      </c>
      <c r="G1408" s="3" t="s">
        <v>40</v>
      </c>
      <c r="H1408" s="3" t="s">
        <v>17</v>
      </c>
      <c r="I1408" s="3">
        <f>IF(C1408="India",1,IF(C1408="USA",INDEX('Currency Master'!B:B,MATCH(DATE(N1408,MONTH(DATEVALUE(O1408&amp;" 1")),1),'Currency Master'!A:A,0)),IF(C1408="Australia",INDEX('Currency Master'!T:T,MATCH(DATE(N1408,MONTH(DATEVALUE(O1408&amp;" 1")),1),'Currency Master'!A:A,0)),"")))</f>
        <v>46.685000000000002</v>
      </c>
      <c r="J1408" s="3">
        <f t="shared" si="84"/>
        <v>694.61</v>
      </c>
      <c r="K1408" s="3" t="str">
        <f t="shared" si="85"/>
        <v>₹/Kg</v>
      </c>
      <c r="L1408" s="3">
        <v>4.0000000000000002E-4</v>
      </c>
      <c r="M1408" s="3"/>
      <c r="N1408" s="3">
        <f t="shared" si="86"/>
        <v>2016</v>
      </c>
      <c r="O1408" s="3" t="str">
        <f t="shared" si="87"/>
        <v>March</v>
      </c>
      <c r="P1408" s="3" t="s">
        <v>41</v>
      </c>
      <c r="Q1408" s="3"/>
    </row>
    <row r="1409" spans="1:17" hidden="1" x14ac:dyDescent="0.3">
      <c r="A1409" s="2">
        <v>42401</v>
      </c>
      <c r="B1409" s="3" t="s">
        <v>31</v>
      </c>
      <c r="C1409" s="3" t="s">
        <v>32</v>
      </c>
      <c r="D1409" s="3" t="s">
        <v>38</v>
      </c>
      <c r="E1409" s="3" t="s">
        <v>39</v>
      </c>
      <c r="F1409" s="3">
        <v>694.32</v>
      </c>
      <c r="G1409" s="3" t="s">
        <v>40</v>
      </c>
      <c r="H1409" s="3" t="s">
        <v>17</v>
      </c>
      <c r="I1409" s="3">
        <f>IF(C1409="India",1,IF(C1409="USA",INDEX('Currency Master'!B:B,MATCH(DATE(N1409,MONTH(DATEVALUE(O1409&amp;" 1")),1),'Currency Master'!A:A,0)),IF(C1409="Australia",INDEX('Currency Master'!T:T,MATCH(DATE(N1409,MONTH(DATEVALUE(O1409&amp;" 1")),1),'Currency Master'!A:A,0)),"")))</f>
        <v>45.966000000000001</v>
      </c>
      <c r="J1409" s="3">
        <f t="shared" si="84"/>
        <v>694.32</v>
      </c>
      <c r="K1409" s="3" t="str">
        <f t="shared" si="85"/>
        <v>₹/Kg</v>
      </c>
      <c r="L1409" s="3">
        <v>1.8200000000000001E-2</v>
      </c>
      <c r="M1409" s="3"/>
      <c r="N1409" s="3">
        <f t="shared" si="86"/>
        <v>2016</v>
      </c>
      <c r="O1409" s="3" t="str">
        <f t="shared" si="87"/>
        <v>February</v>
      </c>
      <c r="P1409" s="3" t="s">
        <v>41</v>
      </c>
      <c r="Q1409" s="3"/>
    </row>
    <row r="1410" spans="1:17" hidden="1" x14ac:dyDescent="0.3">
      <c r="A1410" s="2">
        <v>42370</v>
      </c>
      <c r="B1410" s="3" t="s">
        <v>31</v>
      </c>
      <c r="C1410" s="3" t="s">
        <v>32</v>
      </c>
      <c r="D1410" s="3" t="s">
        <v>38</v>
      </c>
      <c r="E1410" s="3" t="s">
        <v>39</v>
      </c>
      <c r="F1410" s="3">
        <v>681.92</v>
      </c>
      <c r="G1410" s="3" t="s">
        <v>40</v>
      </c>
      <c r="H1410" s="3" t="s">
        <v>17</v>
      </c>
      <c r="I1410" s="3">
        <f>IF(C1410="India",1,IF(C1410="USA",INDEX('Currency Master'!B:B,MATCH(DATE(N1410,MONTH(DATEVALUE(O1410&amp;" 1")),1),'Currency Master'!A:A,0)),IF(C1410="Australia",INDEX('Currency Master'!T:T,MATCH(DATE(N1410,MONTH(DATEVALUE(O1410&amp;" 1")),1),'Currency Master'!A:A,0)),"")))</f>
        <v>47.212000000000003</v>
      </c>
      <c r="J1410" s="3">
        <f t="shared" si="84"/>
        <v>681.92</v>
      </c>
      <c r="K1410" s="3" t="str">
        <f t="shared" si="85"/>
        <v>₹/Kg</v>
      </c>
      <c r="L1410" s="3">
        <v>-1.8E-3</v>
      </c>
      <c r="M1410" s="3"/>
      <c r="N1410" s="3">
        <f t="shared" si="86"/>
        <v>2016</v>
      </c>
      <c r="O1410" s="3" t="str">
        <f t="shared" si="87"/>
        <v>January</v>
      </c>
      <c r="P1410" s="3" t="s">
        <v>41</v>
      </c>
      <c r="Q1410" s="3"/>
    </row>
    <row r="1411" spans="1:17" hidden="1" x14ac:dyDescent="0.3">
      <c r="A1411" s="2">
        <v>42339</v>
      </c>
      <c r="B1411" s="3" t="s">
        <v>31</v>
      </c>
      <c r="C1411" s="3" t="s">
        <v>32</v>
      </c>
      <c r="D1411" s="3" t="s">
        <v>38</v>
      </c>
      <c r="E1411" s="3" t="s">
        <v>39</v>
      </c>
      <c r="F1411" s="3">
        <v>683.18</v>
      </c>
      <c r="G1411" s="3" t="s">
        <v>40</v>
      </c>
      <c r="H1411" s="3" t="s">
        <v>17</v>
      </c>
      <c r="I1411" s="3">
        <f>IF(C1411="India",1,IF(C1411="USA",INDEX('Currency Master'!B:B,MATCH(DATE(N1411,MONTH(DATEVALUE(O1411&amp;" 1")),1),'Currency Master'!A:A,0)),IF(C1411="Australia",INDEX('Currency Master'!T:T,MATCH(DATE(N1411,MONTH(DATEVALUE(O1411&amp;" 1")),1),'Currency Master'!A:A,0)),"")))</f>
        <v>46.716999999999999</v>
      </c>
      <c r="J1411" s="3">
        <f t="shared" ref="J1411:J1474" si="88">IF(C1411="India",F1411,IF(C1411="USA",IF(G1411="US Cents/Lb",ROUND(((F1411/100)/0.453592)*I1411*356,0),F1411),IF(C1411="Australia",IF(G1411="AUc/kg",ROUND((F1411/100)*I1411,2),F1411),"")))</f>
        <v>683.18</v>
      </c>
      <c r="K1411" s="3" t="str">
        <f t="shared" ref="K1411:K1474" si="89">IF(C1411="India",G1411,IF(C1411="USA","₹/Candy",IF(C1411="Australia","₹/Kg","")))</f>
        <v>₹/Kg</v>
      </c>
      <c r="L1411" s="3">
        <v>3.1800000000000002E-2</v>
      </c>
      <c r="M1411" s="3"/>
      <c r="N1411" s="3">
        <f t="shared" ref="N1411:N1474" si="90">YEAR(A1411)</f>
        <v>2015</v>
      </c>
      <c r="O1411" s="3" t="str">
        <f t="shared" ref="O1411:O1474" si="91">TEXT(A1411,"mmmm")</f>
        <v>December</v>
      </c>
      <c r="P1411" s="3" t="s">
        <v>41</v>
      </c>
      <c r="Q1411" s="3"/>
    </row>
    <row r="1412" spans="1:17" hidden="1" x14ac:dyDescent="0.3">
      <c r="A1412" s="2">
        <v>42309</v>
      </c>
      <c r="B1412" s="3" t="s">
        <v>31</v>
      </c>
      <c r="C1412" s="3" t="s">
        <v>32</v>
      </c>
      <c r="D1412" s="3" t="s">
        <v>38</v>
      </c>
      <c r="E1412" s="3" t="s">
        <v>39</v>
      </c>
      <c r="F1412" s="3">
        <v>662.12</v>
      </c>
      <c r="G1412" s="3" t="s">
        <v>40</v>
      </c>
      <c r="H1412" s="3" t="s">
        <v>17</v>
      </c>
      <c r="I1412" s="3">
        <f>IF(C1412="India",1,IF(C1412="USA",INDEX('Currency Master'!B:B,MATCH(DATE(N1412,MONTH(DATEVALUE(O1412&amp;" 1")),1),'Currency Master'!A:A,0)),IF(C1412="Australia",INDEX('Currency Master'!T:T,MATCH(DATE(N1412,MONTH(DATEVALUE(O1412&amp;" 1")),1),'Currency Master'!A:A,0)),"")))</f>
        <v>48.993000000000002</v>
      </c>
      <c r="J1412" s="3">
        <f t="shared" si="88"/>
        <v>662.12</v>
      </c>
      <c r="K1412" s="3" t="str">
        <f t="shared" si="89"/>
        <v>₹/Kg</v>
      </c>
      <c r="L1412" s="3">
        <v>6.4199999999999993E-2</v>
      </c>
      <c r="M1412" s="3"/>
      <c r="N1412" s="3">
        <f t="shared" si="90"/>
        <v>2015</v>
      </c>
      <c r="O1412" s="3" t="str">
        <f t="shared" si="91"/>
        <v>November</v>
      </c>
      <c r="P1412" s="3" t="s">
        <v>41</v>
      </c>
      <c r="Q1412" s="3"/>
    </row>
    <row r="1413" spans="1:17" hidden="1" x14ac:dyDescent="0.3">
      <c r="A1413" s="2">
        <v>42278</v>
      </c>
      <c r="B1413" s="3" t="s">
        <v>31</v>
      </c>
      <c r="C1413" s="3" t="s">
        <v>32</v>
      </c>
      <c r="D1413" s="3" t="s">
        <v>38</v>
      </c>
      <c r="E1413" s="3" t="s">
        <v>39</v>
      </c>
      <c r="F1413" s="3">
        <v>622.16</v>
      </c>
      <c r="G1413" s="3" t="s">
        <v>40</v>
      </c>
      <c r="H1413" s="3" t="s">
        <v>17</v>
      </c>
      <c r="I1413" s="3">
        <f>IF(C1413="India",1,IF(C1413="USA",INDEX('Currency Master'!B:B,MATCH(DATE(N1413,MONTH(DATEVALUE(O1413&amp;" 1")),1),'Currency Master'!A:A,0)),IF(C1413="Australia",INDEX('Currency Master'!T:T,MATCH(DATE(N1413,MONTH(DATEVALUE(O1413&amp;" 1")),1),'Currency Master'!A:A,0)),"")))</f>
        <v>48.667000000000002</v>
      </c>
      <c r="J1413" s="3">
        <f t="shared" si="88"/>
        <v>622.16</v>
      </c>
      <c r="K1413" s="3" t="str">
        <f t="shared" si="89"/>
        <v>₹/Kg</v>
      </c>
      <c r="L1413" s="3">
        <v>-2.81E-2</v>
      </c>
      <c r="M1413" s="3"/>
      <c r="N1413" s="3">
        <f t="shared" si="90"/>
        <v>2015</v>
      </c>
      <c r="O1413" s="3" t="str">
        <f t="shared" si="91"/>
        <v>October</v>
      </c>
      <c r="P1413" s="3" t="s">
        <v>41</v>
      </c>
      <c r="Q1413" s="3"/>
    </row>
    <row r="1414" spans="1:17" hidden="1" x14ac:dyDescent="0.3">
      <c r="A1414" s="2">
        <v>42248</v>
      </c>
      <c r="B1414" s="3" t="s">
        <v>31</v>
      </c>
      <c r="C1414" s="3" t="s">
        <v>32</v>
      </c>
      <c r="D1414" s="3" t="s">
        <v>38</v>
      </c>
      <c r="E1414" s="3" t="s">
        <v>39</v>
      </c>
      <c r="F1414" s="3">
        <v>640.13</v>
      </c>
      <c r="G1414" s="3" t="s">
        <v>40</v>
      </c>
      <c r="H1414" s="3" t="s">
        <v>17</v>
      </c>
      <c r="I1414" s="3">
        <f>IF(C1414="India",1,IF(C1414="USA",INDEX('Currency Master'!B:B,MATCH(DATE(N1414,MONTH(DATEVALUE(O1414&amp;" 1")),1),'Currency Master'!A:A,0)),IF(C1414="Australia",INDEX('Currency Master'!T:T,MATCH(DATE(N1414,MONTH(DATEVALUE(O1414&amp;" 1")),1),'Currency Master'!A:A,0)),"")))</f>
        <v>50.198999999999998</v>
      </c>
      <c r="J1414" s="3">
        <f t="shared" si="88"/>
        <v>640.13</v>
      </c>
      <c r="K1414" s="3" t="str">
        <f t="shared" si="89"/>
        <v>₹/Kg</v>
      </c>
      <c r="L1414" s="3">
        <v>-3.8100000000000002E-2</v>
      </c>
      <c r="M1414" s="3"/>
      <c r="N1414" s="3">
        <f t="shared" si="90"/>
        <v>2015</v>
      </c>
      <c r="O1414" s="3" t="str">
        <f t="shared" si="91"/>
        <v>September</v>
      </c>
      <c r="P1414" s="3" t="s">
        <v>41</v>
      </c>
      <c r="Q1414" s="3"/>
    </row>
    <row r="1415" spans="1:17" hidden="1" x14ac:dyDescent="0.3">
      <c r="A1415" s="2">
        <v>42217</v>
      </c>
      <c r="B1415" s="3" t="s">
        <v>31</v>
      </c>
      <c r="C1415" s="3" t="s">
        <v>32</v>
      </c>
      <c r="D1415" s="3" t="s">
        <v>38</v>
      </c>
      <c r="E1415" s="3" t="s">
        <v>39</v>
      </c>
      <c r="F1415" s="3">
        <v>665.48</v>
      </c>
      <c r="G1415" s="3" t="s">
        <v>40</v>
      </c>
      <c r="H1415" s="3" t="s">
        <v>17</v>
      </c>
      <c r="I1415" s="3">
        <f>IF(C1415="India",1,IF(C1415="USA",INDEX('Currency Master'!B:B,MATCH(DATE(N1415,MONTH(DATEVALUE(O1415&amp;" 1")),1),'Currency Master'!A:A,0)),IF(C1415="Australia",INDEX('Currency Master'!T:T,MATCH(DATE(N1415,MONTH(DATEVALUE(O1415&amp;" 1")),1),'Currency Master'!A:A,0)),"")))</f>
        <v>47.365000000000002</v>
      </c>
      <c r="J1415" s="3">
        <f t="shared" si="88"/>
        <v>665.48</v>
      </c>
      <c r="K1415" s="3" t="str">
        <f t="shared" si="89"/>
        <v>₹/Kg</v>
      </c>
      <c r="L1415" s="3">
        <v>2.29E-2</v>
      </c>
      <c r="M1415" s="3"/>
      <c r="N1415" s="3">
        <f t="shared" si="90"/>
        <v>2015</v>
      </c>
      <c r="O1415" s="3" t="str">
        <f t="shared" si="91"/>
        <v>August</v>
      </c>
      <c r="P1415" s="3" t="s">
        <v>41</v>
      </c>
      <c r="Q1415" s="3"/>
    </row>
    <row r="1416" spans="1:17" hidden="1" x14ac:dyDescent="0.3">
      <c r="A1416" s="2">
        <v>42186</v>
      </c>
      <c r="B1416" s="3" t="s">
        <v>31</v>
      </c>
      <c r="C1416" s="3" t="s">
        <v>32</v>
      </c>
      <c r="D1416" s="3" t="s">
        <v>38</v>
      </c>
      <c r="E1416" s="3" t="s">
        <v>39</v>
      </c>
      <c r="F1416" s="3">
        <v>650.57000000000005</v>
      </c>
      <c r="G1416" s="3" t="s">
        <v>40</v>
      </c>
      <c r="H1416" s="3" t="s">
        <v>17</v>
      </c>
      <c r="I1416" s="3">
        <f>IF(C1416="India",1,IF(C1416="USA",INDEX('Currency Master'!B:B,MATCH(DATE(N1416,MONTH(DATEVALUE(O1416&amp;" 1")),1),'Currency Master'!A:A,0)),IF(C1416="Australia",INDEX('Currency Master'!T:T,MATCH(DATE(N1416,MONTH(DATEVALUE(O1416&amp;" 1")),1),'Currency Master'!A:A,0)),"")))</f>
        <v>48.142000000000003</v>
      </c>
      <c r="J1416" s="3">
        <f t="shared" si="88"/>
        <v>650.57000000000005</v>
      </c>
      <c r="K1416" s="3" t="str">
        <f t="shared" si="89"/>
        <v>₹/Kg</v>
      </c>
      <c r="L1416" s="3">
        <v>-0.11269999999999999</v>
      </c>
      <c r="M1416" s="3"/>
      <c r="N1416" s="3">
        <f t="shared" si="90"/>
        <v>2015</v>
      </c>
      <c r="O1416" s="3" t="str">
        <f t="shared" si="91"/>
        <v>July</v>
      </c>
      <c r="P1416" s="3" t="s">
        <v>41</v>
      </c>
      <c r="Q1416" s="3"/>
    </row>
    <row r="1417" spans="1:17" hidden="1" x14ac:dyDescent="0.3">
      <c r="A1417" s="2">
        <v>42156</v>
      </c>
      <c r="B1417" s="3" t="s">
        <v>31</v>
      </c>
      <c r="C1417" s="3" t="s">
        <v>32</v>
      </c>
      <c r="D1417" s="3" t="s">
        <v>38</v>
      </c>
      <c r="E1417" s="3" t="s">
        <v>39</v>
      </c>
      <c r="F1417" s="3">
        <v>733.2</v>
      </c>
      <c r="G1417" s="3" t="s">
        <v>40</v>
      </c>
      <c r="H1417" s="3" t="s">
        <v>17</v>
      </c>
      <c r="I1417" s="3">
        <f>IF(C1417="India",1,IF(C1417="USA",INDEX('Currency Master'!B:B,MATCH(DATE(N1417,MONTH(DATEVALUE(O1417&amp;" 1")),1),'Currency Master'!A:A,0)),IF(C1417="Australia",INDEX('Currency Master'!T:T,MATCH(DATE(N1417,MONTH(DATEVALUE(O1417&amp;" 1")),1),'Currency Master'!A:A,0)),"")))</f>
        <v>48.156999999999996</v>
      </c>
      <c r="J1417" s="3">
        <f t="shared" si="88"/>
        <v>733.2</v>
      </c>
      <c r="K1417" s="3" t="str">
        <f t="shared" si="89"/>
        <v>₹/Kg</v>
      </c>
      <c r="L1417" s="3">
        <v>3.09E-2</v>
      </c>
      <c r="M1417" s="3"/>
      <c r="N1417" s="3">
        <f t="shared" si="90"/>
        <v>2015</v>
      </c>
      <c r="O1417" s="3" t="str">
        <f t="shared" si="91"/>
        <v>June</v>
      </c>
      <c r="P1417" s="3" t="s">
        <v>41</v>
      </c>
      <c r="Q1417" s="3"/>
    </row>
    <row r="1418" spans="1:17" hidden="1" x14ac:dyDescent="0.3">
      <c r="A1418" s="2">
        <v>42125</v>
      </c>
      <c r="B1418" s="3" t="s">
        <v>31</v>
      </c>
      <c r="C1418" s="3" t="s">
        <v>32</v>
      </c>
      <c r="D1418" s="3" t="s">
        <v>38</v>
      </c>
      <c r="E1418" s="3" t="s">
        <v>39</v>
      </c>
      <c r="F1418" s="3">
        <v>711.22</v>
      </c>
      <c r="G1418" s="3" t="s">
        <v>40</v>
      </c>
      <c r="H1418" s="3" t="s">
        <v>17</v>
      </c>
      <c r="I1418" s="3">
        <f>IF(C1418="India",1,IF(C1418="USA",INDEX('Currency Master'!B:B,MATCH(DATE(N1418,MONTH(DATEVALUE(O1418&amp;" 1")),1),'Currency Master'!A:A,0)),IF(C1418="Australia",INDEX('Currency Master'!T:T,MATCH(DATE(N1418,MONTH(DATEVALUE(O1418&amp;" 1")),1),'Currency Master'!A:A,0)),"")))</f>
        <v>51.482999999999997</v>
      </c>
      <c r="J1418" s="3">
        <f t="shared" si="88"/>
        <v>711.22</v>
      </c>
      <c r="K1418" s="3" t="str">
        <f t="shared" si="89"/>
        <v>₹/Kg</v>
      </c>
      <c r="L1418" s="3">
        <v>0.14050000000000001</v>
      </c>
      <c r="M1418" s="3"/>
      <c r="N1418" s="3">
        <f t="shared" si="90"/>
        <v>2015</v>
      </c>
      <c r="O1418" s="3" t="str">
        <f t="shared" si="91"/>
        <v>May</v>
      </c>
      <c r="P1418" s="3" t="s">
        <v>41</v>
      </c>
      <c r="Q1418" s="3"/>
    </row>
    <row r="1419" spans="1:17" hidden="1" x14ac:dyDescent="0.3">
      <c r="A1419" s="2">
        <v>42095</v>
      </c>
      <c r="B1419" s="3" t="s">
        <v>31</v>
      </c>
      <c r="C1419" s="3" t="s">
        <v>32</v>
      </c>
      <c r="D1419" s="3" t="s">
        <v>38</v>
      </c>
      <c r="E1419" s="3" t="s">
        <v>39</v>
      </c>
      <c r="F1419" s="3">
        <v>623.6</v>
      </c>
      <c r="G1419" s="3" t="s">
        <v>40</v>
      </c>
      <c r="H1419" s="3" t="s">
        <v>17</v>
      </c>
      <c r="I1419" s="3">
        <f>IF(C1419="India",1,IF(C1419="USA",INDEX('Currency Master'!B:B,MATCH(DATE(N1419,MONTH(DATEVALUE(O1419&amp;" 1")),1),'Currency Master'!A:A,0)),IF(C1419="Australia",INDEX('Currency Master'!T:T,MATCH(DATE(N1419,MONTH(DATEVALUE(O1419&amp;" 1")),1),'Currency Master'!A:A,0)),"")))</f>
        <v>52.921999999999997</v>
      </c>
      <c r="J1419" s="3">
        <f t="shared" si="88"/>
        <v>623.6</v>
      </c>
      <c r="K1419" s="3" t="str">
        <f t="shared" si="89"/>
        <v>₹/Kg</v>
      </c>
      <c r="L1419" s="3">
        <v>7.4399999999999994E-2</v>
      </c>
      <c r="M1419" s="3"/>
      <c r="N1419" s="3">
        <f t="shared" si="90"/>
        <v>2015</v>
      </c>
      <c r="O1419" s="3" t="str">
        <f t="shared" si="91"/>
        <v>April</v>
      </c>
      <c r="P1419" s="3" t="s">
        <v>41</v>
      </c>
      <c r="Q1419" s="3"/>
    </row>
    <row r="1420" spans="1:17" hidden="1" x14ac:dyDescent="0.3">
      <c r="A1420" s="2">
        <v>42064</v>
      </c>
      <c r="B1420" s="3" t="s">
        <v>31</v>
      </c>
      <c r="C1420" s="3" t="s">
        <v>32</v>
      </c>
      <c r="D1420" s="3" t="s">
        <v>38</v>
      </c>
      <c r="E1420" s="3" t="s">
        <v>39</v>
      </c>
      <c r="F1420" s="3">
        <v>580.44000000000005</v>
      </c>
      <c r="G1420" s="3" t="s">
        <v>40</v>
      </c>
      <c r="H1420" s="3" t="s">
        <v>17</v>
      </c>
      <c r="I1420" s="3">
        <f>IF(C1420="India",1,IF(C1420="USA",INDEX('Currency Master'!B:B,MATCH(DATE(N1420,MONTH(DATEVALUE(O1420&amp;" 1")),1),'Currency Master'!A:A,0)),IF(C1420="Australia",INDEX('Currency Master'!T:T,MATCH(DATE(N1420,MONTH(DATEVALUE(O1420&amp;" 1")),1),'Currency Master'!A:A,0)),"")))</f>
        <v>53.985999999999997</v>
      </c>
      <c r="J1420" s="3">
        <f t="shared" si="88"/>
        <v>580.44000000000005</v>
      </c>
      <c r="K1420" s="3" t="str">
        <f t="shared" si="89"/>
        <v>₹/Kg</v>
      </c>
      <c r="L1420" s="3">
        <v>-1.18E-2</v>
      </c>
      <c r="M1420" s="3"/>
      <c r="N1420" s="3">
        <f t="shared" si="90"/>
        <v>2015</v>
      </c>
      <c r="O1420" s="3" t="str">
        <f t="shared" si="91"/>
        <v>March</v>
      </c>
      <c r="P1420" s="3" t="s">
        <v>41</v>
      </c>
      <c r="Q1420" s="3"/>
    </row>
    <row r="1421" spans="1:17" hidden="1" x14ac:dyDescent="0.3">
      <c r="A1421" s="2">
        <v>42036</v>
      </c>
      <c r="B1421" s="3" t="s">
        <v>31</v>
      </c>
      <c r="C1421" s="3" t="s">
        <v>32</v>
      </c>
      <c r="D1421" s="3" t="s">
        <v>38</v>
      </c>
      <c r="E1421" s="3" t="s">
        <v>39</v>
      </c>
      <c r="F1421" s="3">
        <v>587.35</v>
      </c>
      <c r="G1421" s="3" t="s">
        <v>40</v>
      </c>
      <c r="H1421" s="3" t="s">
        <v>17</v>
      </c>
      <c r="I1421" s="3">
        <f>IF(C1421="India",1,IF(C1421="USA",INDEX('Currency Master'!B:B,MATCH(DATE(N1421,MONTH(DATEVALUE(O1421&amp;" 1")),1),'Currency Master'!A:A,0)),IF(C1421="Australia",INDEX('Currency Master'!T:T,MATCH(DATE(N1421,MONTH(DATEVALUE(O1421&amp;" 1")),1),'Currency Master'!A:A,0)),"")))</f>
        <v>54.152999999999999</v>
      </c>
      <c r="J1421" s="3">
        <f t="shared" si="88"/>
        <v>587.35</v>
      </c>
      <c r="K1421" s="3" t="str">
        <f t="shared" si="89"/>
        <v>₹/Kg</v>
      </c>
      <c r="L1421" s="3">
        <v>-2.2499999999999999E-2</v>
      </c>
      <c r="M1421" s="3"/>
      <c r="N1421" s="3">
        <f t="shared" si="90"/>
        <v>2015</v>
      </c>
      <c r="O1421" s="3" t="str">
        <f t="shared" si="91"/>
        <v>February</v>
      </c>
      <c r="P1421" s="3" t="s">
        <v>41</v>
      </c>
      <c r="Q1421" s="3"/>
    </row>
    <row r="1422" spans="1:17" hidden="1" x14ac:dyDescent="0.3">
      <c r="A1422" s="2">
        <v>42005</v>
      </c>
      <c r="B1422" s="3" t="s">
        <v>31</v>
      </c>
      <c r="C1422" s="3" t="s">
        <v>32</v>
      </c>
      <c r="D1422" s="3" t="s">
        <v>38</v>
      </c>
      <c r="E1422" s="3" t="s">
        <v>39</v>
      </c>
      <c r="F1422" s="3">
        <v>600.87</v>
      </c>
      <c r="G1422" s="3" t="s">
        <v>40</v>
      </c>
      <c r="H1422" s="3" t="s">
        <v>17</v>
      </c>
      <c r="I1422" s="3">
        <f>IF(C1422="India",1,IF(C1422="USA",INDEX('Currency Master'!B:B,MATCH(DATE(N1422,MONTH(DATEVALUE(O1422&amp;" 1")),1),'Currency Master'!A:A,0)),IF(C1422="Australia",INDEX('Currency Master'!T:T,MATCH(DATE(N1422,MONTH(DATEVALUE(O1422&amp;" 1")),1),'Currency Master'!A:A,0)),"")))</f>
        <v>56.469000000000001</v>
      </c>
      <c r="J1422" s="3">
        <f t="shared" si="88"/>
        <v>600.87</v>
      </c>
      <c r="K1422" s="3" t="str">
        <f t="shared" si="89"/>
        <v>₹/Kg</v>
      </c>
      <c r="L1422" s="3">
        <v>-5.5E-2</v>
      </c>
      <c r="M1422" s="3"/>
      <c r="N1422" s="3">
        <f t="shared" si="90"/>
        <v>2015</v>
      </c>
      <c r="O1422" s="3" t="str">
        <f t="shared" si="91"/>
        <v>January</v>
      </c>
      <c r="P1422" s="3" t="s">
        <v>41</v>
      </c>
      <c r="Q1422" s="3"/>
    </row>
    <row r="1423" spans="1:17" hidden="1" x14ac:dyDescent="0.3">
      <c r="A1423" s="2">
        <v>41974</v>
      </c>
      <c r="B1423" s="3" t="s">
        <v>31</v>
      </c>
      <c r="C1423" s="3" t="s">
        <v>32</v>
      </c>
      <c r="D1423" s="3" t="s">
        <v>38</v>
      </c>
      <c r="E1423" s="3" t="s">
        <v>39</v>
      </c>
      <c r="F1423" s="3">
        <v>635.84</v>
      </c>
      <c r="G1423" s="3" t="s">
        <v>40</v>
      </c>
      <c r="H1423" s="3" t="s">
        <v>17</v>
      </c>
      <c r="I1423" s="3">
        <f>IF(C1423="India",1,IF(C1423="USA",INDEX('Currency Master'!B:B,MATCH(DATE(N1423,MONTH(DATEVALUE(O1423&amp;" 1")),1),'Currency Master'!A:A,0)),IF(C1423="Australia",INDEX('Currency Master'!T:T,MATCH(DATE(N1423,MONTH(DATEVALUE(O1423&amp;" 1")),1),'Currency Master'!A:A,0)),"")))</f>
        <v>56.280999999999999</v>
      </c>
      <c r="J1423" s="3">
        <f t="shared" si="88"/>
        <v>635.84</v>
      </c>
      <c r="K1423" s="3" t="str">
        <f t="shared" si="89"/>
        <v>₹/Kg</v>
      </c>
      <c r="L1423" s="3">
        <v>-1.06E-2</v>
      </c>
      <c r="M1423" s="3"/>
      <c r="N1423" s="3">
        <f t="shared" si="90"/>
        <v>2014</v>
      </c>
      <c r="O1423" s="3" t="str">
        <f t="shared" si="91"/>
        <v>December</v>
      </c>
      <c r="P1423" s="3" t="s">
        <v>41</v>
      </c>
      <c r="Q1423" s="3"/>
    </row>
    <row r="1424" spans="1:17" hidden="1" x14ac:dyDescent="0.3">
      <c r="A1424" s="2">
        <v>41944</v>
      </c>
      <c r="B1424" s="3" t="s">
        <v>31</v>
      </c>
      <c r="C1424" s="3" t="s">
        <v>32</v>
      </c>
      <c r="D1424" s="3" t="s">
        <v>38</v>
      </c>
      <c r="E1424" s="3" t="s">
        <v>39</v>
      </c>
      <c r="F1424" s="3">
        <v>642.66</v>
      </c>
      <c r="G1424" s="3" t="s">
        <v>40</v>
      </c>
      <c r="H1424" s="3" t="s">
        <v>17</v>
      </c>
      <c r="I1424" s="3">
        <f>IF(C1424="India",1,IF(C1424="USA",INDEX('Currency Master'!B:B,MATCH(DATE(N1424,MONTH(DATEVALUE(O1424&amp;" 1")),1),'Currency Master'!A:A,0)),IF(C1424="Australia",INDEX('Currency Master'!T:T,MATCH(DATE(N1424,MONTH(DATEVALUE(O1424&amp;" 1")),1),'Currency Master'!A:A,0)),"")))</f>
        <v>56.622</v>
      </c>
      <c r="J1424" s="3">
        <f t="shared" si="88"/>
        <v>642.66</v>
      </c>
      <c r="K1424" s="3" t="str">
        <f t="shared" si="89"/>
        <v>₹/Kg</v>
      </c>
      <c r="L1424" s="3">
        <v>3.3999999999999998E-3</v>
      </c>
      <c r="M1424" s="3"/>
      <c r="N1424" s="3">
        <f t="shared" si="90"/>
        <v>2014</v>
      </c>
      <c r="O1424" s="3" t="str">
        <f t="shared" si="91"/>
        <v>November</v>
      </c>
      <c r="P1424" s="3" t="s">
        <v>41</v>
      </c>
      <c r="Q1424" s="3"/>
    </row>
    <row r="1425" spans="1:17" hidden="1" x14ac:dyDescent="0.3">
      <c r="A1425" s="2">
        <v>41913</v>
      </c>
      <c r="B1425" s="3" t="s">
        <v>31</v>
      </c>
      <c r="C1425" s="3" t="s">
        <v>32</v>
      </c>
      <c r="D1425" s="3" t="s">
        <v>38</v>
      </c>
      <c r="E1425" s="3" t="s">
        <v>39</v>
      </c>
      <c r="F1425" s="3">
        <v>640.48</v>
      </c>
      <c r="G1425" s="3" t="s">
        <v>40</v>
      </c>
      <c r="H1425" s="3" t="s">
        <v>17</v>
      </c>
      <c r="I1425" s="3">
        <f>IF(C1425="India",1,IF(C1425="USA",INDEX('Currency Master'!B:B,MATCH(DATE(N1425,MONTH(DATEVALUE(O1425&amp;" 1")),1),'Currency Master'!A:A,0)),IF(C1425="Australia",INDEX('Currency Master'!T:T,MATCH(DATE(N1425,MONTH(DATEVALUE(O1425&amp;" 1")),1),'Currency Master'!A:A,0)),"")))</f>
        <v>55.091000000000001</v>
      </c>
      <c r="J1425" s="3">
        <f t="shared" si="88"/>
        <v>640.48</v>
      </c>
      <c r="K1425" s="3" t="str">
        <f t="shared" si="89"/>
        <v>₹/Kg</v>
      </c>
      <c r="L1425" s="3">
        <v>-4.3E-3</v>
      </c>
      <c r="M1425" s="3"/>
      <c r="N1425" s="3">
        <f t="shared" si="90"/>
        <v>2014</v>
      </c>
      <c r="O1425" s="3" t="str">
        <f t="shared" si="91"/>
        <v>October</v>
      </c>
      <c r="P1425" s="3" t="s">
        <v>41</v>
      </c>
      <c r="Q1425" s="3"/>
    </row>
    <row r="1426" spans="1:17" hidden="1" x14ac:dyDescent="0.3">
      <c r="A1426" s="2">
        <v>41883</v>
      </c>
      <c r="B1426" s="3" t="s">
        <v>31</v>
      </c>
      <c r="C1426" s="3" t="s">
        <v>32</v>
      </c>
      <c r="D1426" s="3" t="s">
        <v>38</v>
      </c>
      <c r="E1426" s="3" t="s">
        <v>39</v>
      </c>
      <c r="F1426" s="3">
        <v>643.23</v>
      </c>
      <c r="G1426" s="3" t="s">
        <v>40</v>
      </c>
      <c r="H1426" s="3" t="s">
        <v>17</v>
      </c>
      <c r="I1426" s="3">
        <f>IF(C1426="India",1,IF(C1426="USA",INDEX('Currency Master'!B:B,MATCH(DATE(N1426,MONTH(DATEVALUE(O1426&amp;" 1")),1),'Currency Master'!A:A,0)),IF(C1426="Australia",INDEX('Currency Master'!T:T,MATCH(DATE(N1426,MONTH(DATEVALUE(O1426&amp;" 1")),1),'Currency Master'!A:A,0)),"")))</f>
        <v>56.014000000000003</v>
      </c>
      <c r="J1426" s="3">
        <f t="shared" si="88"/>
        <v>643.23</v>
      </c>
      <c r="K1426" s="3" t="str">
        <f t="shared" si="89"/>
        <v>₹/Kg</v>
      </c>
      <c r="L1426" s="3">
        <v>-1.26E-2</v>
      </c>
      <c r="M1426" s="3"/>
      <c r="N1426" s="3">
        <f t="shared" si="90"/>
        <v>2014</v>
      </c>
      <c r="O1426" s="3" t="str">
        <f t="shared" si="91"/>
        <v>September</v>
      </c>
      <c r="P1426" s="3" t="s">
        <v>41</v>
      </c>
      <c r="Q1426" s="3"/>
    </row>
    <row r="1427" spans="1:17" hidden="1" x14ac:dyDescent="0.3">
      <c r="A1427" s="2">
        <v>41852</v>
      </c>
      <c r="B1427" s="3" t="s">
        <v>31</v>
      </c>
      <c r="C1427" s="3" t="s">
        <v>32</v>
      </c>
      <c r="D1427" s="3" t="s">
        <v>38</v>
      </c>
      <c r="E1427" s="3" t="s">
        <v>39</v>
      </c>
      <c r="F1427" s="3">
        <v>651.42999999999995</v>
      </c>
      <c r="G1427" s="3" t="s">
        <v>40</v>
      </c>
      <c r="H1427" s="3" t="s">
        <v>17</v>
      </c>
      <c r="I1427" s="3">
        <f>IF(C1427="India",1,IF(C1427="USA",INDEX('Currency Master'!B:B,MATCH(DATE(N1427,MONTH(DATEVALUE(O1427&amp;" 1")),1),'Currency Master'!A:A,0)),IF(C1427="Australia",INDEX('Currency Master'!T:T,MATCH(DATE(N1427,MONTH(DATEVALUE(O1427&amp;" 1")),1),'Currency Master'!A:A,0)),"")))</f>
        <v>55.576999999999998</v>
      </c>
      <c r="J1427" s="3">
        <f t="shared" si="88"/>
        <v>651.42999999999995</v>
      </c>
      <c r="K1427" s="3" t="str">
        <f t="shared" si="89"/>
        <v>₹/Kg</v>
      </c>
      <c r="L1427" s="3">
        <v>5.8999999999999999E-3</v>
      </c>
      <c r="M1427" s="3"/>
      <c r="N1427" s="3">
        <f t="shared" si="90"/>
        <v>2014</v>
      </c>
      <c r="O1427" s="3" t="str">
        <f t="shared" si="91"/>
        <v>August</v>
      </c>
      <c r="P1427" s="3" t="s">
        <v>41</v>
      </c>
      <c r="Q1427" s="3"/>
    </row>
    <row r="1428" spans="1:17" hidden="1" x14ac:dyDescent="0.3">
      <c r="A1428" s="2">
        <v>41821</v>
      </c>
      <c r="B1428" s="3" t="s">
        <v>31</v>
      </c>
      <c r="C1428" s="3" t="s">
        <v>32</v>
      </c>
      <c r="D1428" s="3" t="s">
        <v>38</v>
      </c>
      <c r="E1428" s="3" t="s">
        <v>39</v>
      </c>
      <c r="F1428" s="3">
        <v>647.58000000000004</v>
      </c>
      <c r="G1428" s="3" t="s">
        <v>40</v>
      </c>
      <c r="H1428" s="3" t="s">
        <v>17</v>
      </c>
      <c r="I1428" s="3">
        <f>IF(C1428="India",1,IF(C1428="USA",INDEX('Currency Master'!B:B,MATCH(DATE(N1428,MONTH(DATEVALUE(O1428&amp;" 1")),1),'Currency Master'!A:A,0)),IF(C1428="Australia",INDEX('Currency Master'!T:T,MATCH(DATE(N1428,MONTH(DATEVALUE(O1428&amp;" 1")),1),'Currency Master'!A:A,0)),"")))</f>
        <v>55.154000000000003</v>
      </c>
      <c r="J1428" s="3">
        <f t="shared" si="88"/>
        <v>647.58000000000004</v>
      </c>
      <c r="K1428" s="3" t="str">
        <f t="shared" si="89"/>
        <v>₹/Kg</v>
      </c>
      <c r="L1428" s="3">
        <v>1.0500000000000001E-2</v>
      </c>
      <c r="M1428" s="3"/>
      <c r="N1428" s="3">
        <f t="shared" si="90"/>
        <v>2014</v>
      </c>
      <c r="O1428" s="3" t="str">
        <f t="shared" si="91"/>
        <v>July</v>
      </c>
      <c r="P1428" s="3" t="s">
        <v>41</v>
      </c>
      <c r="Q1428" s="3"/>
    </row>
    <row r="1429" spans="1:17" hidden="1" x14ac:dyDescent="0.3">
      <c r="A1429" s="2">
        <v>41791</v>
      </c>
      <c r="B1429" s="3" t="s">
        <v>31</v>
      </c>
      <c r="C1429" s="3" t="s">
        <v>32</v>
      </c>
      <c r="D1429" s="3" t="s">
        <v>38</v>
      </c>
      <c r="E1429" s="3" t="s">
        <v>39</v>
      </c>
      <c r="F1429" s="3">
        <v>640.82000000000005</v>
      </c>
      <c r="G1429" s="3" t="s">
        <v>40</v>
      </c>
      <c r="H1429" s="3" t="s">
        <v>17</v>
      </c>
      <c r="I1429" s="3">
        <f>IF(C1429="India",1,IF(C1429="USA",INDEX('Currency Master'!B:B,MATCH(DATE(N1429,MONTH(DATEVALUE(O1429&amp;" 1")),1),'Currency Master'!A:A,0)),IF(C1429="Australia",INDEX('Currency Master'!T:T,MATCH(DATE(N1429,MONTH(DATEVALUE(O1429&amp;" 1")),1),'Currency Master'!A:A,0)),"")))</f>
        <v>54.863999999999997</v>
      </c>
      <c r="J1429" s="3">
        <f t="shared" si="88"/>
        <v>640.82000000000005</v>
      </c>
      <c r="K1429" s="3" t="str">
        <f t="shared" si="89"/>
        <v>₹/Kg</v>
      </c>
      <c r="L1429" s="3">
        <v>-1.55E-2</v>
      </c>
      <c r="M1429" s="3"/>
      <c r="N1429" s="3">
        <f t="shared" si="90"/>
        <v>2014</v>
      </c>
      <c r="O1429" s="3" t="str">
        <f t="shared" si="91"/>
        <v>June</v>
      </c>
      <c r="P1429" s="3" t="s">
        <v>41</v>
      </c>
      <c r="Q1429" s="3"/>
    </row>
    <row r="1430" spans="1:17" hidden="1" x14ac:dyDescent="0.3">
      <c r="A1430" s="2">
        <v>41760</v>
      </c>
      <c r="B1430" s="3" t="s">
        <v>31</v>
      </c>
      <c r="C1430" s="3" t="s">
        <v>32</v>
      </c>
      <c r="D1430" s="3" t="s">
        <v>38</v>
      </c>
      <c r="E1430" s="3" t="s">
        <v>39</v>
      </c>
      <c r="F1430" s="3">
        <v>650.9</v>
      </c>
      <c r="G1430" s="3" t="s">
        <v>40</v>
      </c>
      <c r="H1430" s="3" t="s">
        <v>17</v>
      </c>
      <c r="I1430" s="3">
        <f>IF(C1430="India",1,IF(C1430="USA",INDEX('Currency Master'!B:B,MATCH(DATE(N1430,MONTH(DATEVALUE(O1430&amp;" 1")),1),'Currency Master'!A:A,0)),IF(C1430="Australia",INDEX('Currency Master'!T:T,MATCH(DATE(N1430,MONTH(DATEVALUE(O1430&amp;" 1")),1),'Currency Master'!A:A,0)),"")))</f>
        <v>55.082000000000001</v>
      </c>
      <c r="J1430" s="3">
        <f t="shared" si="88"/>
        <v>650.9</v>
      </c>
      <c r="K1430" s="3" t="str">
        <f t="shared" si="89"/>
        <v>₹/Kg</v>
      </c>
      <c r="L1430" s="3">
        <v>-8.8000000000000005E-3</v>
      </c>
      <c r="M1430" s="3"/>
      <c r="N1430" s="3">
        <f t="shared" si="90"/>
        <v>2014</v>
      </c>
      <c r="O1430" s="3" t="str">
        <f t="shared" si="91"/>
        <v>May</v>
      </c>
      <c r="P1430" s="3" t="s">
        <v>41</v>
      </c>
      <c r="Q1430" s="3"/>
    </row>
    <row r="1431" spans="1:17" hidden="1" x14ac:dyDescent="0.3">
      <c r="A1431" s="2">
        <v>41730</v>
      </c>
      <c r="B1431" s="3" t="s">
        <v>31</v>
      </c>
      <c r="C1431" s="3" t="s">
        <v>32</v>
      </c>
      <c r="D1431" s="3" t="s">
        <v>38</v>
      </c>
      <c r="E1431" s="3" t="s">
        <v>39</v>
      </c>
      <c r="F1431" s="3">
        <v>656.69</v>
      </c>
      <c r="G1431" s="3" t="s">
        <v>40</v>
      </c>
      <c r="H1431" s="3" t="s">
        <v>17</v>
      </c>
      <c r="I1431" s="3">
        <f>IF(C1431="India",1,IF(C1431="USA",INDEX('Currency Master'!B:B,MATCH(DATE(N1431,MONTH(DATEVALUE(O1431&amp;" 1")),1),'Currency Master'!A:A,0)),IF(C1431="Australia",INDEX('Currency Master'!T:T,MATCH(DATE(N1431,MONTH(DATEVALUE(O1431&amp;" 1")),1),'Currency Master'!A:A,0)),"")))</f>
        <v>56.835999999999999</v>
      </c>
      <c r="J1431" s="3">
        <f t="shared" si="88"/>
        <v>656.69</v>
      </c>
      <c r="K1431" s="3" t="str">
        <f t="shared" si="89"/>
        <v>₹/Kg</v>
      </c>
      <c r="L1431" s="3">
        <v>-4.0000000000000002E-4</v>
      </c>
      <c r="M1431" s="3"/>
      <c r="N1431" s="3">
        <f t="shared" si="90"/>
        <v>2014</v>
      </c>
      <c r="O1431" s="3" t="str">
        <f t="shared" si="91"/>
        <v>April</v>
      </c>
      <c r="P1431" s="3" t="s">
        <v>41</v>
      </c>
      <c r="Q1431" s="3"/>
    </row>
    <row r="1432" spans="1:17" hidden="1" x14ac:dyDescent="0.3">
      <c r="A1432" s="2">
        <v>41699</v>
      </c>
      <c r="B1432" s="3" t="s">
        <v>31</v>
      </c>
      <c r="C1432" s="3" t="s">
        <v>32</v>
      </c>
      <c r="D1432" s="3" t="s">
        <v>38</v>
      </c>
      <c r="E1432" s="3" t="s">
        <v>39</v>
      </c>
      <c r="F1432" s="3">
        <v>656.96</v>
      </c>
      <c r="G1432" s="3" t="s">
        <v>40</v>
      </c>
      <c r="H1432" s="3" t="s">
        <v>17</v>
      </c>
      <c r="I1432" s="3">
        <f>IF(C1432="India",1,IF(C1432="USA",INDEX('Currency Master'!B:B,MATCH(DATE(N1432,MONTH(DATEVALUE(O1432&amp;" 1")),1),'Currency Master'!A:A,0)),IF(C1432="Australia",INDEX('Currency Master'!T:T,MATCH(DATE(N1432,MONTH(DATEVALUE(O1432&amp;" 1")),1),'Currency Master'!A:A,0)),"")))</f>
        <v>58.274999999999999</v>
      </c>
      <c r="J1432" s="3">
        <f t="shared" si="88"/>
        <v>656.96</v>
      </c>
      <c r="K1432" s="3" t="str">
        <f t="shared" si="89"/>
        <v>₹/Kg</v>
      </c>
      <c r="L1432" s="3">
        <v>-5.5899999999999998E-2</v>
      </c>
      <c r="M1432" s="3"/>
      <c r="N1432" s="3">
        <f t="shared" si="90"/>
        <v>2014</v>
      </c>
      <c r="O1432" s="3" t="str">
        <f t="shared" si="91"/>
        <v>March</v>
      </c>
      <c r="P1432" s="3" t="s">
        <v>41</v>
      </c>
      <c r="Q1432" s="3"/>
    </row>
    <row r="1433" spans="1:17" hidden="1" x14ac:dyDescent="0.3">
      <c r="A1433" s="2">
        <v>41671</v>
      </c>
      <c r="B1433" s="3" t="s">
        <v>31</v>
      </c>
      <c r="C1433" s="3" t="s">
        <v>32</v>
      </c>
      <c r="D1433" s="3" t="s">
        <v>38</v>
      </c>
      <c r="E1433" s="3" t="s">
        <v>39</v>
      </c>
      <c r="F1433" s="3">
        <v>695.85</v>
      </c>
      <c r="G1433" s="3" t="s">
        <v>40</v>
      </c>
      <c r="H1433" s="3" t="s">
        <v>17</v>
      </c>
      <c r="I1433" s="3">
        <f>IF(C1433="India",1,IF(C1433="USA",INDEX('Currency Master'!B:B,MATCH(DATE(N1433,MONTH(DATEVALUE(O1433&amp;" 1")),1),'Currency Master'!A:A,0)),IF(C1433="Australia",INDEX('Currency Master'!T:T,MATCH(DATE(N1433,MONTH(DATEVALUE(O1433&amp;" 1")),1),'Currency Master'!A:A,0)),"")))</f>
        <v>58.27</v>
      </c>
      <c r="J1433" s="3">
        <f t="shared" si="88"/>
        <v>695.85</v>
      </c>
      <c r="K1433" s="3" t="str">
        <f t="shared" si="89"/>
        <v>₹/Kg</v>
      </c>
      <c r="L1433" s="3">
        <v>-2.3800000000000002E-2</v>
      </c>
      <c r="M1433" s="3"/>
      <c r="N1433" s="3">
        <f t="shared" si="90"/>
        <v>2014</v>
      </c>
      <c r="O1433" s="3" t="str">
        <f t="shared" si="91"/>
        <v>February</v>
      </c>
      <c r="P1433" s="3" t="s">
        <v>41</v>
      </c>
      <c r="Q1433" s="3"/>
    </row>
    <row r="1434" spans="1:17" hidden="1" x14ac:dyDescent="0.3">
      <c r="A1434" s="2">
        <v>41640</v>
      </c>
      <c r="B1434" s="3" t="s">
        <v>31</v>
      </c>
      <c r="C1434" s="3" t="s">
        <v>32</v>
      </c>
      <c r="D1434" s="3" t="s">
        <v>38</v>
      </c>
      <c r="E1434" s="3" t="s">
        <v>39</v>
      </c>
      <c r="F1434" s="3">
        <v>712.84</v>
      </c>
      <c r="G1434" s="3" t="s">
        <v>40</v>
      </c>
      <c r="H1434" s="3" t="s">
        <v>17</v>
      </c>
      <c r="I1434" s="3">
        <f>IF(C1434="India",1,IF(C1434="USA",INDEX('Currency Master'!B:B,MATCH(DATE(N1434,MONTH(DATEVALUE(O1434&amp;" 1")),1),'Currency Master'!A:A,0)),IF(C1434="Australia",INDEX('Currency Master'!T:T,MATCH(DATE(N1434,MONTH(DATEVALUE(O1434&amp;" 1")),1),'Currency Master'!A:A,0)),"")))</f>
        <v>58.447000000000003</v>
      </c>
      <c r="J1434" s="3">
        <f t="shared" si="88"/>
        <v>712.84</v>
      </c>
      <c r="K1434" s="3" t="str">
        <f t="shared" si="89"/>
        <v>₹/Kg</v>
      </c>
      <c r="L1434" s="3">
        <v>-3.9600000000000003E-2</v>
      </c>
      <c r="M1434" s="3"/>
      <c r="N1434" s="3">
        <f t="shared" si="90"/>
        <v>2014</v>
      </c>
      <c r="O1434" s="3" t="str">
        <f t="shared" si="91"/>
        <v>January</v>
      </c>
      <c r="P1434" s="3" t="s">
        <v>41</v>
      </c>
      <c r="Q1434" s="3"/>
    </row>
    <row r="1435" spans="1:17" hidden="1" x14ac:dyDescent="0.3">
      <c r="A1435" s="2">
        <v>41609</v>
      </c>
      <c r="B1435" s="3" t="s">
        <v>31</v>
      </c>
      <c r="C1435" s="3" t="s">
        <v>32</v>
      </c>
      <c r="D1435" s="3" t="s">
        <v>38</v>
      </c>
      <c r="E1435" s="3" t="s">
        <v>39</v>
      </c>
      <c r="F1435" s="3">
        <v>742.23</v>
      </c>
      <c r="G1435" s="3" t="s">
        <v>40</v>
      </c>
      <c r="H1435" s="3" t="s">
        <v>17</v>
      </c>
      <c r="I1435" s="3">
        <f>IF(C1435="India",1,IF(C1435="USA",INDEX('Currency Master'!B:B,MATCH(DATE(N1435,MONTH(DATEVALUE(O1435&amp;" 1")),1),'Currency Master'!A:A,0)),IF(C1435="Australia",INDEX('Currency Master'!T:T,MATCH(DATE(N1435,MONTH(DATEVALUE(O1435&amp;" 1")),1),'Currency Master'!A:A,0)),"")))</f>
        <v>54.634</v>
      </c>
      <c r="J1435" s="3">
        <f t="shared" si="88"/>
        <v>742.23</v>
      </c>
      <c r="K1435" s="3" t="str">
        <f t="shared" si="89"/>
        <v>₹/Kg</v>
      </c>
      <c r="L1435" s="3">
        <v>-5.0000000000000001E-3</v>
      </c>
      <c r="M1435" s="3"/>
      <c r="N1435" s="3">
        <f t="shared" si="90"/>
        <v>2013</v>
      </c>
      <c r="O1435" s="3" t="str">
        <f t="shared" si="91"/>
        <v>December</v>
      </c>
      <c r="P1435" s="3" t="s">
        <v>41</v>
      </c>
      <c r="Q1435" s="3"/>
    </row>
    <row r="1436" spans="1:17" hidden="1" x14ac:dyDescent="0.3">
      <c r="A1436" s="2">
        <v>41579</v>
      </c>
      <c r="B1436" s="3" t="s">
        <v>31</v>
      </c>
      <c r="C1436" s="3" t="s">
        <v>32</v>
      </c>
      <c r="D1436" s="3" t="s">
        <v>38</v>
      </c>
      <c r="E1436" s="3" t="s">
        <v>39</v>
      </c>
      <c r="F1436" s="3">
        <v>745.97</v>
      </c>
      <c r="G1436" s="3" t="s">
        <v>40</v>
      </c>
      <c r="H1436" s="3" t="s">
        <v>17</v>
      </c>
      <c r="I1436" s="3">
        <f>IF(C1436="India",1,IF(C1436="USA",INDEX('Currency Master'!B:B,MATCH(DATE(N1436,MONTH(DATEVALUE(O1436&amp;" 1")),1),'Currency Master'!A:A,0)),IF(C1436="Australia",INDEX('Currency Master'!T:T,MATCH(DATE(N1436,MONTH(DATEVALUE(O1436&amp;" 1")),1),'Currency Master'!A:A,0)),"")))</f>
        <v>54.38</v>
      </c>
      <c r="J1436" s="3">
        <f t="shared" si="88"/>
        <v>745.97</v>
      </c>
      <c r="K1436" s="3" t="str">
        <f t="shared" si="89"/>
        <v>₹/Kg</v>
      </c>
      <c r="L1436" s="3">
        <v>9.7000000000000003E-3</v>
      </c>
      <c r="M1436" s="3"/>
      <c r="N1436" s="3">
        <f t="shared" si="90"/>
        <v>2013</v>
      </c>
      <c r="O1436" s="3" t="str">
        <f t="shared" si="91"/>
        <v>November</v>
      </c>
      <c r="P1436" s="3" t="s">
        <v>41</v>
      </c>
      <c r="Q1436" s="3"/>
    </row>
    <row r="1437" spans="1:17" hidden="1" x14ac:dyDescent="0.3">
      <c r="A1437" s="2">
        <v>41548</v>
      </c>
      <c r="B1437" s="3" t="s">
        <v>31</v>
      </c>
      <c r="C1437" s="3" t="s">
        <v>32</v>
      </c>
      <c r="D1437" s="3" t="s">
        <v>38</v>
      </c>
      <c r="E1437" s="3" t="s">
        <v>39</v>
      </c>
      <c r="F1437" s="3">
        <v>738.79</v>
      </c>
      <c r="G1437" s="3" t="s">
        <v>40</v>
      </c>
      <c r="H1437" s="3" t="s">
        <v>17</v>
      </c>
      <c r="I1437" s="3">
        <f>IF(C1437="India",1,IF(C1437="USA",INDEX('Currency Master'!B:B,MATCH(DATE(N1437,MONTH(DATEVALUE(O1437&amp;" 1")),1),'Currency Master'!A:A,0)),IF(C1437="Australia",INDEX('Currency Master'!T:T,MATCH(DATE(N1437,MONTH(DATEVALUE(O1437&amp;" 1")),1),'Currency Master'!A:A,0)),"")))</f>
        <v>54.137</v>
      </c>
      <c r="J1437" s="3">
        <f t="shared" si="88"/>
        <v>738.79</v>
      </c>
      <c r="K1437" s="3" t="str">
        <f t="shared" si="89"/>
        <v>₹/Kg</v>
      </c>
      <c r="L1437" s="3">
        <v>8.0000000000000004E-4</v>
      </c>
      <c r="M1437" s="3"/>
      <c r="N1437" s="3">
        <f t="shared" si="90"/>
        <v>2013</v>
      </c>
      <c r="O1437" s="3" t="str">
        <f t="shared" si="91"/>
        <v>October</v>
      </c>
      <c r="P1437" s="3" t="s">
        <v>41</v>
      </c>
      <c r="Q1437" s="3"/>
    </row>
    <row r="1438" spans="1:17" hidden="1" x14ac:dyDescent="0.3">
      <c r="A1438" s="2">
        <v>41518</v>
      </c>
      <c r="B1438" s="3" t="s">
        <v>31</v>
      </c>
      <c r="C1438" s="3" t="s">
        <v>32</v>
      </c>
      <c r="D1438" s="3" t="s">
        <v>38</v>
      </c>
      <c r="E1438" s="3" t="s">
        <v>39</v>
      </c>
      <c r="F1438" s="3">
        <v>738.16</v>
      </c>
      <c r="G1438" s="3" t="s">
        <v>40</v>
      </c>
      <c r="H1438" s="3" t="s">
        <v>17</v>
      </c>
      <c r="I1438" s="3">
        <f>IF(C1438="India",1,IF(C1438="USA",INDEX('Currency Master'!B:B,MATCH(DATE(N1438,MONTH(DATEVALUE(O1438&amp;" 1")),1),'Currency Master'!A:A,0)),IF(C1438="Australia",INDEX('Currency Master'!T:T,MATCH(DATE(N1438,MONTH(DATEVALUE(O1438&amp;" 1")),1),'Currency Master'!A:A,0)),"")))</f>
        <v>55.661000000000001</v>
      </c>
      <c r="J1438" s="3">
        <f t="shared" si="88"/>
        <v>738.16</v>
      </c>
      <c r="K1438" s="3" t="str">
        <f t="shared" si="89"/>
        <v>₹/Kg</v>
      </c>
      <c r="L1438" s="3">
        <v>0.1331</v>
      </c>
      <c r="M1438" s="3"/>
      <c r="N1438" s="3">
        <f t="shared" si="90"/>
        <v>2013</v>
      </c>
      <c r="O1438" s="3" t="str">
        <f t="shared" si="91"/>
        <v>September</v>
      </c>
      <c r="P1438" s="3" t="s">
        <v>41</v>
      </c>
      <c r="Q1438" s="3"/>
    </row>
    <row r="1439" spans="1:17" hidden="1" x14ac:dyDescent="0.3">
      <c r="A1439" s="2">
        <v>41487</v>
      </c>
      <c r="B1439" s="3" t="s">
        <v>31</v>
      </c>
      <c r="C1439" s="3" t="s">
        <v>32</v>
      </c>
      <c r="D1439" s="3" t="s">
        <v>38</v>
      </c>
      <c r="E1439" s="3" t="s">
        <v>39</v>
      </c>
      <c r="F1439" s="3">
        <v>651.45000000000005</v>
      </c>
      <c r="G1439" s="3" t="s">
        <v>40</v>
      </c>
      <c r="H1439" s="3" t="s">
        <v>17</v>
      </c>
      <c r="I1439" s="3">
        <f>IF(C1439="India",1,IF(C1439="USA",INDEX('Currency Master'!B:B,MATCH(DATE(N1439,MONTH(DATEVALUE(O1439&amp;" 1")),1),'Currency Master'!A:A,0)),IF(C1439="Australia",INDEX('Currency Master'!T:T,MATCH(DATE(N1439,MONTH(DATEVALUE(O1439&amp;" 1")),1),'Currency Master'!A:A,0)),"")))</f>
        <v>56.542999999999999</v>
      </c>
      <c r="J1439" s="3">
        <f t="shared" si="88"/>
        <v>651.45000000000005</v>
      </c>
      <c r="K1439" s="3" t="str">
        <f t="shared" si="89"/>
        <v>₹/Kg</v>
      </c>
      <c r="L1439" s="3">
        <v>6.2899999999999998E-2</v>
      </c>
      <c r="M1439" s="3"/>
      <c r="N1439" s="3">
        <f t="shared" si="90"/>
        <v>2013</v>
      </c>
      <c r="O1439" s="3" t="str">
        <f t="shared" si="91"/>
        <v>August</v>
      </c>
      <c r="P1439" s="3" t="s">
        <v>41</v>
      </c>
      <c r="Q1439" s="3"/>
    </row>
    <row r="1440" spans="1:17" hidden="1" x14ac:dyDescent="0.3">
      <c r="A1440" s="2">
        <v>41456</v>
      </c>
      <c r="B1440" s="3" t="s">
        <v>31</v>
      </c>
      <c r="C1440" s="3" t="s">
        <v>32</v>
      </c>
      <c r="D1440" s="3" t="s">
        <v>38</v>
      </c>
      <c r="E1440" s="3" t="s">
        <v>39</v>
      </c>
      <c r="F1440" s="3">
        <v>612.91</v>
      </c>
      <c r="G1440" s="3" t="s">
        <v>40</v>
      </c>
      <c r="H1440" s="3" t="s">
        <v>17</v>
      </c>
      <c r="I1440" s="3">
        <f>IF(C1440="India",1,IF(C1440="USA",INDEX('Currency Master'!B:B,MATCH(DATE(N1440,MONTH(DATEVALUE(O1440&amp;" 1")),1),'Currency Master'!A:A,0)),IF(C1440="Australia",INDEX('Currency Master'!T:T,MATCH(DATE(N1440,MONTH(DATEVALUE(O1440&amp;" 1")),1),'Currency Master'!A:A,0)),"")))</f>
        <v>55.533999999999999</v>
      </c>
      <c r="J1440" s="3">
        <f t="shared" si="88"/>
        <v>612.91</v>
      </c>
      <c r="K1440" s="3" t="str">
        <f t="shared" si="89"/>
        <v>₹/Kg</v>
      </c>
      <c r="L1440" s="3">
        <v>-5.9799999999999999E-2</v>
      </c>
      <c r="M1440" s="3"/>
      <c r="N1440" s="3">
        <f t="shared" si="90"/>
        <v>2013</v>
      </c>
      <c r="O1440" s="3" t="str">
        <f t="shared" si="91"/>
        <v>July</v>
      </c>
      <c r="P1440" s="3" t="s">
        <v>41</v>
      </c>
      <c r="Q1440" s="3"/>
    </row>
    <row r="1441" spans="1:17" hidden="1" x14ac:dyDescent="0.3">
      <c r="A1441" s="2">
        <v>41426</v>
      </c>
      <c r="B1441" s="3" t="s">
        <v>31</v>
      </c>
      <c r="C1441" s="3" t="s">
        <v>32</v>
      </c>
      <c r="D1441" s="3" t="s">
        <v>38</v>
      </c>
      <c r="E1441" s="3" t="s">
        <v>39</v>
      </c>
      <c r="F1441" s="3">
        <v>651.91999999999996</v>
      </c>
      <c r="G1441" s="3" t="s">
        <v>40</v>
      </c>
      <c r="H1441" s="3" t="s">
        <v>17</v>
      </c>
      <c r="I1441" s="3">
        <f>IF(C1441="India",1,IF(C1441="USA",INDEX('Currency Master'!B:B,MATCH(DATE(N1441,MONTH(DATEVALUE(O1441&amp;" 1")),1),'Currency Master'!A:A,0)),IF(C1441="Australia",INDEX('Currency Master'!T:T,MATCH(DATE(N1441,MONTH(DATEVALUE(O1441&amp;" 1")),1),'Currency Master'!A:A,0)),"")))</f>
        <v>55.545000000000002</v>
      </c>
      <c r="J1441" s="3">
        <f t="shared" si="88"/>
        <v>651.91999999999996</v>
      </c>
      <c r="K1441" s="3" t="str">
        <f t="shared" si="89"/>
        <v>₹/Kg</v>
      </c>
      <c r="L1441" s="3">
        <v>2.29E-2</v>
      </c>
      <c r="M1441" s="3"/>
      <c r="N1441" s="3">
        <f t="shared" si="90"/>
        <v>2013</v>
      </c>
      <c r="O1441" s="3" t="str">
        <f t="shared" si="91"/>
        <v>June</v>
      </c>
      <c r="P1441" s="3" t="s">
        <v>41</v>
      </c>
      <c r="Q1441" s="3"/>
    </row>
    <row r="1442" spans="1:17" hidden="1" x14ac:dyDescent="0.3">
      <c r="A1442" s="2">
        <v>41395</v>
      </c>
      <c r="B1442" s="3" t="s">
        <v>31</v>
      </c>
      <c r="C1442" s="3" t="s">
        <v>32</v>
      </c>
      <c r="D1442" s="3" t="s">
        <v>38</v>
      </c>
      <c r="E1442" s="3" t="s">
        <v>39</v>
      </c>
      <c r="F1442" s="3">
        <v>637.29999999999995</v>
      </c>
      <c r="G1442" s="3" t="s">
        <v>40</v>
      </c>
      <c r="H1442" s="3" t="s">
        <v>17</v>
      </c>
      <c r="I1442" s="3">
        <f>IF(C1442="India",1,IF(C1442="USA",INDEX('Currency Master'!B:B,MATCH(DATE(N1442,MONTH(DATEVALUE(O1442&amp;" 1")),1),'Currency Master'!A:A,0)),IF(C1442="Australia",INDEX('Currency Master'!T:T,MATCH(DATE(N1442,MONTH(DATEVALUE(O1442&amp;" 1")),1),'Currency Master'!A:A,0)),"")))</f>
        <v>57.005000000000003</v>
      </c>
      <c r="J1442" s="3">
        <f t="shared" si="88"/>
        <v>637.29999999999995</v>
      </c>
      <c r="K1442" s="3" t="str">
        <f t="shared" si="89"/>
        <v>₹/Kg</v>
      </c>
      <c r="L1442" s="3">
        <v>-3.0200000000000001E-2</v>
      </c>
      <c r="M1442" s="3"/>
      <c r="N1442" s="3">
        <f t="shared" si="90"/>
        <v>2013</v>
      </c>
      <c r="O1442" s="3" t="str">
        <f t="shared" si="91"/>
        <v>May</v>
      </c>
      <c r="P1442" s="3" t="s">
        <v>41</v>
      </c>
      <c r="Q1442" s="3"/>
    </row>
    <row r="1443" spans="1:17" hidden="1" x14ac:dyDescent="0.3">
      <c r="A1443" s="2">
        <v>41365</v>
      </c>
      <c r="B1443" s="3" t="s">
        <v>31</v>
      </c>
      <c r="C1443" s="3" t="s">
        <v>32</v>
      </c>
      <c r="D1443" s="3" t="s">
        <v>38</v>
      </c>
      <c r="E1443" s="3" t="s">
        <v>39</v>
      </c>
      <c r="F1443" s="3">
        <v>657.18</v>
      </c>
      <c r="G1443" s="3" t="s">
        <v>40</v>
      </c>
      <c r="H1443" s="3" t="s">
        <v>17</v>
      </c>
      <c r="I1443" s="3">
        <f>IF(C1443="India",1,IF(C1443="USA",INDEX('Currency Master'!B:B,MATCH(DATE(N1443,MONTH(DATEVALUE(O1443&amp;" 1")),1),'Currency Master'!A:A,0)),IF(C1443="Australia",INDEX('Currency Master'!T:T,MATCH(DATE(N1443,MONTH(DATEVALUE(O1443&amp;" 1")),1),'Currency Master'!A:A,0)),"")))</f>
        <v>56.62</v>
      </c>
      <c r="J1443" s="3">
        <f t="shared" si="88"/>
        <v>657.18</v>
      </c>
      <c r="K1443" s="3" t="str">
        <f t="shared" si="89"/>
        <v>₹/Kg</v>
      </c>
      <c r="L1443" s="3">
        <v>-8.7400000000000005E-2</v>
      </c>
      <c r="M1443" s="3"/>
      <c r="N1443" s="3">
        <f t="shared" si="90"/>
        <v>2013</v>
      </c>
      <c r="O1443" s="3" t="str">
        <f t="shared" si="91"/>
        <v>April</v>
      </c>
      <c r="P1443" s="3" t="s">
        <v>41</v>
      </c>
      <c r="Q1443" s="3"/>
    </row>
    <row r="1444" spans="1:17" hidden="1" x14ac:dyDescent="0.3">
      <c r="A1444" s="2">
        <v>41334</v>
      </c>
      <c r="B1444" s="3" t="s">
        <v>31</v>
      </c>
      <c r="C1444" s="3" t="s">
        <v>32</v>
      </c>
      <c r="D1444" s="3" t="s">
        <v>38</v>
      </c>
      <c r="E1444" s="3" t="s">
        <v>39</v>
      </c>
      <c r="F1444" s="3">
        <v>720.14</v>
      </c>
      <c r="G1444" s="3" t="s">
        <v>40</v>
      </c>
      <c r="H1444" s="3" t="s">
        <v>17</v>
      </c>
      <c r="I1444" s="3">
        <f>IF(C1444="India",1,IF(C1444="USA",INDEX('Currency Master'!B:B,MATCH(DATE(N1444,MONTH(DATEVALUE(O1444&amp;" 1")),1),'Currency Master'!A:A,0)),IF(C1444="Australia",INDEX('Currency Master'!T:T,MATCH(DATE(N1444,MONTH(DATEVALUE(O1444&amp;" 1")),1),'Currency Master'!A:A,0)),"")))</f>
        <v>55.801000000000002</v>
      </c>
      <c r="J1444" s="3">
        <f t="shared" si="88"/>
        <v>720.14</v>
      </c>
      <c r="K1444" s="3" t="str">
        <f t="shared" si="89"/>
        <v>₹/Kg</v>
      </c>
      <c r="L1444" s="3">
        <v>-2.52E-2</v>
      </c>
      <c r="M1444" s="3"/>
      <c r="N1444" s="3">
        <f t="shared" si="90"/>
        <v>2013</v>
      </c>
      <c r="O1444" s="3" t="str">
        <f t="shared" si="91"/>
        <v>March</v>
      </c>
      <c r="P1444" s="3" t="s">
        <v>41</v>
      </c>
      <c r="Q1444" s="3"/>
    </row>
    <row r="1445" spans="1:17" hidden="1" x14ac:dyDescent="0.3">
      <c r="A1445" s="2">
        <v>41306</v>
      </c>
      <c r="B1445" s="3" t="s">
        <v>31</v>
      </c>
      <c r="C1445" s="3" t="s">
        <v>32</v>
      </c>
      <c r="D1445" s="3" t="s">
        <v>38</v>
      </c>
      <c r="E1445" s="3" t="s">
        <v>39</v>
      </c>
      <c r="F1445" s="3">
        <v>738.75</v>
      </c>
      <c r="G1445" s="3" t="s">
        <v>40</v>
      </c>
      <c r="H1445" s="3" t="s">
        <v>17</v>
      </c>
      <c r="I1445" s="3">
        <f>IF(C1445="India",1,IF(C1445="USA",INDEX('Currency Master'!B:B,MATCH(DATE(N1445,MONTH(DATEVALUE(O1445&amp;" 1")),1),'Currency Master'!A:A,0)),IF(C1445="Australia",INDEX('Currency Master'!T:T,MATCH(DATE(N1445,MONTH(DATEVALUE(O1445&amp;" 1")),1),'Currency Master'!A:A,0)),"")))</f>
        <v>54.822000000000003</v>
      </c>
      <c r="J1445" s="3">
        <f t="shared" si="88"/>
        <v>738.75</v>
      </c>
      <c r="K1445" s="3" t="str">
        <f t="shared" si="89"/>
        <v>₹/Kg</v>
      </c>
      <c r="L1445" s="3">
        <v>-2.3699999999999999E-2</v>
      </c>
      <c r="M1445" s="3"/>
      <c r="N1445" s="3">
        <f t="shared" si="90"/>
        <v>2013</v>
      </c>
      <c r="O1445" s="3" t="str">
        <f t="shared" si="91"/>
        <v>February</v>
      </c>
      <c r="P1445" s="3" t="s">
        <v>41</v>
      </c>
      <c r="Q1445" s="3"/>
    </row>
    <row r="1446" spans="1:17" hidden="1" x14ac:dyDescent="0.3">
      <c r="A1446" s="2">
        <v>41275</v>
      </c>
      <c r="B1446" s="3" t="s">
        <v>31</v>
      </c>
      <c r="C1446" s="3" t="s">
        <v>32</v>
      </c>
      <c r="D1446" s="3" t="s">
        <v>38</v>
      </c>
      <c r="E1446" s="3" t="s">
        <v>39</v>
      </c>
      <c r="F1446" s="3">
        <v>756.66</v>
      </c>
      <c r="G1446" s="3" t="s">
        <v>40</v>
      </c>
      <c r="H1446" s="3" t="s">
        <v>17</v>
      </c>
      <c r="I1446" s="3">
        <f>IF(C1446="India",1,IF(C1446="USA",INDEX('Currency Master'!B:B,MATCH(DATE(N1446,MONTH(DATEVALUE(O1446&amp;" 1")),1),'Currency Master'!A:A,0)),IF(C1446="Australia",INDEX('Currency Master'!T:T,MATCH(DATE(N1446,MONTH(DATEVALUE(O1446&amp;" 1")),1),'Currency Master'!A:A,0)),"")))</f>
        <v>57.28</v>
      </c>
      <c r="J1446" s="3">
        <f t="shared" si="88"/>
        <v>756.66</v>
      </c>
      <c r="K1446" s="3" t="str">
        <f t="shared" si="89"/>
        <v>₹/Kg</v>
      </c>
      <c r="L1446" s="3">
        <v>2.3099999999999999E-2</v>
      </c>
      <c r="M1446" s="3"/>
      <c r="N1446" s="3">
        <f t="shared" si="90"/>
        <v>2013</v>
      </c>
      <c r="O1446" s="3" t="str">
        <f t="shared" si="91"/>
        <v>January</v>
      </c>
      <c r="P1446" s="3" t="s">
        <v>41</v>
      </c>
      <c r="Q1446" s="3"/>
    </row>
    <row r="1447" spans="1:17" hidden="1" x14ac:dyDescent="0.3">
      <c r="A1447" s="2">
        <v>41244</v>
      </c>
      <c r="B1447" s="3" t="s">
        <v>31</v>
      </c>
      <c r="C1447" s="3" t="s">
        <v>32</v>
      </c>
      <c r="D1447" s="3" t="s">
        <v>38</v>
      </c>
      <c r="E1447" s="3" t="s">
        <v>39</v>
      </c>
      <c r="F1447" s="3">
        <v>739.59</v>
      </c>
      <c r="G1447" s="3" t="s">
        <v>40</v>
      </c>
      <c r="H1447" s="3" t="s">
        <v>17</v>
      </c>
      <c r="I1447" s="3">
        <f>IF(C1447="India",1,IF(C1447="USA",INDEX('Currency Master'!B:B,MATCH(DATE(N1447,MONTH(DATEVALUE(O1447&amp;" 1")),1),'Currency Master'!A:A,0)),IF(C1447="Australia",INDEX('Currency Master'!T:T,MATCH(DATE(N1447,MONTH(DATEVALUE(O1447&amp;" 1")),1),'Currency Master'!A:A,0)),"")))</f>
        <v>58.293999999999997</v>
      </c>
      <c r="J1447" s="3">
        <f t="shared" si="88"/>
        <v>739.59</v>
      </c>
      <c r="K1447" s="3" t="str">
        <f t="shared" si="89"/>
        <v>₹/Kg</v>
      </c>
      <c r="L1447" s="3">
        <v>7.3300000000000004E-2</v>
      </c>
      <c r="M1447" s="3"/>
      <c r="N1447" s="3">
        <f t="shared" si="90"/>
        <v>2012</v>
      </c>
      <c r="O1447" s="3" t="str">
        <f t="shared" si="91"/>
        <v>December</v>
      </c>
      <c r="P1447" s="3" t="s">
        <v>41</v>
      </c>
      <c r="Q1447" s="3"/>
    </row>
    <row r="1448" spans="1:17" hidden="1" x14ac:dyDescent="0.3">
      <c r="A1448" s="2">
        <v>41214</v>
      </c>
      <c r="B1448" s="3" t="s">
        <v>31</v>
      </c>
      <c r="C1448" s="3" t="s">
        <v>32</v>
      </c>
      <c r="D1448" s="3" t="s">
        <v>38</v>
      </c>
      <c r="E1448" s="3" t="s">
        <v>39</v>
      </c>
      <c r="F1448" s="3">
        <v>689.09</v>
      </c>
      <c r="G1448" s="3" t="s">
        <v>40</v>
      </c>
      <c r="H1448" s="3" t="s">
        <v>17</v>
      </c>
      <c r="I1448" s="3">
        <f>IF(C1448="India",1,IF(C1448="USA",INDEX('Currency Master'!B:B,MATCH(DATE(N1448,MONTH(DATEVALUE(O1448&amp;" 1")),1),'Currency Master'!A:A,0)),IF(C1448="Australia",INDEX('Currency Master'!T:T,MATCH(DATE(N1448,MONTH(DATEVALUE(O1448&amp;" 1")),1),'Currency Master'!A:A,0)),"")))</f>
        <v>56.792999999999999</v>
      </c>
      <c r="J1448" s="3">
        <f t="shared" si="88"/>
        <v>689.09</v>
      </c>
      <c r="K1448" s="3" t="str">
        <f t="shared" si="89"/>
        <v>₹/Kg</v>
      </c>
      <c r="L1448" s="3">
        <v>0.08</v>
      </c>
      <c r="M1448" s="3"/>
      <c r="N1448" s="3">
        <f t="shared" si="90"/>
        <v>2012</v>
      </c>
      <c r="O1448" s="3" t="str">
        <f t="shared" si="91"/>
        <v>November</v>
      </c>
      <c r="P1448" s="3" t="s">
        <v>41</v>
      </c>
      <c r="Q1448" s="3"/>
    </row>
    <row r="1449" spans="1:17" hidden="1" x14ac:dyDescent="0.3">
      <c r="A1449" s="2">
        <v>41183</v>
      </c>
      <c r="B1449" s="3" t="s">
        <v>31</v>
      </c>
      <c r="C1449" s="3" t="s">
        <v>32</v>
      </c>
      <c r="D1449" s="3" t="s">
        <v>38</v>
      </c>
      <c r="E1449" s="3" t="s">
        <v>39</v>
      </c>
      <c r="F1449" s="3">
        <v>638.02</v>
      </c>
      <c r="G1449" s="3" t="s">
        <v>40</v>
      </c>
      <c r="H1449" s="3" t="s">
        <v>17</v>
      </c>
      <c r="I1449" s="3">
        <f>IF(C1449="India",1,IF(C1449="USA",INDEX('Currency Master'!B:B,MATCH(DATE(N1449,MONTH(DATEVALUE(O1449&amp;" 1")),1),'Currency Master'!A:A,0)),IF(C1449="Australia",INDEX('Currency Master'!T:T,MATCH(DATE(N1449,MONTH(DATEVALUE(O1449&amp;" 1")),1),'Currency Master'!A:A,0)),"")))</f>
        <v>54.5</v>
      </c>
      <c r="J1449" s="3">
        <f t="shared" si="88"/>
        <v>638.02</v>
      </c>
      <c r="K1449" s="3" t="str">
        <f t="shared" si="89"/>
        <v>₹/Kg</v>
      </c>
      <c r="L1449" s="3">
        <v>1.7299999999999999E-2</v>
      </c>
      <c r="M1449" s="3"/>
      <c r="N1449" s="3">
        <f t="shared" si="90"/>
        <v>2012</v>
      </c>
      <c r="O1449" s="3" t="str">
        <f t="shared" si="91"/>
        <v>October</v>
      </c>
      <c r="P1449" s="3" t="s">
        <v>41</v>
      </c>
      <c r="Q1449" s="3"/>
    </row>
    <row r="1450" spans="1:17" hidden="1" x14ac:dyDescent="0.3">
      <c r="A1450" s="2">
        <v>41153</v>
      </c>
      <c r="B1450" s="3" t="s">
        <v>31</v>
      </c>
      <c r="C1450" s="3" t="s">
        <v>32</v>
      </c>
      <c r="D1450" s="3" t="s">
        <v>38</v>
      </c>
      <c r="E1450" s="3" t="s">
        <v>39</v>
      </c>
      <c r="F1450" s="3">
        <v>627.14</v>
      </c>
      <c r="G1450" s="3" t="s">
        <v>40</v>
      </c>
      <c r="H1450" s="3" t="s">
        <v>17</v>
      </c>
      <c r="I1450" s="3">
        <f>IF(C1450="India",1,IF(C1450="USA",INDEX('Currency Master'!B:B,MATCH(DATE(N1450,MONTH(DATEVALUE(O1450&amp;" 1")),1),'Currency Master'!A:A,0)),IF(C1450="Australia",INDEX('Currency Master'!T:T,MATCH(DATE(N1450,MONTH(DATEVALUE(O1450&amp;" 1")),1),'Currency Master'!A:A,0)),"")))</f>
        <v>54.881999999999998</v>
      </c>
      <c r="J1450" s="3">
        <f t="shared" si="88"/>
        <v>627.14</v>
      </c>
      <c r="K1450" s="3" t="str">
        <f t="shared" si="89"/>
        <v>₹/Kg</v>
      </c>
      <c r="L1450" s="3">
        <v>-5.3100000000000001E-2</v>
      </c>
      <c r="M1450" s="3"/>
      <c r="N1450" s="3">
        <f t="shared" si="90"/>
        <v>2012</v>
      </c>
      <c r="O1450" s="3" t="str">
        <f t="shared" si="91"/>
        <v>September</v>
      </c>
      <c r="P1450" s="3" t="s">
        <v>41</v>
      </c>
      <c r="Q1450" s="3"/>
    </row>
    <row r="1451" spans="1:17" hidden="1" x14ac:dyDescent="0.3">
      <c r="A1451" s="2">
        <v>41122</v>
      </c>
      <c r="B1451" s="3" t="s">
        <v>31</v>
      </c>
      <c r="C1451" s="3" t="s">
        <v>32</v>
      </c>
      <c r="D1451" s="3" t="s">
        <v>38</v>
      </c>
      <c r="E1451" s="3" t="s">
        <v>39</v>
      </c>
      <c r="F1451" s="3">
        <v>662.31</v>
      </c>
      <c r="G1451" s="3" t="s">
        <v>40</v>
      </c>
      <c r="H1451" s="3" t="s">
        <v>17</v>
      </c>
      <c r="I1451" s="3">
        <f>IF(C1451="India",1,IF(C1451="USA",INDEX('Currency Master'!B:B,MATCH(DATE(N1451,MONTH(DATEVALUE(O1451&amp;" 1")),1),'Currency Master'!A:A,0)),IF(C1451="Australia",INDEX('Currency Master'!T:T,MATCH(DATE(N1451,MONTH(DATEVALUE(O1451&amp;" 1")),1),'Currency Master'!A:A,0)),"")))</f>
        <v>52.604999999999997</v>
      </c>
      <c r="J1451" s="3">
        <f t="shared" si="88"/>
        <v>662.31</v>
      </c>
      <c r="K1451" s="3" t="str">
        <f t="shared" si="89"/>
        <v>₹/Kg</v>
      </c>
      <c r="L1451" s="3">
        <v>-8.0699999999999994E-2</v>
      </c>
      <c r="M1451" s="3"/>
      <c r="N1451" s="3">
        <f t="shared" si="90"/>
        <v>2012</v>
      </c>
      <c r="O1451" s="3" t="str">
        <f t="shared" si="91"/>
        <v>August</v>
      </c>
      <c r="P1451" s="3" t="s">
        <v>41</v>
      </c>
      <c r="Q1451" s="3"/>
    </row>
    <row r="1452" spans="1:17" hidden="1" x14ac:dyDescent="0.3">
      <c r="A1452" s="2">
        <v>41091</v>
      </c>
      <c r="B1452" s="3" t="s">
        <v>31</v>
      </c>
      <c r="C1452" s="3" t="s">
        <v>32</v>
      </c>
      <c r="D1452" s="3" t="s">
        <v>38</v>
      </c>
      <c r="E1452" s="3" t="s">
        <v>39</v>
      </c>
      <c r="F1452" s="3">
        <v>720.47</v>
      </c>
      <c r="G1452" s="3" t="s">
        <v>40</v>
      </c>
      <c r="H1452" s="3" t="s">
        <v>17</v>
      </c>
      <c r="I1452" s="3">
        <f>IF(C1452="India",1,IF(C1452="USA",INDEX('Currency Master'!B:B,MATCH(DATE(N1452,MONTH(DATEVALUE(O1452&amp;" 1")),1),'Currency Master'!A:A,0)),IF(C1452="Australia",INDEX('Currency Master'!T:T,MATCH(DATE(N1452,MONTH(DATEVALUE(O1452&amp;" 1")),1),'Currency Master'!A:A,0)),"")))</f>
        <v>52.704000000000001</v>
      </c>
      <c r="J1452" s="3">
        <f t="shared" si="88"/>
        <v>720.47</v>
      </c>
      <c r="K1452" s="3" t="str">
        <f t="shared" si="89"/>
        <v>₹/Kg</v>
      </c>
      <c r="L1452" s="3">
        <v>4.0000000000000002E-4</v>
      </c>
      <c r="M1452" s="3"/>
      <c r="N1452" s="3">
        <f t="shared" si="90"/>
        <v>2012</v>
      </c>
      <c r="O1452" s="3" t="str">
        <f t="shared" si="91"/>
        <v>July</v>
      </c>
      <c r="P1452" s="3" t="s">
        <v>41</v>
      </c>
      <c r="Q1452" s="3"/>
    </row>
    <row r="1453" spans="1:17" hidden="1" x14ac:dyDescent="0.3">
      <c r="A1453" s="2">
        <v>41061</v>
      </c>
      <c r="B1453" s="3" t="s">
        <v>31</v>
      </c>
      <c r="C1453" s="3" t="s">
        <v>32</v>
      </c>
      <c r="D1453" s="3" t="s">
        <v>38</v>
      </c>
      <c r="E1453" s="3" t="s">
        <v>39</v>
      </c>
      <c r="F1453" s="3">
        <v>720.22</v>
      </c>
      <c r="G1453" s="3" t="s">
        <v>40</v>
      </c>
      <c r="H1453" s="3" t="s">
        <v>17</v>
      </c>
      <c r="I1453" s="3">
        <f>IF(C1453="India",1,IF(C1453="USA",INDEX('Currency Master'!B:B,MATCH(DATE(N1453,MONTH(DATEVALUE(O1453&amp;" 1")),1),'Currency Master'!A:A,0)),IF(C1453="Australia",INDEX('Currency Master'!T:T,MATCH(DATE(N1453,MONTH(DATEVALUE(O1453&amp;" 1")),1),'Currency Master'!A:A,0)),"")))</f>
        <v>52.533999999999999</v>
      </c>
      <c r="J1453" s="3">
        <f t="shared" si="88"/>
        <v>720.22</v>
      </c>
      <c r="K1453" s="3" t="str">
        <f t="shared" si="89"/>
        <v>₹/Kg</v>
      </c>
      <c r="L1453" s="3">
        <v>-1.11E-2</v>
      </c>
      <c r="M1453" s="3"/>
      <c r="N1453" s="3">
        <f t="shared" si="90"/>
        <v>2012</v>
      </c>
      <c r="O1453" s="3" t="str">
        <f t="shared" si="91"/>
        <v>June</v>
      </c>
      <c r="P1453" s="3" t="s">
        <v>41</v>
      </c>
      <c r="Q1453" s="3"/>
    </row>
    <row r="1454" spans="1:17" hidden="1" x14ac:dyDescent="0.3">
      <c r="A1454" s="2">
        <v>41030</v>
      </c>
      <c r="B1454" s="3" t="s">
        <v>31</v>
      </c>
      <c r="C1454" s="3" t="s">
        <v>32</v>
      </c>
      <c r="D1454" s="3" t="s">
        <v>38</v>
      </c>
      <c r="E1454" s="3" t="s">
        <v>39</v>
      </c>
      <c r="F1454" s="3">
        <v>728.28</v>
      </c>
      <c r="G1454" s="3" t="s">
        <v>40</v>
      </c>
      <c r="H1454" s="3" t="s">
        <v>17</v>
      </c>
      <c r="I1454" s="3">
        <f>IF(C1454="India",1,IF(C1454="USA",INDEX('Currency Master'!B:B,MATCH(DATE(N1454,MONTH(DATEVALUE(O1454&amp;" 1")),1),'Currency Master'!A:A,0)),IF(C1454="Australia",INDEX('Currency Master'!T:T,MATCH(DATE(N1454,MONTH(DATEVALUE(O1454&amp;" 1")),1),'Currency Master'!A:A,0)),"")))</f>
        <v>54.182000000000002</v>
      </c>
      <c r="J1454" s="3">
        <f t="shared" si="88"/>
        <v>728.28</v>
      </c>
      <c r="K1454" s="3" t="str">
        <f t="shared" si="89"/>
        <v>₹/Kg</v>
      </c>
      <c r="L1454" s="3">
        <v>-2.18E-2</v>
      </c>
      <c r="M1454" s="3"/>
      <c r="N1454" s="3">
        <f t="shared" si="90"/>
        <v>2012</v>
      </c>
      <c r="O1454" s="3" t="str">
        <f t="shared" si="91"/>
        <v>May</v>
      </c>
      <c r="P1454" s="3" t="s">
        <v>41</v>
      </c>
      <c r="Q1454" s="3"/>
    </row>
    <row r="1455" spans="1:17" hidden="1" x14ac:dyDescent="0.3">
      <c r="A1455" s="2">
        <v>41000</v>
      </c>
      <c r="B1455" s="3" t="s">
        <v>31</v>
      </c>
      <c r="C1455" s="3" t="s">
        <v>32</v>
      </c>
      <c r="D1455" s="3" t="s">
        <v>38</v>
      </c>
      <c r="E1455" s="3" t="s">
        <v>39</v>
      </c>
      <c r="F1455" s="3">
        <v>744.53</v>
      </c>
      <c r="G1455" s="3" t="s">
        <v>40</v>
      </c>
      <c r="H1455" s="3" t="s">
        <v>17</v>
      </c>
      <c r="I1455" s="3">
        <f>IF(C1455="India",1,IF(C1455="USA",INDEX('Currency Master'!B:B,MATCH(DATE(N1455,MONTH(DATEVALUE(O1455&amp;" 1")),1),'Currency Master'!A:A,0)),IF(C1455="Australia",INDEX('Currency Master'!T:T,MATCH(DATE(N1455,MONTH(DATEVALUE(O1455&amp;" 1")),1),'Currency Master'!A:A,0)),"")))</f>
        <v>53.552999999999997</v>
      </c>
      <c r="J1455" s="3">
        <f t="shared" si="88"/>
        <v>744.53</v>
      </c>
      <c r="K1455" s="3" t="str">
        <f t="shared" si="89"/>
        <v>₹/Kg</v>
      </c>
      <c r="L1455" s="3">
        <v>-3.9E-2</v>
      </c>
      <c r="M1455" s="3"/>
      <c r="N1455" s="3">
        <f t="shared" si="90"/>
        <v>2012</v>
      </c>
      <c r="O1455" s="3" t="str">
        <f t="shared" si="91"/>
        <v>April</v>
      </c>
      <c r="P1455" s="3" t="s">
        <v>41</v>
      </c>
      <c r="Q1455" s="3"/>
    </row>
    <row r="1456" spans="1:17" hidden="1" x14ac:dyDescent="0.3">
      <c r="A1456" s="2">
        <v>40969</v>
      </c>
      <c r="B1456" s="3" t="s">
        <v>31</v>
      </c>
      <c r="C1456" s="3" t="s">
        <v>32</v>
      </c>
      <c r="D1456" s="3" t="s">
        <v>38</v>
      </c>
      <c r="E1456" s="3" t="s">
        <v>39</v>
      </c>
      <c r="F1456" s="3">
        <v>774.73</v>
      </c>
      <c r="G1456" s="3" t="s">
        <v>40</v>
      </c>
      <c r="H1456" s="3" t="s">
        <v>17</v>
      </c>
      <c r="I1456" s="3">
        <f>IF(C1456="India",1,IF(C1456="USA",INDEX('Currency Master'!B:B,MATCH(DATE(N1456,MONTH(DATEVALUE(O1456&amp;" 1")),1),'Currency Master'!A:A,0)),IF(C1456="Australia",INDEX('Currency Master'!T:T,MATCH(DATE(N1456,MONTH(DATEVALUE(O1456&amp;" 1")),1),'Currency Master'!A:A,0)),"")))</f>
        <v>51.3</v>
      </c>
      <c r="J1456" s="3">
        <f t="shared" si="88"/>
        <v>774.73</v>
      </c>
      <c r="K1456" s="3" t="str">
        <f t="shared" si="89"/>
        <v>₹/Kg</v>
      </c>
      <c r="L1456" s="3">
        <v>9.5999999999999992E-3</v>
      </c>
      <c r="M1456" s="3"/>
      <c r="N1456" s="3">
        <f t="shared" si="90"/>
        <v>2012</v>
      </c>
      <c r="O1456" s="3" t="str">
        <f t="shared" si="91"/>
        <v>March</v>
      </c>
      <c r="P1456" s="3" t="s">
        <v>41</v>
      </c>
      <c r="Q1456" s="3"/>
    </row>
    <row r="1457" spans="1:17" hidden="1" x14ac:dyDescent="0.3">
      <c r="A1457" s="2">
        <v>40940</v>
      </c>
      <c r="B1457" s="3" t="s">
        <v>31</v>
      </c>
      <c r="C1457" s="3" t="s">
        <v>32</v>
      </c>
      <c r="D1457" s="3" t="s">
        <v>38</v>
      </c>
      <c r="E1457" s="3" t="s">
        <v>39</v>
      </c>
      <c r="F1457" s="3">
        <v>767.36</v>
      </c>
      <c r="G1457" s="3" t="s">
        <v>40</v>
      </c>
      <c r="H1457" s="3" t="s">
        <v>17</v>
      </c>
      <c r="I1457" s="3">
        <f>IF(C1457="India",1,IF(C1457="USA",INDEX('Currency Master'!B:B,MATCH(DATE(N1457,MONTH(DATEVALUE(O1457&amp;" 1")),1),'Currency Master'!A:A,0)),IF(C1457="Australia",INDEX('Currency Master'!T:T,MATCH(DATE(N1457,MONTH(DATEVALUE(O1457&amp;" 1")),1),'Currency Master'!A:A,0)),"")))</f>
        <v>47.334000000000003</v>
      </c>
      <c r="J1457" s="3">
        <f t="shared" si="88"/>
        <v>767.36</v>
      </c>
      <c r="K1457" s="3" t="str">
        <f t="shared" si="89"/>
        <v>₹/Kg</v>
      </c>
      <c r="L1457" s="3">
        <v>-2.7000000000000001E-3</v>
      </c>
      <c r="M1457" s="3"/>
      <c r="N1457" s="3">
        <f t="shared" si="90"/>
        <v>2012</v>
      </c>
      <c r="O1457" s="3" t="str">
        <f t="shared" si="91"/>
        <v>February</v>
      </c>
      <c r="P1457" s="3" t="s">
        <v>41</v>
      </c>
      <c r="Q1457" s="3"/>
    </row>
    <row r="1458" spans="1:17" hidden="1" x14ac:dyDescent="0.3">
      <c r="A1458" s="2">
        <v>40909</v>
      </c>
      <c r="B1458" s="3" t="s">
        <v>31</v>
      </c>
      <c r="C1458" s="3" t="s">
        <v>32</v>
      </c>
      <c r="D1458" s="3" t="s">
        <v>38</v>
      </c>
      <c r="E1458" s="3" t="s">
        <v>39</v>
      </c>
      <c r="F1458" s="3">
        <v>769.46</v>
      </c>
      <c r="G1458" s="3" t="s">
        <v>40</v>
      </c>
      <c r="H1458" s="3" t="s">
        <v>17</v>
      </c>
      <c r="I1458" s="3">
        <f>IF(C1458="India",1,IF(C1458="USA",INDEX('Currency Master'!B:B,MATCH(DATE(N1458,MONTH(DATEVALUE(O1458&amp;" 1")),1),'Currency Master'!A:A,0)),IF(C1458="Australia",INDEX('Currency Master'!T:T,MATCH(DATE(N1458,MONTH(DATEVALUE(O1458&amp;" 1")),1),'Currency Master'!A:A,0)),"")))</f>
        <v>49</v>
      </c>
      <c r="J1458" s="3">
        <f t="shared" si="88"/>
        <v>769.46</v>
      </c>
      <c r="K1458" s="3" t="str">
        <f t="shared" si="89"/>
        <v>₹/Kg</v>
      </c>
      <c r="L1458" s="3">
        <v>1.6E-2</v>
      </c>
      <c r="M1458" s="3"/>
      <c r="N1458" s="3">
        <f t="shared" si="90"/>
        <v>2012</v>
      </c>
      <c r="O1458" s="3" t="str">
        <f t="shared" si="91"/>
        <v>January</v>
      </c>
      <c r="P1458" s="3" t="s">
        <v>41</v>
      </c>
      <c r="Q1458" s="3"/>
    </row>
    <row r="1459" spans="1:17" hidden="1" x14ac:dyDescent="0.3">
      <c r="A1459" s="2">
        <v>40878</v>
      </c>
      <c r="B1459" s="3" t="s">
        <v>31</v>
      </c>
      <c r="C1459" s="3" t="s">
        <v>32</v>
      </c>
      <c r="D1459" s="3" t="s">
        <v>38</v>
      </c>
      <c r="E1459" s="3" t="s">
        <v>39</v>
      </c>
      <c r="F1459" s="3">
        <v>757.31</v>
      </c>
      <c r="G1459" s="3" t="s">
        <v>40</v>
      </c>
      <c r="H1459" s="3" t="s">
        <v>17</v>
      </c>
      <c r="I1459" s="3">
        <f>IF(C1459="India",1,IF(C1459="USA",INDEX('Currency Master'!B:B,MATCH(DATE(N1459,MONTH(DATEVALUE(O1459&amp;" 1")),1),'Currency Master'!A:A,0)),IF(C1459="Australia",INDEX('Currency Master'!T:T,MATCH(DATE(N1459,MONTH(DATEVALUE(O1459&amp;" 1")),1),'Currency Master'!A:A,0)),"")))</f>
        <v>48.567</v>
      </c>
      <c r="J1459" s="3">
        <f t="shared" si="88"/>
        <v>757.31</v>
      </c>
      <c r="K1459" s="3" t="str">
        <f t="shared" si="89"/>
        <v>₹/Kg</v>
      </c>
      <c r="L1459" s="3">
        <v>1.6799999999999999E-2</v>
      </c>
      <c r="M1459" s="3"/>
      <c r="N1459" s="3">
        <f t="shared" si="90"/>
        <v>2011</v>
      </c>
      <c r="O1459" s="3" t="str">
        <f t="shared" si="91"/>
        <v>December</v>
      </c>
      <c r="P1459" s="3" t="s">
        <v>41</v>
      </c>
      <c r="Q1459" s="3"/>
    </row>
    <row r="1460" spans="1:17" hidden="1" x14ac:dyDescent="0.3">
      <c r="A1460" s="2">
        <v>40848</v>
      </c>
      <c r="B1460" s="3" t="s">
        <v>31</v>
      </c>
      <c r="C1460" s="3" t="s">
        <v>32</v>
      </c>
      <c r="D1460" s="3" t="s">
        <v>38</v>
      </c>
      <c r="E1460" s="3" t="s">
        <v>39</v>
      </c>
      <c r="F1460" s="3">
        <v>744.77</v>
      </c>
      <c r="G1460" s="3" t="s">
        <v>40</v>
      </c>
      <c r="H1460" s="3" t="s">
        <v>17</v>
      </c>
      <c r="I1460" s="3">
        <f>IF(C1460="India",1,IF(C1460="USA",INDEX('Currency Master'!B:B,MATCH(DATE(N1460,MONTH(DATEVALUE(O1460&amp;" 1")),1),'Currency Master'!A:A,0)),IF(C1460="Australia",INDEX('Currency Master'!T:T,MATCH(DATE(N1460,MONTH(DATEVALUE(O1460&amp;" 1")),1),'Currency Master'!A:A,0)),"")))</f>
        <v>47.893999999999998</v>
      </c>
      <c r="J1460" s="3">
        <f t="shared" si="88"/>
        <v>744.77</v>
      </c>
      <c r="K1460" s="3" t="str">
        <f t="shared" si="89"/>
        <v>₹/Kg</v>
      </c>
      <c r="L1460" s="3">
        <v>5.67E-2</v>
      </c>
      <c r="M1460" s="3"/>
      <c r="N1460" s="3">
        <f t="shared" si="90"/>
        <v>2011</v>
      </c>
      <c r="O1460" s="3" t="str">
        <f t="shared" si="91"/>
        <v>November</v>
      </c>
      <c r="P1460" s="3" t="s">
        <v>41</v>
      </c>
      <c r="Q1460" s="3"/>
    </row>
    <row r="1461" spans="1:17" hidden="1" x14ac:dyDescent="0.3">
      <c r="A1461" s="2">
        <v>40817</v>
      </c>
      <c r="B1461" s="3" t="s">
        <v>31</v>
      </c>
      <c r="C1461" s="3" t="s">
        <v>32</v>
      </c>
      <c r="D1461" s="3" t="s">
        <v>38</v>
      </c>
      <c r="E1461" s="3" t="s">
        <v>39</v>
      </c>
      <c r="F1461" s="3">
        <v>704.79</v>
      </c>
      <c r="G1461" s="3" t="s">
        <v>40</v>
      </c>
      <c r="H1461" s="3" t="s">
        <v>17</v>
      </c>
      <c r="I1461" s="3">
        <f>IF(C1461="India",1,IF(C1461="USA",INDEX('Currency Master'!B:B,MATCH(DATE(N1461,MONTH(DATEVALUE(O1461&amp;" 1")),1),'Currency Master'!A:A,0)),IF(C1461="Australia",INDEX('Currency Master'!T:T,MATCH(DATE(N1461,MONTH(DATEVALUE(O1461&amp;" 1")),1),'Currency Master'!A:A,0)),"")))</f>
        <v>48.069000000000003</v>
      </c>
      <c r="J1461" s="3">
        <f t="shared" si="88"/>
        <v>704.79</v>
      </c>
      <c r="K1461" s="3" t="str">
        <f t="shared" si="89"/>
        <v>₹/Kg</v>
      </c>
      <c r="L1461" s="3">
        <v>-7.3099999999999998E-2</v>
      </c>
      <c r="M1461" s="3"/>
      <c r="N1461" s="3">
        <f t="shared" si="90"/>
        <v>2011</v>
      </c>
      <c r="O1461" s="3" t="str">
        <f t="shared" si="91"/>
        <v>October</v>
      </c>
      <c r="P1461" s="3" t="s">
        <v>41</v>
      </c>
      <c r="Q1461" s="3"/>
    </row>
    <row r="1462" spans="1:17" hidden="1" x14ac:dyDescent="0.3">
      <c r="A1462" s="2">
        <v>40787</v>
      </c>
      <c r="B1462" s="3" t="s">
        <v>31</v>
      </c>
      <c r="C1462" s="3" t="s">
        <v>32</v>
      </c>
      <c r="D1462" s="3" t="s">
        <v>38</v>
      </c>
      <c r="E1462" s="3" t="s">
        <v>39</v>
      </c>
      <c r="F1462" s="3">
        <v>760.4</v>
      </c>
      <c r="G1462" s="3" t="s">
        <v>40</v>
      </c>
      <c r="H1462" s="3" t="s">
        <v>17</v>
      </c>
      <c r="I1462" s="3">
        <f>IF(C1462="India",1,IF(C1462="USA",INDEX('Currency Master'!B:B,MATCH(DATE(N1462,MONTH(DATEVALUE(O1462&amp;" 1")),1),'Currency Master'!A:A,0)),IF(C1462="Australia",INDEX('Currency Master'!T:T,MATCH(DATE(N1462,MONTH(DATEVALUE(O1462&amp;" 1")),1),'Currency Master'!A:A,0)),"")))</f>
        <v>48.509</v>
      </c>
      <c r="J1462" s="3">
        <f t="shared" si="88"/>
        <v>760.4</v>
      </c>
      <c r="K1462" s="3" t="str">
        <f t="shared" si="89"/>
        <v>₹/Kg</v>
      </c>
      <c r="L1462" s="3">
        <v>1.44E-2</v>
      </c>
      <c r="M1462" s="3"/>
      <c r="N1462" s="3">
        <f t="shared" si="90"/>
        <v>2011</v>
      </c>
      <c r="O1462" s="3" t="str">
        <f t="shared" si="91"/>
        <v>September</v>
      </c>
      <c r="P1462" s="3" t="s">
        <v>41</v>
      </c>
      <c r="Q1462" s="3"/>
    </row>
    <row r="1463" spans="1:17" hidden="1" x14ac:dyDescent="0.3">
      <c r="A1463" s="2">
        <v>40756</v>
      </c>
      <c r="B1463" s="3" t="s">
        <v>31</v>
      </c>
      <c r="C1463" s="3" t="s">
        <v>32</v>
      </c>
      <c r="D1463" s="3" t="s">
        <v>38</v>
      </c>
      <c r="E1463" s="3" t="s">
        <v>39</v>
      </c>
      <c r="F1463" s="3">
        <v>749.63</v>
      </c>
      <c r="G1463" s="3" t="s">
        <v>40</v>
      </c>
      <c r="H1463" s="3" t="s">
        <v>17</v>
      </c>
      <c r="I1463" s="3">
        <f>IF(C1463="India",1,IF(C1463="USA",INDEX('Currency Master'!B:B,MATCH(DATE(N1463,MONTH(DATEVALUE(O1463&amp;" 1")),1),'Currency Master'!A:A,0)),IF(C1463="Australia",INDEX('Currency Master'!T:T,MATCH(DATE(N1463,MONTH(DATEVALUE(O1463&amp;" 1")),1),'Currency Master'!A:A,0)),"")))</f>
        <v>45.975999999999999</v>
      </c>
      <c r="J1463" s="3">
        <f t="shared" si="88"/>
        <v>749.63</v>
      </c>
      <c r="K1463" s="3" t="str">
        <f t="shared" si="89"/>
        <v>₹/Kg</v>
      </c>
      <c r="L1463" s="3">
        <v>-4.9700000000000001E-2</v>
      </c>
      <c r="M1463" s="3"/>
      <c r="N1463" s="3">
        <f t="shared" si="90"/>
        <v>2011</v>
      </c>
      <c r="O1463" s="3" t="str">
        <f t="shared" si="91"/>
        <v>August</v>
      </c>
      <c r="P1463" s="3" t="s">
        <v>41</v>
      </c>
      <c r="Q1463" s="3"/>
    </row>
    <row r="1464" spans="1:17" hidden="1" x14ac:dyDescent="0.3">
      <c r="A1464" s="2">
        <v>40725</v>
      </c>
      <c r="B1464" s="3" t="s">
        <v>31</v>
      </c>
      <c r="C1464" s="3" t="s">
        <v>32</v>
      </c>
      <c r="D1464" s="3" t="s">
        <v>38</v>
      </c>
      <c r="E1464" s="3" t="s">
        <v>39</v>
      </c>
      <c r="F1464" s="3">
        <v>788.8</v>
      </c>
      <c r="G1464" s="3" t="s">
        <v>40</v>
      </c>
      <c r="H1464" s="3" t="s">
        <v>17</v>
      </c>
      <c r="I1464" s="3">
        <f>IF(C1464="India",1,IF(C1464="USA",INDEX('Currency Master'!B:B,MATCH(DATE(N1464,MONTH(DATEVALUE(O1464&amp;" 1")),1),'Currency Master'!A:A,0)),IF(C1464="Australia",INDEX('Currency Master'!T:T,MATCH(DATE(N1464,MONTH(DATEVALUE(O1464&amp;" 1")),1),'Currency Master'!A:A,0)),"")))</f>
        <v>46.088000000000001</v>
      </c>
      <c r="J1464" s="3">
        <f t="shared" si="88"/>
        <v>788.8</v>
      </c>
      <c r="K1464" s="3" t="str">
        <f t="shared" si="89"/>
        <v>₹/Kg</v>
      </c>
      <c r="L1464" s="3">
        <v>-5.7200000000000001E-2</v>
      </c>
      <c r="M1464" s="3"/>
      <c r="N1464" s="3">
        <f t="shared" si="90"/>
        <v>2011</v>
      </c>
      <c r="O1464" s="3" t="str">
        <f t="shared" si="91"/>
        <v>July</v>
      </c>
      <c r="P1464" s="3" t="s">
        <v>41</v>
      </c>
      <c r="Q1464" s="3"/>
    </row>
    <row r="1465" spans="1:17" hidden="1" x14ac:dyDescent="0.3">
      <c r="A1465" s="2">
        <v>40695</v>
      </c>
      <c r="B1465" s="3" t="s">
        <v>31</v>
      </c>
      <c r="C1465" s="3" t="s">
        <v>32</v>
      </c>
      <c r="D1465" s="3" t="s">
        <v>38</v>
      </c>
      <c r="E1465" s="3" t="s">
        <v>39</v>
      </c>
      <c r="F1465" s="3">
        <v>836.68</v>
      </c>
      <c r="G1465" s="3" t="s">
        <v>40</v>
      </c>
      <c r="H1465" s="3" t="s">
        <v>17</v>
      </c>
      <c r="I1465" s="3">
        <f>IF(C1465="India",1,IF(C1465="USA",INDEX('Currency Master'!B:B,MATCH(DATE(N1465,MONTH(DATEVALUE(O1465&amp;" 1")),1),'Currency Master'!A:A,0)),IF(C1465="Australia",INDEX('Currency Master'!T:T,MATCH(DATE(N1465,MONTH(DATEVALUE(O1465&amp;" 1")),1),'Currency Master'!A:A,0)),"")))</f>
        <v>45.634999999999998</v>
      </c>
      <c r="J1465" s="3">
        <f t="shared" si="88"/>
        <v>836.68</v>
      </c>
      <c r="K1465" s="3" t="str">
        <f t="shared" si="89"/>
        <v>₹/Kg</v>
      </c>
      <c r="L1465" s="3">
        <v>3.9399999999999998E-2</v>
      </c>
      <c r="M1465" s="3"/>
      <c r="N1465" s="3">
        <f t="shared" si="90"/>
        <v>2011</v>
      </c>
      <c r="O1465" s="3" t="str">
        <f t="shared" si="91"/>
        <v>June</v>
      </c>
      <c r="P1465" s="3" t="s">
        <v>41</v>
      </c>
      <c r="Q1465" s="3"/>
    </row>
    <row r="1466" spans="1:17" hidden="1" x14ac:dyDescent="0.3">
      <c r="A1466" s="2">
        <v>40664</v>
      </c>
      <c r="B1466" s="3" t="s">
        <v>31</v>
      </c>
      <c r="C1466" s="3" t="s">
        <v>32</v>
      </c>
      <c r="D1466" s="3" t="s">
        <v>38</v>
      </c>
      <c r="E1466" s="3" t="s">
        <v>39</v>
      </c>
      <c r="F1466" s="3">
        <v>804.95</v>
      </c>
      <c r="G1466" s="3" t="s">
        <v>40</v>
      </c>
      <c r="H1466" s="3" t="s">
        <v>17</v>
      </c>
      <c r="I1466" s="3">
        <f>IF(C1466="India",1,IF(C1466="USA",INDEX('Currency Master'!B:B,MATCH(DATE(N1466,MONTH(DATEVALUE(O1466&amp;" 1")),1),'Currency Master'!A:A,0)),IF(C1466="Australia",INDEX('Currency Master'!T:T,MATCH(DATE(N1466,MONTH(DATEVALUE(O1466&amp;" 1")),1),'Currency Master'!A:A,0)),"")))</f>
        <v>45.728000000000002</v>
      </c>
      <c r="J1466" s="3">
        <f t="shared" si="88"/>
        <v>804.95</v>
      </c>
      <c r="K1466" s="3" t="str">
        <f t="shared" si="89"/>
        <v>₹/Kg</v>
      </c>
      <c r="L1466" s="3">
        <v>4.0099999999999997E-2</v>
      </c>
      <c r="M1466" s="3"/>
      <c r="N1466" s="3">
        <f t="shared" si="90"/>
        <v>2011</v>
      </c>
      <c r="O1466" s="3" t="str">
        <f t="shared" si="91"/>
        <v>May</v>
      </c>
      <c r="P1466" s="3" t="s">
        <v>41</v>
      </c>
      <c r="Q1466" s="3"/>
    </row>
    <row r="1467" spans="1:17" hidden="1" x14ac:dyDescent="0.3">
      <c r="A1467" s="2">
        <v>40634</v>
      </c>
      <c r="B1467" s="3" t="s">
        <v>31</v>
      </c>
      <c r="C1467" s="3" t="s">
        <v>32</v>
      </c>
      <c r="D1467" s="3" t="s">
        <v>38</v>
      </c>
      <c r="E1467" s="3" t="s">
        <v>39</v>
      </c>
      <c r="F1467" s="3">
        <v>773.94</v>
      </c>
      <c r="G1467" s="3" t="s">
        <v>40</v>
      </c>
      <c r="H1467" s="3" t="s">
        <v>17</v>
      </c>
      <c r="I1467" s="3">
        <f>IF(C1467="India",1,IF(C1467="USA",INDEX('Currency Master'!B:B,MATCH(DATE(N1467,MONTH(DATEVALUE(O1467&amp;" 1")),1),'Currency Master'!A:A,0)),IF(C1467="Australia",INDEX('Currency Master'!T:T,MATCH(DATE(N1467,MONTH(DATEVALUE(O1467&amp;" 1")),1),'Currency Master'!A:A,0)),"")))</f>
        <v>43.844000000000001</v>
      </c>
      <c r="J1467" s="3">
        <f t="shared" si="88"/>
        <v>773.94</v>
      </c>
      <c r="K1467" s="3" t="str">
        <f t="shared" si="89"/>
        <v>₹/Kg</v>
      </c>
      <c r="L1467" s="3">
        <v>1.0200000000000001E-2</v>
      </c>
      <c r="M1467" s="3"/>
      <c r="N1467" s="3">
        <f t="shared" si="90"/>
        <v>2011</v>
      </c>
      <c r="O1467" s="3" t="str">
        <f t="shared" si="91"/>
        <v>April</v>
      </c>
      <c r="P1467" s="3" t="s">
        <v>41</v>
      </c>
      <c r="Q1467" s="3"/>
    </row>
    <row r="1468" spans="1:17" hidden="1" x14ac:dyDescent="0.3">
      <c r="A1468" s="2">
        <v>40603</v>
      </c>
      <c r="B1468" s="3" t="s">
        <v>31</v>
      </c>
      <c r="C1468" s="3" t="s">
        <v>32</v>
      </c>
      <c r="D1468" s="3" t="s">
        <v>38</v>
      </c>
      <c r="E1468" s="3" t="s">
        <v>39</v>
      </c>
      <c r="F1468" s="3">
        <v>766.16</v>
      </c>
      <c r="G1468" s="3" t="s">
        <v>40</v>
      </c>
      <c r="H1468" s="3" t="s">
        <v>17</v>
      </c>
      <c r="I1468" s="3">
        <f>IF(C1468="India",1,IF(C1468="USA",INDEX('Currency Master'!B:B,MATCH(DATE(N1468,MONTH(DATEVALUE(O1468&amp;" 1")),1),'Currency Master'!A:A,0)),IF(C1468="Australia",INDEX('Currency Master'!T:T,MATCH(DATE(N1468,MONTH(DATEVALUE(O1468&amp;" 1")),1),'Currency Master'!A:A,0)),"")))</f>
        <v>43.573999999999998</v>
      </c>
      <c r="J1468" s="3">
        <f t="shared" si="88"/>
        <v>766.16</v>
      </c>
      <c r="K1468" s="3" t="str">
        <f t="shared" si="89"/>
        <v>₹/Kg</v>
      </c>
      <c r="L1468" s="3">
        <v>3.2099999999999997E-2</v>
      </c>
      <c r="M1468" s="3"/>
      <c r="N1468" s="3">
        <f t="shared" si="90"/>
        <v>2011</v>
      </c>
      <c r="O1468" s="3" t="str">
        <f t="shared" si="91"/>
        <v>March</v>
      </c>
      <c r="P1468" s="3" t="s">
        <v>41</v>
      </c>
      <c r="Q1468" s="3"/>
    </row>
    <row r="1469" spans="1:17" hidden="1" x14ac:dyDescent="0.3">
      <c r="A1469" s="2">
        <v>40575</v>
      </c>
      <c r="B1469" s="3" t="s">
        <v>31</v>
      </c>
      <c r="C1469" s="3" t="s">
        <v>32</v>
      </c>
      <c r="D1469" s="3" t="s">
        <v>38</v>
      </c>
      <c r="E1469" s="3" t="s">
        <v>39</v>
      </c>
      <c r="F1469" s="3">
        <v>742.33</v>
      </c>
      <c r="G1469" s="3" t="s">
        <v>40</v>
      </c>
      <c r="H1469" s="3" t="s">
        <v>17</v>
      </c>
      <c r="I1469" s="3">
        <f>IF(C1469="India",1,IF(C1469="USA",INDEX('Currency Master'!B:B,MATCH(DATE(N1469,MONTH(DATEVALUE(O1469&amp;" 1")),1),'Currency Master'!A:A,0)),IF(C1469="Australia",INDEX('Currency Master'!T:T,MATCH(DATE(N1469,MONTH(DATEVALUE(O1469&amp;" 1")),1),'Currency Master'!A:A,0)),"")))</f>
        <v>43.076000000000001</v>
      </c>
      <c r="J1469" s="3">
        <f t="shared" si="88"/>
        <v>742.33</v>
      </c>
      <c r="K1469" s="3" t="str">
        <f t="shared" si="89"/>
        <v>₹/Kg</v>
      </c>
      <c r="L1469" s="3">
        <v>5.57E-2</v>
      </c>
      <c r="M1469" s="3"/>
      <c r="N1469" s="3">
        <f t="shared" si="90"/>
        <v>2011</v>
      </c>
      <c r="O1469" s="3" t="str">
        <f t="shared" si="91"/>
        <v>February</v>
      </c>
      <c r="P1469" s="3" t="s">
        <v>41</v>
      </c>
      <c r="Q1469" s="3"/>
    </row>
    <row r="1470" spans="1:17" hidden="1" x14ac:dyDescent="0.3">
      <c r="A1470" s="2">
        <v>40544</v>
      </c>
      <c r="B1470" s="3" t="s">
        <v>31</v>
      </c>
      <c r="C1470" s="3" t="s">
        <v>32</v>
      </c>
      <c r="D1470" s="3" t="s">
        <v>38</v>
      </c>
      <c r="E1470" s="3" t="s">
        <v>39</v>
      </c>
      <c r="F1470" s="3">
        <v>703.18</v>
      </c>
      <c r="G1470" s="3" t="s">
        <v>40</v>
      </c>
      <c r="H1470" s="3" t="s">
        <v>17</v>
      </c>
      <c r="I1470" s="3">
        <f>IF(C1470="India",1,IF(C1470="USA",INDEX('Currency Master'!B:B,MATCH(DATE(N1470,MONTH(DATEVALUE(O1470&amp;" 1")),1),'Currency Master'!A:A,0)),IF(C1470="Australia",INDEX('Currency Master'!T:T,MATCH(DATE(N1470,MONTH(DATEVALUE(O1470&amp;" 1")),1),'Currency Master'!A:A,0)),"")))</f>
        <v>41.893000000000001</v>
      </c>
      <c r="J1470" s="3">
        <f t="shared" si="88"/>
        <v>703.18</v>
      </c>
      <c r="K1470" s="3" t="str">
        <f t="shared" si="89"/>
        <v>₹/Kg</v>
      </c>
      <c r="L1470" s="3">
        <v>0.22950000000000001</v>
      </c>
      <c r="M1470" s="3"/>
      <c r="N1470" s="3">
        <f t="shared" si="90"/>
        <v>2011</v>
      </c>
      <c r="O1470" s="3" t="str">
        <f t="shared" si="91"/>
        <v>January</v>
      </c>
      <c r="P1470" s="3" t="s">
        <v>41</v>
      </c>
      <c r="Q1470" s="3"/>
    </row>
    <row r="1471" spans="1:17" hidden="1" x14ac:dyDescent="0.3">
      <c r="A1471" s="2">
        <v>40513</v>
      </c>
      <c r="B1471" s="3" t="s">
        <v>31</v>
      </c>
      <c r="C1471" s="3" t="s">
        <v>32</v>
      </c>
      <c r="D1471" s="3" t="s">
        <v>38</v>
      </c>
      <c r="E1471" s="3" t="s">
        <v>39</v>
      </c>
      <c r="F1471" s="3">
        <v>571.91999999999996</v>
      </c>
      <c r="G1471" s="3" t="s">
        <v>40</v>
      </c>
      <c r="H1471" s="3" t="s">
        <v>17</v>
      </c>
      <c r="I1471" s="3">
        <f>IF(C1471="India",1,IF(C1471="USA",INDEX('Currency Master'!B:B,MATCH(DATE(N1471,MONTH(DATEVALUE(O1471&amp;" 1")),1),'Currency Master'!A:A,0)),IF(C1471="Australia",INDEX('Currency Master'!T:T,MATCH(DATE(N1471,MONTH(DATEVALUE(O1471&amp;" 1")),1),'Currency Master'!A:A,0)),"")))</f>
        <v>41.957999999999998</v>
      </c>
      <c r="J1471" s="3">
        <f t="shared" si="88"/>
        <v>571.91999999999996</v>
      </c>
      <c r="K1471" s="3" t="str">
        <f t="shared" si="89"/>
        <v>₹/Kg</v>
      </c>
      <c r="L1471" s="3">
        <v>9.0200000000000002E-2</v>
      </c>
      <c r="M1471" s="3"/>
      <c r="N1471" s="3">
        <f t="shared" si="90"/>
        <v>2010</v>
      </c>
      <c r="O1471" s="3" t="str">
        <f t="shared" si="91"/>
        <v>December</v>
      </c>
      <c r="P1471" s="3" t="s">
        <v>41</v>
      </c>
      <c r="Q1471" s="3"/>
    </row>
    <row r="1472" spans="1:17" hidden="1" x14ac:dyDescent="0.3">
      <c r="A1472" s="2">
        <v>40483</v>
      </c>
      <c r="B1472" s="3" t="s">
        <v>31</v>
      </c>
      <c r="C1472" s="3" t="s">
        <v>32</v>
      </c>
      <c r="D1472" s="3" t="s">
        <v>38</v>
      </c>
      <c r="E1472" s="3" t="s">
        <v>39</v>
      </c>
      <c r="F1472" s="3">
        <v>524.58000000000004</v>
      </c>
      <c r="G1472" s="3" t="s">
        <v>40</v>
      </c>
      <c r="H1472" s="3" t="s">
        <v>17</v>
      </c>
      <c r="I1472" s="3">
        <f>IF(C1472="India",1,IF(C1472="USA",INDEX('Currency Master'!B:B,MATCH(DATE(N1472,MONTH(DATEVALUE(O1472&amp;" 1")),1),'Currency Master'!A:A,0)),IF(C1472="Australia",INDEX('Currency Master'!T:T,MATCH(DATE(N1472,MONTH(DATEVALUE(O1472&amp;" 1")),1),'Currency Master'!A:A,0)),"")))</f>
        <v>39.014000000000003</v>
      </c>
      <c r="J1472" s="3">
        <f t="shared" si="88"/>
        <v>524.58000000000004</v>
      </c>
      <c r="K1472" s="3" t="str">
        <f t="shared" si="89"/>
        <v>₹/Kg</v>
      </c>
      <c r="L1472" s="3">
        <v>8.8800000000000004E-2</v>
      </c>
      <c r="M1472" s="3"/>
      <c r="N1472" s="3">
        <f t="shared" si="90"/>
        <v>2010</v>
      </c>
      <c r="O1472" s="3" t="str">
        <f t="shared" si="91"/>
        <v>November</v>
      </c>
      <c r="P1472" s="3" t="s">
        <v>41</v>
      </c>
      <c r="Q1472" s="3"/>
    </row>
    <row r="1473" spans="1:17" hidden="1" x14ac:dyDescent="0.3">
      <c r="A1473" s="2">
        <v>40452</v>
      </c>
      <c r="B1473" s="3" t="s">
        <v>31</v>
      </c>
      <c r="C1473" s="3" t="s">
        <v>32</v>
      </c>
      <c r="D1473" s="3" t="s">
        <v>38</v>
      </c>
      <c r="E1473" s="3" t="s">
        <v>39</v>
      </c>
      <c r="F1473" s="3">
        <v>481.81</v>
      </c>
      <c r="G1473" s="3" t="s">
        <v>40</v>
      </c>
      <c r="H1473" s="3" t="s">
        <v>17</v>
      </c>
      <c r="I1473" s="3">
        <f>IF(C1473="India",1,IF(C1473="USA",INDEX('Currency Master'!B:B,MATCH(DATE(N1473,MONTH(DATEVALUE(O1473&amp;" 1")),1),'Currency Master'!A:A,0)),IF(C1473="Australia",INDEX('Currency Master'!T:T,MATCH(DATE(N1473,MONTH(DATEVALUE(O1473&amp;" 1")),1),'Currency Master'!A:A,0)),"")))</f>
        <v>39.25</v>
      </c>
      <c r="J1473" s="3">
        <f t="shared" si="88"/>
        <v>481.81</v>
      </c>
      <c r="K1473" s="3" t="str">
        <f t="shared" si="89"/>
        <v>₹/Kg</v>
      </c>
      <c r="L1473" s="3">
        <v>5.8999999999999997E-2</v>
      </c>
      <c r="M1473" s="3"/>
      <c r="N1473" s="3">
        <f t="shared" si="90"/>
        <v>2010</v>
      </c>
      <c r="O1473" s="3" t="str">
        <f t="shared" si="91"/>
        <v>October</v>
      </c>
      <c r="P1473" s="3" t="s">
        <v>41</v>
      </c>
      <c r="Q1473" s="3"/>
    </row>
    <row r="1474" spans="1:17" hidden="1" x14ac:dyDescent="0.3">
      <c r="A1474" s="2">
        <v>40422</v>
      </c>
      <c r="B1474" s="3" t="s">
        <v>31</v>
      </c>
      <c r="C1474" s="3" t="s">
        <v>32</v>
      </c>
      <c r="D1474" s="3" t="s">
        <v>38</v>
      </c>
      <c r="E1474" s="3" t="s">
        <v>39</v>
      </c>
      <c r="F1474" s="3">
        <v>454.95</v>
      </c>
      <c r="G1474" s="3" t="s">
        <v>40</v>
      </c>
      <c r="H1474" s="3" t="s">
        <v>17</v>
      </c>
      <c r="I1474" s="3">
        <f>IF(C1474="India",1,IF(C1474="USA",INDEX('Currency Master'!B:B,MATCH(DATE(N1474,MONTH(DATEVALUE(O1474&amp;" 1")),1),'Currency Master'!A:A,0)),IF(C1474="Australia",INDEX('Currency Master'!T:T,MATCH(DATE(N1474,MONTH(DATEVALUE(O1474&amp;" 1")),1),'Currency Master'!A:A,0)),"")))</f>
        <v>40.939</v>
      </c>
      <c r="J1474" s="3">
        <f t="shared" si="88"/>
        <v>454.95</v>
      </c>
      <c r="K1474" s="3" t="str">
        <f t="shared" si="89"/>
        <v>₹/Kg</v>
      </c>
      <c r="L1474" s="3">
        <v>4.4200000000000003E-2</v>
      </c>
      <c r="M1474" s="3"/>
      <c r="N1474" s="3">
        <f t="shared" si="90"/>
        <v>2010</v>
      </c>
      <c r="O1474" s="3" t="str">
        <f t="shared" si="91"/>
        <v>September</v>
      </c>
      <c r="P1474" s="3" t="s">
        <v>41</v>
      </c>
      <c r="Q1474" s="3"/>
    </row>
    <row r="1475" spans="1:17" hidden="1" x14ac:dyDescent="0.3">
      <c r="A1475" s="2">
        <v>40391</v>
      </c>
      <c r="B1475" s="3" t="s">
        <v>31</v>
      </c>
      <c r="C1475" s="3" t="s">
        <v>32</v>
      </c>
      <c r="D1475" s="3" t="s">
        <v>38</v>
      </c>
      <c r="E1475" s="3" t="s">
        <v>39</v>
      </c>
      <c r="F1475" s="3">
        <v>435.67</v>
      </c>
      <c r="G1475" s="3" t="s">
        <v>40</v>
      </c>
      <c r="H1475" s="3" t="s">
        <v>17</v>
      </c>
      <c r="I1475" s="3">
        <f>IF(C1475="India",1,IF(C1475="USA",INDEX('Currency Master'!B:B,MATCH(DATE(N1475,MONTH(DATEVALUE(O1475&amp;" 1")),1),'Currency Master'!A:A,0)),IF(C1475="Australia",INDEX('Currency Master'!T:T,MATCH(DATE(N1475,MONTH(DATEVALUE(O1475&amp;" 1")),1),'Currency Master'!A:A,0)),"")))</f>
        <v>41.106000000000002</v>
      </c>
      <c r="J1475" s="3">
        <f t="shared" ref="J1475:J1538" si="92">IF(C1475="India",F1475,IF(C1475="USA",IF(G1475="US Cents/Lb",ROUND(((F1475/100)/0.453592)*I1475*356,0),F1475),IF(C1475="Australia",IF(G1475="AUc/kg",ROUND((F1475/100)*I1475,2),F1475),"")))</f>
        <v>435.67</v>
      </c>
      <c r="K1475" s="3" t="str">
        <f t="shared" ref="K1475:K1538" si="93">IF(C1475="India",G1475,IF(C1475="USA","₹/Candy",IF(C1475="Australia","₹/Kg","")))</f>
        <v>₹/Kg</v>
      </c>
      <c r="L1475" s="3">
        <v>1.21E-2</v>
      </c>
      <c r="M1475" s="3"/>
      <c r="N1475" s="3">
        <f t="shared" ref="N1475:N1538" si="94">YEAR(A1475)</f>
        <v>2010</v>
      </c>
      <c r="O1475" s="3" t="str">
        <f t="shared" ref="O1475:O1538" si="95">TEXT(A1475,"mmmm")</f>
        <v>August</v>
      </c>
      <c r="P1475" s="3" t="s">
        <v>41</v>
      </c>
      <c r="Q1475" s="3"/>
    </row>
    <row r="1476" spans="1:17" hidden="1" x14ac:dyDescent="0.3">
      <c r="A1476" s="2">
        <v>40360</v>
      </c>
      <c r="B1476" s="3" t="s">
        <v>31</v>
      </c>
      <c r="C1476" s="3" t="s">
        <v>32</v>
      </c>
      <c r="D1476" s="3" t="s">
        <v>38</v>
      </c>
      <c r="E1476" s="3" t="s">
        <v>39</v>
      </c>
      <c r="F1476" s="3">
        <v>430.45</v>
      </c>
      <c r="G1476" s="3" t="s">
        <v>40</v>
      </c>
      <c r="H1476" s="3" t="s">
        <v>17</v>
      </c>
      <c r="I1476" s="3">
        <f>IF(C1476="India",1,IF(C1476="USA",INDEX('Currency Master'!B:B,MATCH(DATE(N1476,MONTH(DATEVALUE(O1476&amp;" 1")),1),'Currency Master'!A:A,0)),IF(C1476="Australia",INDEX('Currency Master'!T:T,MATCH(DATE(N1476,MONTH(DATEVALUE(O1476&amp;" 1")),1),'Currency Master'!A:A,0)),"")))</f>
        <v>41.268999999999998</v>
      </c>
      <c r="J1476" s="3">
        <f t="shared" si="92"/>
        <v>430.45</v>
      </c>
      <c r="K1476" s="3" t="str">
        <f t="shared" si="93"/>
        <v>₹/Kg</v>
      </c>
      <c r="L1476" s="3">
        <v>5.3E-3</v>
      </c>
      <c r="M1476" s="3"/>
      <c r="N1476" s="3">
        <f t="shared" si="94"/>
        <v>2010</v>
      </c>
      <c r="O1476" s="3" t="str">
        <f t="shared" si="95"/>
        <v>July</v>
      </c>
      <c r="P1476" s="3" t="s">
        <v>41</v>
      </c>
      <c r="Q1476" s="3"/>
    </row>
    <row r="1477" spans="1:17" hidden="1" x14ac:dyDescent="0.3">
      <c r="A1477" s="2">
        <v>40330</v>
      </c>
      <c r="B1477" s="3" t="s">
        <v>31</v>
      </c>
      <c r="C1477" s="3" t="s">
        <v>32</v>
      </c>
      <c r="D1477" s="3" t="s">
        <v>38</v>
      </c>
      <c r="E1477" s="3" t="s">
        <v>39</v>
      </c>
      <c r="F1477" s="3">
        <v>428.17</v>
      </c>
      <c r="G1477" s="3" t="s">
        <v>40</v>
      </c>
      <c r="H1477" s="3" t="s">
        <v>17</v>
      </c>
      <c r="I1477" s="3">
        <f>IF(C1477="India",1,IF(C1477="USA",INDEX('Currency Master'!B:B,MATCH(DATE(N1477,MONTH(DATEVALUE(O1477&amp;" 1")),1),'Currency Master'!A:A,0)),IF(C1477="Australia",INDEX('Currency Master'!T:T,MATCH(DATE(N1477,MONTH(DATEVALUE(O1477&amp;" 1")),1),'Currency Master'!A:A,0)),"")))</f>
        <v>40.823</v>
      </c>
      <c r="J1477" s="3">
        <f t="shared" si="92"/>
        <v>428.17</v>
      </c>
      <c r="K1477" s="3" t="str">
        <f t="shared" si="93"/>
        <v>₹/Kg</v>
      </c>
      <c r="L1477" s="3">
        <v>1.7399999999999999E-2</v>
      </c>
      <c r="M1477" s="3"/>
      <c r="N1477" s="3">
        <f t="shared" si="94"/>
        <v>2010</v>
      </c>
      <c r="O1477" s="3" t="str">
        <f t="shared" si="95"/>
        <v>June</v>
      </c>
      <c r="P1477" s="3" t="s">
        <v>41</v>
      </c>
      <c r="Q1477" s="3"/>
    </row>
    <row r="1478" spans="1:17" hidden="1" x14ac:dyDescent="0.3">
      <c r="A1478" s="2">
        <v>40299</v>
      </c>
      <c r="B1478" s="3" t="s">
        <v>31</v>
      </c>
      <c r="C1478" s="3" t="s">
        <v>32</v>
      </c>
      <c r="D1478" s="3" t="s">
        <v>38</v>
      </c>
      <c r="E1478" s="3" t="s">
        <v>39</v>
      </c>
      <c r="F1478" s="3">
        <v>420.83</v>
      </c>
      <c r="G1478" s="3" t="s">
        <v>40</v>
      </c>
      <c r="H1478" s="3" t="s">
        <v>17</v>
      </c>
      <c r="I1478" s="3">
        <f>IF(C1478="India",1,IF(C1478="USA",INDEX('Currency Master'!B:B,MATCH(DATE(N1478,MONTH(DATEVALUE(O1478&amp;" 1")),1),'Currency Master'!A:A,0)),IF(C1478="Australia",INDEX('Currency Master'!T:T,MATCH(DATE(N1478,MONTH(DATEVALUE(O1478&amp;" 1")),1),'Currency Master'!A:A,0)),"")))</f>
        <v>41.646000000000001</v>
      </c>
      <c r="J1478" s="3">
        <f t="shared" si="92"/>
        <v>420.83</v>
      </c>
      <c r="K1478" s="3" t="str">
        <f t="shared" si="93"/>
        <v>₹/Kg</v>
      </c>
      <c r="L1478" s="3">
        <v>-4.65E-2</v>
      </c>
      <c r="M1478" s="3"/>
      <c r="N1478" s="3">
        <f t="shared" si="94"/>
        <v>2010</v>
      </c>
      <c r="O1478" s="3" t="str">
        <f t="shared" si="95"/>
        <v>May</v>
      </c>
      <c r="P1478" s="3" t="s">
        <v>41</v>
      </c>
      <c r="Q1478" s="3"/>
    </row>
    <row r="1479" spans="1:17" hidden="1" x14ac:dyDescent="0.3">
      <c r="A1479" s="2">
        <v>40269</v>
      </c>
      <c r="B1479" s="3" t="s">
        <v>31</v>
      </c>
      <c r="C1479" s="3" t="s">
        <v>32</v>
      </c>
      <c r="D1479" s="3" t="s">
        <v>38</v>
      </c>
      <c r="E1479" s="3" t="s">
        <v>39</v>
      </c>
      <c r="F1479" s="3">
        <v>441.35</v>
      </c>
      <c r="G1479" s="3" t="s">
        <v>40</v>
      </c>
      <c r="H1479" s="3" t="s">
        <v>17</v>
      </c>
      <c r="I1479" s="3">
        <f>IF(C1479="India",1,IF(C1479="USA",INDEX('Currency Master'!B:B,MATCH(DATE(N1479,MONTH(DATEVALUE(O1479&amp;" 1")),1),'Currency Master'!A:A,0)),IF(C1479="Australia",INDEX('Currency Master'!T:T,MATCH(DATE(N1479,MONTH(DATEVALUE(O1479&amp;" 1")),1),'Currency Master'!A:A,0)),"")))</f>
        <v>42.587000000000003</v>
      </c>
      <c r="J1479" s="3">
        <f t="shared" si="92"/>
        <v>441.35</v>
      </c>
      <c r="K1479" s="3" t="str">
        <f t="shared" si="93"/>
        <v>₹/Kg</v>
      </c>
      <c r="L1479" s="3">
        <v>-3.3700000000000001E-2</v>
      </c>
      <c r="M1479" s="3"/>
      <c r="N1479" s="3">
        <f t="shared" si="94"/>
        <v>2010</v>
      </c>
      <c r="O1479" s="3" t="str">
        <f t="shared" si="95"/>
        <v>April</v>
      </c>
      <c r="P1479" s="3" t="s">
        <v>41</v>
      </c>
      <c r="Q1479" s="3"/>
    </row>
    <row r="1480" spans="1:17" hidden="1" x14ac:dyDescent="0.3">
      <c r="A1480" s="2">
        <v>40238</v>
      </c>
      <c r="B1480" s="3" t="s">
        <v>31</v>
      </c>
      <c r="C1480" s="3" t="s">
        <v>32</v>
      </c>
      <c r="D1480" s="3" t="s">
        <v>38</v>
      </c>
      <c r="E1480" s="3" t="s">
        <v>39</v>
      </c>
      <c r="F1480" s="3">
        <v>456.74</v>
      </c>
      <c r="G1480" s="3" t="s">
        <v>40</v>
      </c>
      <c r="H1480" s="3" t="s">
        <v>17</v>
      </c>
      <c r="I1480" s="3">
        <f>IF(C1480="India",1,IF(C1480="USA",INDEX('Currency Master'!B:B,MATCH(DATE(N1480,MONTH(DATEVALUE(O1480&amp;" 1")),1),'Currency Master'!A:A,0)),IF(C1480="Australia",INDEX('Currency Master'!T:T,MATCH(DATE(N1480,MONTH(DATEVALUE(O1480&amp;" 1")),1),'Currency Master'!A:A,0)),"")))</f>
        <v>42.201999999999998</v>
      </c>
      <c r="J1480" s="3">
        <f t="shared" si="92"/>
        <v>456.74</v>
      </c>
      <c r="K1480" s="3" t="str">
        <f t="shared" si="93"/>
        <v>₹/Kg</v>
      </c>
      <c r="L1480" s="3">
        <v>1.35E-2</v>
      </c>
      <c r="M1480" s="3"/>
      <c r="N1480" s="3">
        <f t="shared" si="94"/>
        <v>2010</v>
      </c>
      <c r="O1480" s="3" t="str">
        <f t="shared" si="95"/>
        <v>March</v>
      </c>
      <c r="P1480" s="3" t="s">
        <v>41</v>
      </c>
      <c r="Q1480" s="3"/>
    </row>
    <row r="1481" spans="1:17" hidden="1" x14ac:dyDescent="0.3">
      <c r="A1481" s="2">
        <v>40210</v>
      </c>
      <c r="B1481" s="3" t="s">
        <v>31</v>
      </c>
      <c r="C1481" s="3" t="s">
        <v>32</v>
      </c>
      <c r="D1481" s="3" t="s">
        <v>38</v>
      </c>
      <c r="E1481" s="3" t="s">
        <v>39</v>
      </c>
      <c r="F1481" s="3">
        <v>450.66</v>
      </c>
      <c r="G1481" s="3" t="s">
        <v>40</v>
      </c>
      <c r="H1481" s="3" t="s">
        <v>17</v>
      </c>
      <c r="I1481" s="3">
        <f>IF(C1481="India",1,IF(C1481="USA",INDEX('Currency Master'!B:B,MATCH(DATE(N1481,MONTH(DATEVALUE(O1481&amp;" 1")),1),'Currency Master'!A:A,0)),IF(C1481="Australia",INDEX('Currency Master'!T:T,MATCH(DATE(N1481,MONTH(DATEVALUE(O1481&amp;" 1")),1),'Currency Master'!A:A,0)),"")))</f>
        <v>42.180999999999997</v>
      </c>
      <c r="J1481" s="3">
        <f t="shared" si="92"/>
        <v>450.66</v>
      </c>
      <c r="K1481" s="3" t="str">
        <f t="shared" si="93"/>
        <v>₹/Kg</v>
      </c>
      <c r="L1481" s="3">
        <v>-2.1899999999999999E-2</v>
      </c>
      <c r="M1481" s="3"/>
      <c r="N1481" s="3">
        <f t="shared" si="94"/>
        <v>2010</v>
      </c>
      <c r="O1481" s="3" t="str">
        <f t="shared" si="95"/>
        <v>February</v>
      </c>
      <c r="P1481" s="3" t="s">
        <v>41</v>
      </c>
      <c r="Q1481" s="3"/>
    </row>
    <row r="1482" spans="1:17" hidden="1" x14ac:dyDescent="0.3">
      <c r="A1482" s="2">
        <v>40179</v>
      </c>
      <c r="B1482" s="3" t="s">
        <v>31</v>
      </c>
      <c r="C1482" s="3" t="s">
        <v>32</v>
      </c>
      <c r="D1482" s="3" t="s">
        <v>38</v>
      </c>
      <c r="E1482" s="3" t="s">
        <v>39</v>
      </c>
      <c r="F1482" s="3">
        <v>460.75</v>
      </c>
      <c r="G1482" s="3" t="s">
        <v>40</v>
      </c>
      <c r="H1482" s="3" t="s">
        <v>17</v>
      </c>
      <c r="I1482" s="3">
        <f>IF(C1482="India",1,IF(C1482="USA",INDEX('Currency Master'!B:B,MATCH(DATE(N1482,MONTH(DATEVALUE(O1482&amp;" 1")),1),'Currency Master'!A:A,0)),IF(C1482="Australia",INDEX('Currency Master'!T:T,MATCH(DATE(N1482,MONTH(DATEVALUE(O1482&amp;" 1")),1),'Currency Master'!A:A,0)),"")))</f>
        <v>41.113999999999997</v>
      </c>
      <c r="J1482" s="3">
        <f t="shared" si="92"/>
        <v>460.75</v>
      </c>
      <c r="K1482" s="3" t="str">
        <f t="shared" si="93"/>
        <v>₹/Kg</v>
      </c>
      <c r="L1482" s="3">
        <v>1.8599999999999998E-2</v>
      </c>
      <c r="M1482" s="3"/>
      <c r="N1482" s="3">
        <f t="shared" si="94"/>
        <v>2010</v>
      </c>
      <c r="O1482" s="3" t="str">
        <f t="shared" si="95"/>
        <v>January</v>
      </c>
      <c r="P1482" s="3" t="s">
        <v>41</v>
      </c>
      <c r="Q1482" s="3"/>
    </row>
    <row r="1483" spans="1:17" hidden="1" x14ac:dyDescent="0.3">
      <c r="A1483" s="2">
        <v>40148</v>
      </c>
      <c r="B1483" s="3" t="s">
        <v>31</v>
      </c>
      <c r="C1483" s="3" t="s">
        <v>32</v>
      </c>
      <c r="D1483" s="3" t="s">
        <v>38</v>
      </c>
      <c r="E1483" s="3" t="s">
        <v>39</v>
      </c>
      <c r="F1483" s="3">
        <v>452.35</v>
      </c>
      <c r="G1483" s="3" t="s">
        <v>40</v>
      </c>
      <c r="H1483" s="3" t="s">
        <v>17</v>
      </c>
      <c r="I1483" s="3">
        <f>IF(C1483="India",1,IF(C1483="USA",INDEX('Currency Master'!B:B,MATCH(DATE(N1483,MONTH(DATEVALUE(O1483&amp;" 1")),1),'Currency Master'!A:A,0)),IF(C1483="Australia",INDEX('Currency Master'!T:T,MATCH(DATE(N1483,MONTH(DATEVALUE(O1483&amp;" 1")),1),'Currency Master'!A:A,0)),"")))</f>
        <v>39.950000000000003</v>
      </c>
      <c r="J1483" s="3">
        <f t="shared" si="92"/>
        <v>452.35</v>
      </c>
      <c r="K1483" s="3" t="str">
        <f t="shared" si="93"/>
        <v>₹/Kg</v>
      </c>
      <c r="L1483" s="3">
        <v>1.8200000000000001E-2</v>
      </c>
      <c r="M1483" s="3"/>
      <c r="N1483" s="3">
        <f t="shared" si="94"/>
        <v>2009</v>
      </c>
      <c r="O1483" s="3" t="str">
        <f t="shared" si="95"/>
        <v>December</v>
      </c>
      <c r="P1483" s="3" t="s">
        <v>41</v>
      </c>
      <c r="Q1483" s="3"/>
    </row>
    <row r="1484" spans="1:17" hidden="1" x14ac:dyDescent="0.3">
      <c r="A1484" s="2">
        <v>40118</v>
      </c>
      <c r="B1484" s="3" t="s">
        <v>31</v>
      </c>
      <c r="C1484" s="3" t="s">
        <v>32</v>
      </c>
      <c r="D1484" s="3" t="s">
        <v>38</v>
      </c>
      <c r="E1484" s="3" t="s">
        <v>39</v>
      </c>
      <c r="F1484" s="3">
        <v>444.25</v>
      </c>
      <c r="G1484" s="3" t="s">
        <v>40</v>
      </c>
      <c r="H1484" s="3" t="s">
        <v>17</v>
      </c>
      <c r="I1484" s="3">
        <f>IF(C1484="India",1,IF(C1484="USA",INDEX('Currency Master'!B:B,MATCH(DATE(N1484,MONTH(DATEVALUE(O1484&amp;" 1")),1),'Currency Master'!A:A,0)),IF(C1484="Australia",INDEX('Currency Master'!T:T,MATCH(DATE(N1484,MONTH(DATEVALUE(O1484&amp;" 1")),1),'Currency Master'!A:A,0)),"")))</f>
        <v>38.518000000000001</v>
      </c>
      <c r="J1484" s="3">
        <f t="shared" si="92"/>
        <v>444.25</v>
      </c>
      <c r="K1484" s="3" t="str">
        <f t="shared" si="93"/>
        <v>₹/Kg</v>
      </c>
      <c r="L1484" s="3">
        <v>6.3E-3</v>
      </c>
      <c r="M1484" s="3"/>
      <c r="N1484" s="3">
        <f t="shared" si="94"/>
        <v>2009</v>
      </c>
      <c r="O1484" s="3" t="str">
        <f t="shared" si="95"/>
        <v>November</v>
      </c>
      <c r="P1484" s="3" t="s">
        <v>41</v>
      </c>
      <c r="Q1484" s="3"/>
    </row>
    <row r="1485" spans="1:17" hidden="1" x14ac:dyDescent="0.3">
      <c r="A1485" s="2">
        <v>40087</v>
      </c>
      <c r="B1485" s="3" t="s">
        <v>31</v>
      </c>
      <c r="C1485" s="3" t="s">
        <v>32</v>
      </c>
      <c r="D1485" s="3" t="s">
        <v>38</v>
      </c>
      <c r="E1485" s="3" t="s">
        <v>39</v>
      </c>
      <c r="F1485" s="3">
        <v>441.44</v>
      </c>
      <c r="G1485" s="3" t="s">
        <v>40</v>
      </c>
      <c r="H1485" s="3" t="s">
        <v>17</v>
      </c>
      <c r="I1485" s="3">
        <f>IF(C1485="India",1,IF(C1485="USA",INDEX('Currency Master'!B:B,MATCH(DATE(N1485,MONTH(DATEVALUE(O1485&amp;" 1")),1),'Currency Master'!A:A,0)),IF(C1485="Australia",INDEX('Currency Master'!T:T,MATCH(DATE(N1485,MONTH(DATEVALUE(O1485&amp;" 1")),1),'Currency Master'!A:A,0)),"")))</f>
        <v>37.752000000000002</v>
      </c>
      <c r="J1485" s="3">
        <f t="shared" si="92"/>
        <v>441.44</v>
      </c>
      <c r="K1485" s="3" t="str">
        <f t="shared" si="93"/>
        <v>₹/Kg</v>
      </c>
      <c r="L1485" s="3">
        <v>5.04E-2</v>
      </c>
      <c r="M1485" s="3"/>
      <c r="N1485" s="3">
        <f t="shared" si="94"/>
        <v>2009</v>
      </c>
      <c r="O1485" s="3" t="str">
        <f t="shared" si="95"/>
        <v>October</v>
      </c>
      <c r="P1485" s="3" t="s">
        <v>41</v>
      </c>
      <c r="Q1485" s="3"/>
    </row>
    <row r="1486" spans="1:17" hidden="1" x14ac:dyDescent="0.3">
      <c r="A1486" s="2">
        <v>40057</v>
      </c>
      <c r="B1486" s="3" t="s">
        <v>31</v>
      </c>
      <c r="C1486" s="3" t="s">
        <v>32</v>
      </c>
      <c r="D1486" s="3" t="s">
        <v>38</v>
      </c>
      <c r="E1486" s="3" t="s">
        <v>39</v>
      </c>
      <c r="F1486" s="3">
        <v>420.25</v>
      </c>
      <c r="G1486" s="3" t="s">
        <v>40</v>
      </c>
      <c r="H1486" s="3" t="s">
        <v>17</v>
      </c>
      <c r="I1486" s="3">
        <f>IF(C1486="India",1,IF(C1486="USA",INDEX('Currency Master'!B:B,MATCH(DATE(N1486,MONTH(DATEVALUE(O1486&amp;" 1")),1),'Currency Master'!A:A,0)),IF(C1486="Australia",INDEX('Currency Master'!T:T,MATCH(DATE(N1486,MONTH(DATEVALUE(O1486&amp;" 1")),1),'Currency Master'!A:A,0)),"")))</f>
        <v>36.06</v>
      </c>
      <c r="J1486" s="3">
        <f t="shared" si="92"/>
        <v>420.25</v>
      </c>
      <c r="K1486" s="3" t="str">
        <f t="shared" si="93"/>
        <v>₹/Kg</v>
      </c>
      <c r="L1486" s="3">
        <v>5.7299999999999997E-2</v>
      </c>
      <c r="M1486" s="3"/>
      <c r="N1486" s="3">
        <f t="shared" si="94"/>
        <v>2009</v>
      </c>
      <c r="O1486" s="3" t="str">
        <f t="shared" si="95"/>
        <v>September</v>
      </c>
      <c r="P1486" s="3" t="s">
        <v>41</v>
      </c>
      <c r="Q1486" s="3"/>
    </row>
    <row r="1487" spans="1:17" hidden="1" x14ac:dyDescent="0.3">
      <c r="A1487" s="2">
        <v>40026</v>
      </c>
      <c r="B1487" s="3" t="s">
        <v>31</v>
      </c>
      <c r="C1487" s="3" t="s">
        <v>32</v>
      </c>
      <c r="D1487" s="3" t="s">
        <v>38</v>
      </c>
      <c r="E1487" s="3" t="s">
        <v>39</v>
      </c>
      <c r="F1487" s="3">
        <v>397.46</v>
      </c>
      <c r="G1487" s="3" t="s">
        <v>40</v>
      </c>
      <c r="H1487" s="3" t="s">
        <v>17</v>
      </c>
      <c r="I1487" s="3">
        <f>IF(C1487="India",1,IF(C1487="USA",INDEX('Currency Master'!B:B,MATCH(DATE(N1487,MONTH(DATEVALUE(O1487&amp;" 1")),1),'Currency Master'!A:A,0)),IF(C1487="Australia",INDEX('Currency Master'!T:T,MATCH(DATE(N1487,MONTH(DATEVALUE(O1487&amp;" 1")),1),'Currency Master'!A:A,0)),"")))</f>
        <v>35.002000000000002</v>
      </c>
      <c r="J1487" s="3">
        <f t="shared" si="92"/>
        <v>397.46</v>
      </c>
      <c r="K1487" s="3" t="str">
        <f t="shared" si="93"/>
        <v>₹/Kg</v>
      </c>
      <c r="L1487" s="3">
        <v>7.2999999999999995E-2</v>
      </c>
      <c r="M1487" s="3"/>
      <c r="N1487" s="3">
        <f t="shared" si="94"/>
        <v>2009</v>
      </c>
      <c r="O1487" s="3" t="str">
        <f t="shared" si="95"/>
        <v>August</v>
      </c>
      <c r="P1487" s="3" t="s">
        <v>41</v>
      </c>
      <c r="Q1487" s="3"/>
    </row>
    <row r="1488" spans="1:17" hidden="1" x14ac:dyDescent="0.3">
      <c r="A1488" s="2">
        <v>39995</v>
      </c>
      <c r="B1488" s="3" t="s">
        <v>31</v>
      </c>
      <c r="C1488" s="3" t="s">
        <v>32</v>
      </c>
      <c r="D1488" s="3" t="s">
        <v>38</v>
      </c>
      <c r="E1488" s="3" t="s">
        <v>39</v>
      </c>
      <c r="F1488" s="3">
        <v>370.41</v>
      </c>
      <c r="G1488" s="3" t="s">
        <v>40</v>
      </c>
      <c r="H1488" s="3" t="s">
        <v>17</v>
      </c>
      <c r="I1488" s="3">
        <f>IF(C1488="India",1,IF(C1488="USA",INDEX('Currency Master'!B:B,MATCH(DATE(N1488,MONTH(DATEVALUE(O1488&amp;" 1")),1),'Currency Master'!A:A,0)),IF(C1488="Australia",INDEX('Currency Master'!T:T,MATCH(DATE(N1488,MONTH(DATEVALUE(O1488&amp;" 1")),1),'Currency Master'!A:A,0)),"")))</f>
        <v>32.636000000000003</v>
      </c>
      <c r="J1488" s="3">
        <f t="shared" si="92"/>
        <v>370.41</v>
      </c>
      <c r="K1488" s="3" t="str">
        <f t="shared" si="93"/>
        <v>₹/Kg</v>
      </c>
      <c r="L1488" s="3">
        <v>4.53E-2</v>
      </c>
      <c r="M1488" s="3"/>
      <c r="N1488" s="3">
        <f t="shared" si="94"/>
        <v>2009</v>
      </c>
      <c r="O1488" s="3" t="str">
        <f t="shared" si="95"/>
        <v>July</v>
      </c>
      <c r="P1488" s="3" t="s">
        <v>41</v>
      </c>
      <c r="Q1488" s="3"/>
    </row>
    <row r="1489" spans="1:17" hidden="1" x14ac:dyDescent="0.3">
      <c r="A1489" s="2">
        <v>39965</v>
      </c>
      <c r="B1489" s="3" t="s">
        <v>31</v>
      </c>
      <c r="C1489" s="3" t="s">
        <v>32</v>
      </c>
      <c r="D1489" s="3" t="s">
        <v>38</v>
      </c>
      <c r="E1489" s="3" t="s">
        <v>39</v>
      </c>
      <c r="F1489" s="3">
        <v>354.35</v>
      </c>
      <c r="G1489" s="3" t="s">
        <v>40</v>
      </c>
      <c r="H1489" s="3" t="s">
        <v>17</v>
      </c>
      <c r="I1489" s="3">
        <f>IF(C1489="India",1,IF(C1489="USA",INDEX('Currency Master'!B:B,MATCH(DATE(N1489,MONTH(DATEVALUE(O1489&amp;" 1")),1),'Currency Master'!A:A,0)),IF(C1489="Australia",INDEX('Currency Master'!T:T,MATCH(DATE(N1489,MONTH(DATEVALUE(O1489&amp;" 1")),1),'Currency Master'!A:A,0)),"")))</f>
        <v>31.024000000000001</v>
      </c>
      <c r="J1489" s="3">
        <f t="shared" si="92"/>
        <v>354.35</v>
      </c>
      <c r="K1489" s="3" t="str">
        <f t="shared" si="93"/>
        <v>₹/Kg</v>
      </c>
      <c r="L1489" s="3">
        <v>-4.1000000000000002E-2</v>
      </c>
      <c r="M1489" s="3"/>
      <c r="N1489" s="3">
        <f t="shared" si="94"/>
        <v>2009</v>
      </c>
      <c r="O1489" s="3" t="str">
        <f t="shared" si="95"/>
        <v>June</v>
      </c>
      <c r="P1489" s="3" t="s">
        <v>41</v>
      </c>
      <c r="Q1489" s="3"/>
    </row>
    <row r="1490" spans="1:17" hidden="1" x14ac:dyDescent="0.3">
      <c r="A1490" s="2">
        <v>39934</v>
      </c>
      <c r="B1490" s="3" t="s">
        <v>31</v>
      </c>
      <c r="C1490" s="3" t="s">
        <v>32</v>
      </c>
      <c r="D1490" s="3" t="s">
        <v>38</v>
      </c>
      <c r="E1490" s="3" t="s">
        <v>39</v>
      </c>
      <c r="F1490" s="3">
        <v>369.51</v>
      </c>
      <c r="G1490" s="3" t="s">
        <v>40</v>
      </c>
      <c r="H1490" s="3" t="s">
        <v>17</v>
      </c>
      <c r="I1490" s="3">
        <f>IF(C1490="India",1,IF(C1490="USA",INDEX('Currency Master'!B:B,MATCH(DATE(N1490,MONTH(DATEVALUE(O1490&amp;" 1")),1),'Currency Master'!A:A,0)),IF(C1490="Australia",INDEX('Currency Master'!T:T,MATCH(DATE(N1490,MONTH(DATEVALUE(O1490&amp;" 1")),1),'Currency Master'!A:A,0)),"")))</f>
        <v>34.401000000000003</v>
      </c>
      <c r="J1490" s="3">
        <f t="shared" si="92"/>
        <v>369.51</v>
      </c>
      <c r="K1490" s="3" t="str">
        <f t="shared" si="93"/>
        <v>₹/Kg</v>
      </c>
      <c r="L1490" s="3">
        <v>7.4399999999999994E-2</v>
      </c>
      <c r="M1490" s="3"/>
      <c r="N1490" s="3">
        <f t="shared" si="94"/>
        <v>2009</v>
      </c>
      <c r="O1490" s="3" t="str">
        <f t="shared" si="95"/>
        <v>May</v>
      </c>
      <c r="P1490" s="3" t="s">
        <v>41</v>
      </c>
      <c r="Q1490" s="3"/>
    </row>
    <row r="1491" spans="1:17" hidden="1" x14ac:dyDescent="0.3">
      <c r="A1491" s="2">
        <v>39904</v>
      </c>
      <c r="B1491" s="3" t="s">
        <v>31</v>
      </c>
      <c r="C1491" s="3" t="s">
        <v>32</v>
      </c>
      <c r="D1491" s="3" t="s">
        <v>38</v>
      </c>
      <c r="E1491" s="3" t="s">
        <v>39</v>
      </c>
      <c r="F1491" s="3">
        <v>343.92</v>
      </c>
      <c r="G1491" s="3" t="s">
        <v>40</v>
      </c>
      <c r="H1491" s="3" t="s">
        <v>17</v>
      </c>
      <c r="I1491" s="3">
        <f>IF(C1491="India",1,IF(C1491="USA",INDEX('Currency Master'!B:B,MATCH(DATE(N1491,MONTH(DATEVALUE(O1491&amp;" 1")),1),'Currency Master'!A:A,0)),IF(C1491="Australia",INDEX('Currency Master'!T:T,MATCH(DATE(N1491,MONTH(DATEVALUE(O1491&amp;" 1")),1),'Currency Master'!A:A,0)),"")))</f>
        <v>32.429000000000002</v>
      </c>
      <c r="J1491" s="3">
        <f t="shared" si="92"/>
        <v>343.92</v>
      </c>
      <c r="K1491" s="3" t="str">
        <f t="shared" si="93"/>
        <v>₹/Kg</v>
      </c>
      <c r="L1491" s="3">
        <v>8.6900000000000005E-2</v>
      </c>
      <c r="M1491" s="3"/>
      <c r="N1491" s="3">
        <f t="shared" si="94"/>
        <v>2009</v>
      </c>
      <c r="O1491" s="3" t="str">
        <f t="shared" si="95"/>
        <v>April</v>
      </c>
      <c r="P1491" s="3" t="s">
        <v>41</v>
      </c>
      <c r="Q1491" s="3"/>
    </row>
    <row r="1492" spans="1:17" hidden="1" x14ac:dyDescent="0.3">
      <c r="A1492" s="2">
        <v>39873</v>
      </c>
      <c r="B1492" s="3" t="s">
        <v>31</v>
      </c>
      <c r="C1492" s="3" t="s">
        <v>32</v>
      </c>
      <c r="D1492" s="3" t="s">
        <v>38</v>
      </c>
      <c r="E1492" s="3" t="s">
        <v>39</v>
      </c>
      <c r="F1492" s="3">
        <v>316.41000000000003</v>
      </c>
      <c r="G1492" s="3" t="s">
        <v>40</v>
      </c>
      <c r="H1492" s="3" t="s">
        <v>17</v>
      </c>
      <c r="I1492" s="3">
        <f>IF(C1492="India",1,IF(C1492="USA",INDEX('Currency Master'!B:B,MATCH(DATE(N1492,MONTH(DATEVALUE(O1492&amp;" 1")),1),'Currency Master'!A:A,0)),IF(C1492="Australia",INDEX('Currency Master'!T:T,MATCH(DATE(N1492,MONTH(DATEVALUE(O1492&amp;" 1")),1),'Currency Master'!A:A,0)),"")))</f>
        <v>32.941000000000003</v>
      </c>
      <c r="J1492" s="3">
        <f t="shared" si="92"/>
        <v>316.41000000000003</v>
      </c>
      <c r="K1492" s="3" t="str">
        <f t="shared" si="93"/>
        <v>₹/Kg</v>
      </c>
      <c r="L1492" s="3">
        <v>9.6500000000000002E-2</v>
      </c>
      <c r="M1492" s="3"/>
      <c r="N1492" s="3">
        <f t="shared" si="94"/>
        <v>2009</v>
      </c>
      <c r="O1492" s="3" t="str">
        <f t="shared" si="95"/>
        <v>March</v>
      </c>
      <c r="P1492" s="3" t="s">
        <v>41</v>
      </c>
      <c r="Q1492" s="3"/>
    </row>
    <row r="1493" spans="1:17" hidden="1" x14ac:dyDescent="0.3">
      <c r="A1493" s="2">
        <v>39845</v>
      </c>
      <c r="B1493" s="3" t="s">
        <v>31</v>
      </c>
      <c r="C1493" s="3" t="s">
        <v>32</v>
      </c>
      <c r="D1493" s="3" t="s">
        <v>38</v>
      </c>
      <c r="E1493" s="3" t="s">
        <v>39</v>
      </c>
      <c r="F1493" s="3">
        <v>288.57</v>
      </c>
      <c r="G1493" s="3" t="s">
        <v>40</v>
      </c>
      <c r="H1493" s="3" t="s">
        <v>17</v>
      </c>
      <c r="I1493" s="3">
        <f>IF(C1493="India",1,IF(C1493="USA",INDEX('Currency Master'!B:B,MATCH(DATE(N1493,MONTH(DATEVALUE(O1493&amp;" 1")),1),'Currency Master'!A:A,0)),IF(C1493="Australia",INDEX('Currency Master'!T:T,MATCH(DATE(N1493,MONTH(DATEVALUE(O1493&amp;" 1")),1),'Currency Master'!A:A,0)),"")))</f>
        <v>37.192</v>
      </c>
      <c r="J1493" s="3">
        <f t="shared" si="92"/>
        <v>288.57</v>
      </c>
      <c r="K1493" s="3" t="str">
        <f t="shared" si="93"/>
        <v>₹/Kg</v>
      </c>
      <c r="L1493" s="3">
        <v>-5.21E-2</v>
      </c>
      <c r="M1493" s="3"/>
      <c r="N1493" s="3">
        <f t="shared" si="94"/>
        <v>2009</v>
      </c>
      <c r="O1493" s="3" t="str">
        <f t="shared" si="95"/>
        <v>February</v>
      </c>
      <c r="P1493" s="3" t="s">
        <v>41</v>
      </c>
      <c r="Q1493" s="3"/>
    </row>
    <row r="1494" spans="1:17" hidden="1" x14ac:dyDescent="0.3">
      <c r="A1494" s="2">
        <v>39814</v>
      </c>
      <c r="B1494" s="3" t="s">
        <v>31</v>
      </c>
      <c r="C1494" s="3" t="s">
        <v>32</v>
      </c>
      <c r="D1494" s="3" t="s">
        <v>38</v>
      </c>
      <c r="E1494" s="3" t="s">
        <v>39</v>
      </c>
      <c r="F1494" s="3">
        <v>304.43</v>
      </c>
      <c r="G1494" s="3" t="s">
        <v>40</v>
      </c>
      <c r="H1494" s="3" t="s">
        <v>17</v>
      </c>
      <c r="I1494" s="3">
        <f>IF(C1494="India",1,IF(C1494="USA",INDEX('Currency Master'!B:B,MATCH(DATE(N1494,MONTH(DATEVALUE(O1494&amp;" 1")),1),'Currency Master'!A:A,0)),IF(C1494="Australia",INDEX('Currency Master'!T:T,MATCH(DATE(N1494,MONTH(DATEVALUE(O1494&amp;" 1")),1),'Currency Master'!A:A,0)),"")))</f>
        <v>37.651000000000003</v>
      </c>
      <c r="J1494" s="3">
        <f t="shared" si="92"/>
        <v>304.43</v>
      </c>
      <c r="K1494" s="3" t="str">
        <f t="shared" si="93"/>
        <v>₹/Kg</v>
      </c>
      <c r="L1494" s="3">
        <v>-6.08E-2</v>
      </c>
      <c r="M1494" s="3"/>
      <c r="N1494" s="3">
        <f t="shared" si="94"/>
        <v>2009</v>
      </c>
      <c r="O1494" s="3" t="str">
        <f t="shared" si="95"/>
        <v>January</v>
      </c>
      <c r="P1494" s="3" t="s">
        <v>41</v>
      </c>
      <c r="Q1494" s="3"/>
    </row>
    <row r="1495" spans="1:17" hidden="1" x14ac:dyDescent="0.3">
      <c r="A1495" s="2">
        <v>39783</v>
      </c>
      <c r="B1495" s="3" t="s">
        <v>31</v>
      </c>
      <c r="C1495" s="3" t="s">
        <v>32</v>
      </c>
      <c r="D1495" s="3" t="s">
        <v>38</v>
      </c>
      <c r="E1495" s="3" t="s">
        <v>39</v>
      </c>
      <c r="F1495" s="3">
        <v>324.14</v>
      </c>
      <c r="G1495" s="3" t="s">
        <v>40</v>
      </c>
      <c r="H1495" s="3" t="s">
        <v>17</v>
      </c>
      <c r="I1495" s="3">
        <f>IF(C1495="India",1,IF(C1495="USA",INDEX('Currency Master'!B:B,MATCH(DATE(N1495,MONTH(DATEVALUE(O1495&amp;" 1")),1),'Currency Master'!A:A,0)),IF(C1495="Australia",INDEX('Currency Master'!T:T,MATCH(DATE(N1495,MONTH(DATEVALUE(O1495&amp;" 1")),1),'Currency Master'!A:A,0)),"")))</f>
        <v>40.012999999999998</v>
      </c>
      <c r="J1495" s="3">
        <f t="shared" si="92"/>
        <v>324.14</v>
      </c>
      <c r="K1495" s="3" t="str">
        <f t="shared" si="93"/>
        <v>₹/Kg</v>
      </c>
      <c r="L1495" s="3">
        <v>2.3E-2</v>
      </c>
      <c r="M1495" s="3"/>
      <c r="N1495" s="3">
        <f t="shared" si="94"/>
        <v>2008</v>
      </c>
      <c r="O1495" s="3" t="str">
        <f t="shared" si="95"/>
        <v>December</v>
      </c>
      <c r="P1495" s="3" t="s">
        <v>41</v>
      </c>
      <c r="Q1495" s="3"/>
    </row>
    <row r="1496" spans="1:17" hidden="1" x14ac:dyDescent="0.3">
      <c r="A1496" s="2">
        <v>39753</v>
      </c>
      <c r="B1496" s="3" t="s">
        <v>31</v>
      </c>
      <c r="C1496" s="3" t="s">
        <v>32</v>
      </c>
      <c r="D1496" s="3" t="s">
        <v>38</v>
      </c>
      <c r="E1496" s="3" t="s">
        <v>39</v>
      </c>
      <c r="F1496" s="3">
        <v>316.85000000000002</v>
      </c>
      <c r="G1496" s="3" t="s">
        <v>40</v>
      </c>
      <c r="H1496" s="3" t="s">
        <v>17</v>
      </c>
      <c r="I1496" s="3">
        <f>IF(C1496="India",1,IF(C1496="USA",INDEX('Currency Master'!B:B,MATCH(DATE(N1496,MONTH(DATEVALUE(O1496&amp;" 1")),1),'Currency Master'!A:A,0)),IF(C1496="Australia",INDEX('Currency Master'!T:T,MATCH(DATE(N1496,MONTH(DATEVALUE(O1496&amp;" 1")),1),'Currency Master'!A:A,0)),"")))</f>
        <v>41.128999999999998</v>
      </c>
      <c r="J1496" s="3">
        <f t="shared" si="92"/>
        <v>316.85000000000002</v>
      </c>
      <c r="K1496" s="3" t="str">
        <f t="shared" si="93"/>
        <v>₹/Kg</v>
      </c>
      <c r="L1496" s="3">
        <v>-0.1137</v>
      </c>
      <c r="M1496" s="3"/>
      <c r="N1496" s="3">
        <f t="shared" si="94"/>
        <v>2008</v>
      </c>
      <c r="O1496" s="3" t="str">
        <f t="shared" si="95"/>
        <v>November</v>
      </c>
      <c r="P1496" s="3" t="s">
        <v>41</v>
      </c>
      <c r="Q1496" s="3"/>
    </row>
    <row r="1497" spans="1:17" hidden="1" x14ac:dyDescent="0.3">
      <c r="A1497" s="2">
        <v>39722</v>
      </c>
      <c r="B1497" s="3" t="s">
        <v>31</v>
      </c>
      <c r="C1497" s="3" t="s">
        <v>32</v>
      </c>
      <c r="D1497" s="3" t="s">
        <v>38</v>
      </c>
      <c r="E1497" s="3" t="s">
        <v>39</v>
      </c>
      <c r="F1497" s="3">
        <v>357.48</v>
      </c>
      <c r="G1497" s="3" t="s">
        <v>40</v>
      </c>
      <c r="H1497" s="3" t="s">
        <v>17</v>
      </c>
      <c r="I1497" s="3">
        <f>IF(C1497="India",1,IF(C1497="USA",INDEX('Currency Master'!B:B,MATCH(DATE(N1497,MONTH(DATEVALUE(O1497&amp;" 1")),1),'Currency Master'!A:A,0)),IF(C1497="Australia",INDEX('Currency Master'!T:T,MATCH(DATE(N1497,MONTH(DATEVALUE(O1497&amp;" 1")),1),'Currency Master'!A:A,0)),"")))</f>
        <v>40.301000000000002</v>
      </c>
      <c r="J1497" s="3">
        <f t="shared" si="92"/>
        <v>357.48</v>
      </c>
      <c r="K1497" s="3" t="str">
        <f t="shared" si="93"/>
        <v>₹/Kg</v>
      </c>
      <c r="L1497" s="3">
        <v>-0.12509999999999999</v>
      </c>
      <c r="M1497" s="3"/>
      <c r="N1497" s="3">
        <f t="shared" si="94"/>
        <v>2008</v>
      </c>
      <c r="O1497" s="3" t="str">
        <f t="shared" si="95"/>
        <v>October</v>
      </c>
      <c r="P1497" s="3" t="s">
        <v>41</v>
      </c>
      <c r="Q1497" s="3"/>
    </row>
    <row r="1498" spans="1:17" hidden="1" x14ac:dyDescent="0.3">
      <c r="A1498" s="2">
        <v>39692</v>
      </c>
      <c r="B1498" s="3" t="s">
        <v>31</v>
      </c>
      <c r="C1498" s="3" t="s">
        <v>32</v>
      </c>
      <c r="D1498" s="3" t="s">
        <v>38</v>
      </c>
      <c r="E1498" s="3" t="s">
        <v>39</v>
      </c>
      <c r="F1498" s="3">
        <v>408.61</v>
      </c>
      <c r="G1498" s="3" t="s">
        <v>40</v>
      </c>
      <c r="H1498" s="3" t="s">
        <v>17</v>
      </c>
      <c r="I1498" s="3">
        <f>IF(C1498="India",1,IF(C1498="USA",INDEX('Currency Master'!B:B,MATCH(DATE(N1498,MONTH(DATEVALUE(O1498&amp;" 1")),1),'Currency Master'!A:A,0)),IF(C1498="Australia",INDEX('Currency Master'!T:T,MATCH(DATE(N1498,MONTH(DATEVALUE(O1498&amp;" 1")),1),'Currency Master'!A:A,0)),"")))</f>
        <v>38.136000000000003</v>
      </c>
      <c r="J1498" s="3">
        <f t="shared" si="92"/>
        <v>408.61</v>
      </c>
      <c r="K1498" s="3" t="str">
        <f t="shared" si="93"/>
        <v>₹/Kg</v>
      </c>
      <c r="L1498" s="3">
        <v>1.0500000000000001E-2</v>
      </c>
      <c r="M1498" s="3"/>
      <c r="N1498" s="3">
        <f t="shared" si="94"/>
        <v>2008</v>
      </c>
      <c r="O1498" s="3" t="str">
        <f t="shared" si="95"/>
        <v>September</v>
      </c>
      <c r="P1498" s="3" t="s">
        <v>41</v>
      </c>
      <c r="Q1498" s="3"/>
    </row>
    <row r="1499" spans="1:17" hidden="1" x14ac:dyDescent="0.3">
      <c r="A1499" s="2">
        <v>39661</v>
      </c>
      <c r="B1499" s="3" t="s">
        <v>31</v>
      </c>
      <c r="C1499" s="3" t="s">
        <v>32</v>
      </c>
      <c r="D1499" s="3" t="s">
        <v>38</v>
      </c>
      <c r="E1499" s="3" t="s">
        <v>39</v>
      </c>
      <c r="F1499" s="3">
        <v>404.36</v>
      </c>
      <c r="G1499" s="3" t="s">
        <v>40</v>
      </c>
      <c r="H1499" s="3" t="s">
        <v>17</v>
      </c>
      <c r="I1499" s="3">
        <f>IF(C1499="India",1,IF(C1499="USA",INDEX('Currency Master'!B:B,MATCH(DATE(N1499,MONTH(DATEVALUE(O1499&amp;" 1")),1),'Currency Master'!A:A,0)),IF(C1499="Australia",INDEX('Currency Master'!T:T,MATCH(DATE(N1499,MONTH(DATEVALUE(O1499&amp;" 1")),1),'Currency Master'!A:A,0)),"")))</f>
        <v>36.558999999999997</v>
      </c>
      <c r="J1499" s="3">
        <f t="shared" si="92"/>
        <v>404.36</v>
      </c>
      <c r="K1499" s="3" t="str">
        <f t="shared" si="93"/>
        <v>₹/Kg</v>
      </c>
      <c r="L1499" s="3">
        <v>-9.9199999999999997E-2</v>
      </c>
      <c r="M1499" s="3"/>
      <c r="N1499" s="3">
        <f t="shared" si="94"/>
        <v>2008</v>
      </c>
      <c r="O1499" s="3" t="str">
        <f t="shared" si="95"/>
        <v>August</v>
      </c>
      <c r="P1499" s="3" t="s">
        <v>41</v>
      </c>
      <c r="Q1499" s="3"/>
    </row>
    <row r="1500" spans="1:17" hidden="1" x14ac:dyDescent="0.3">
      <c r="A1500" s="2">
        <v>39630</v>
      </c>
      <c r="B1500" s="3" t="s">
        <v>31</v>
      </c>
      <c r="C1500" s="3" t="s">
        <v>32</v>
      </c>
      <c r="D1500" s="3" t="s">
        <v>38</v>
      </c>
      <c r="E1500" s="3" t="s">
        <v>39</v>
      </c>
      <c r="F1500" s="3">
        <v>448.91</v>
      </c>
      <c r="G1500" s="3" t="s">
        <v>40</v>
      </c>
      <c r="H1500" s="3" t="s">
        <v>17</v>
      </c>
      <c r="I1500" s="3">
        <f>IF(C1500="India",1,IF(C1500="USA",INDEX('Currency Master'!B:B,MATCH(DATE(N1500,MONTH(DATEVALUE(O1500&amp;" 1")),1),'Currency Master'!A:A,0)),IF(C1500="Australia",INDEX('Currency Master'!T:T,MATCH(DATE(N1500,MONTH(DATEVALUE(O1500&amp;" 1")),1),'Currency Master'!A:A,0)),"")))</f>
        <v>37.173999999999999</v>
      </c>
      <c r="J1500" s="3">
        <f t="shared" si="92"/>
        <v>448.91</v>
      </c>
      <c r="K1500" s="3" t="str">
        <f t="shared" si="93"/>
        <v>₹/Kg</v>
      </c>
      <c r="L1500" s="3">
        <v>7.0000000000000001E-3</v>
      </c>
      <c r="M1500" s="3"/>
      <c r="N1500" s="3">
        <f t="shared" si="94"/>
        <v>2008</v>
      </c>
      <c r="O1500" s="3" t="str">
        <f t="shared" si="95"/>
        <v>July</v>
      </c>
      <c r="P1500" s="3" t="s">
        <v>41</v>
      </c>
      <c r="Q1500" s="3"/>
    </row>
    <row r="1501" spans="1:17" hidden="1" x14ac:dyDescent="0.3">
      <c r="A1501" s="2">
        <v>39600</v>
      </c>
      <c r="B1501" s="3" t="s">
        <v>31</v>
      </c>
      <c r="C1501" s="3" t="s">
        <v>32</v>
      </c>
      <c r="D1501" s="3" t="s">
        <v>38</v>
      </c>
      <c r="E1501" s="3" t="s">
        <v>39</v>
      </c>
      <c r="F1501" s="3">
        <v>445.8</v>
      </c>
      <c r="G1501" s="3" t="s">
        <v>40</v>
      </c>
      <c r="H1501" s="3" t="s">
        <v>17</v>
      </c>
      <c r="I1501" s="3">
        <f>IF(C1501="India",1,IF(C1501="USA",INDEX('Currency Master'!B:B,MATCH(DATE(N1501,MONTH(DATEVALUE(O1501&amp;" 1")),1),'Currency Master'!A:A,0)),IF(C1501="Australia",INDEX('Currency Master'!T:T,MATCH(DATE(N1501,MONTH(DATEVALUE(O1501&amp;" 1")),1),'Currency Master'!A:A,0)),"")))</f>
        <v>35.204999999999998</v>
      </c>
      <c r="J1501" s="3">
        <f t="shared" si="92"/>
        <v>445.8</v>
      </c>
      <c r="K1501" s="3" t="str">
        <f t="shared" si="93"/>
        <v>₹/Kg</v>
      </c>
      <c r="L1501" s="3">
        <v>-3.8999999999999998E-3</v>
      </c>
      <c r="M1501" s="3"/>
      <c r="N1501" s="3">
        <f t="shared" si="94"/>
        <v>2008</v>
      </c>
      <c r="O1501" s="3" t="str">
        <f t="shared" si="95"/>
        <v>June</v>
      </c>
      <c r="P1501" s="3" t="s">
        <v>41</v>
      </c>
      <c r="Q1501" s="3"/>
    </row>
    <row r="1502" spans="1:17" hidden="1" x14ac:dyDescent="0.3">
      <c r="A1502" s="2">
        <v>39569</v>
      </c>
      <c r="B1502" s="3" t="s">
        <v>31</v>
      </c>
      <c r="C1502" s="3" t="s">
        <v>32</v>
      </c>
      <c r="D1502" s="3" t="s">
        <v>38</v>
      </c>
      <c r="E1502" s="3" t="s">
        <v>39</v>
      </c>
      <c r="F1502" s="3">
        <v>447.56</v>
      </c>
      <c r="G1502" s="3" t="s">
        <v>40</v>
      </c>
      <c r="H1502" s="3" t="s">
        <v>17</v>
      </c>
      <c r="I1502" s="3">
        <f>IF(C1502="India",1,IF(C1502="USA",INDEX('Currency Master'!B:B,MATCH(DATE(N1502,MONTH(DATEVALUE(O1502&amp;" 1")),1),'Currency Master'!A:A,0)),IF(C1502="Australia",INDEX('Currency Master'!T:T,MATCH(DATE(N1502,MONTH(DATEVALUE(O1502&amp;" 1")),1),'Currency Master'!A:A,0)),"")))</f>
        <v>34.517000000000003</v>
      </c>
      <c r="J1502" s="3">
        <f t="shared" si="92"/>
        <v>447.56</v>
      </c>
      <c r="K1502" s="3" t="str">
        <f t="shared" si="93"/>
        <v>₹/Kg</v>
      </c>
      <c r="L1502" s="3">
        <v>-1.04E-2</v>
      </c>
      <c r="M1502" s="3"/>
      <c r="N1502" s="3">
        <f t="shared" si="94"/>
        <v>2008</v>
      </c>
      <c r="O1502" s="3" t="str">
        <f t="shared" si="95"/>
        <v>May</v>
      </c>
      <c r="P1502" s="3" t="s">
        <v>41</v>
      </c>
      <c r="Q1502" s="3"/>
    </row>
    <row r="1503" spans="1:17" hidden="1" x14ac:dyDescent="0.3">
      <c r="A1503" s="2">
        <v>39539</v>
      </c>
      <c r="B1503" s="3" t="s">
        <v>31</v>
      </c>
      <c r="C1503" s="3" t="s">
        <v>32</v>
      </c>
      <c r="D1503" s="3" t="s">
        <v>38</v>
      </c>
      <c r="E1503" s="3" t="s">
        <v>39</v>
      </c>
      <c r="F1503" s="3">
        <v>452.28</v>
      </c>
      <c r="G1503" s="3" t="s">
        <v>40</v>
      </c>
      <c r="H1503" s="3" t="s">
        <v>17</v>
      </c>
      <c r="I1503" s="3">
        <f>IF(C1503="India",1,IF(C1503="USA",INDEX('Currency Master'!B:B,MATCH(DATE(N1503,MONTH(DATEVALUE(O1503&amp;" 1")),1),'Currency Master'!A:A,0)),IF(C1503="Australia",INDEX('Currency Master'!T:T,MATCH(DATE(N1503,MONTH(DATEVALUE(O1503&amp;" 1")),1),'Currency Master'!A:A,0)),"")))</f>
        <v>34.924999999999997</v>
      </c>
      <c r="J1503" s="3">
        <f t="shared" si="92"/>
        <v>452.28</v>
      </c>
      <c r="K1503" s="3" t="str">
        <f t="shared" si="93"/>
        <v>₹/Kg</v>
      </c>
      <c r="L1503" s="3">
        <v>-1.35E-2</v>
      </c>
      <c r="M1503" s="3"/>
      <c r="N1503" s="3">
        <f t="shared" si="94"/>
        <v>2008</v>
      </c>
      <c r="O1503" s="3" t="str">
        <f t="shared" si="95"/>
        <v>April</v>
      </c>
      <c r="P1503" s="3" t="s">
        <v>41</v>
      </c>
      <c r="Q1503" s="3"/>
    </row>
    <row r="1504" spans="1:17" hidden="1" x14ac:dyDescent="0.3">
      <c r="A1504" s="2">
        <v>39508</v>
      </c>
      <c r="B1504" s="3" t="s">
        <v>31</v>
      </c>
      <c r="C1504" s="3" t="s">
        <v>32</v>
      </c>
      <c r="D1504" s="3" t="s">
        <v>38</v>
      </c>
      <c r="E1504" s="3" t="s">
        <v>39</v>
      </c>
      <c r="F1504" s="3">
        <v>458.45</v>
      </c>
      <c r="G1504" s="3" t="s">
        <v>40</v>
      </c>
      <c r="H1504" s="3" t="s">
        <v>17</v>
      </c>
      <c r="I1504" s="3">
        <f>IF(C1504="India",1,IF(C1504="USA",INDEX('Currency Master'!B:B,MATCH(DATE(N1504,MONTH(DATEVALUE(O1504&amp;" 1")),1),'Currency Master'!A:A,0)),IF(C1504="Australia",INDEX('Currency Master'!T:T,MATCH(DATE(N1504,MONTH(DATEVALUE(O1504&amp;" 1")),1),'Currency Master'!A:A,0)),"")))</f>
        <v>36.555</v>
      </c>
      <c r="J1504" s="3">
        <f t="shared" si="92"/>
        <v>458.45</v>
      </c>
      <c r="K1504" s="3" t="str">
        <f t="shared" si="93"/>
        <v>₹/Kg</v>
      </c>
      <c r="L1504" s="3">
        <v>-2.9999999999999997E-4</v>
      </c>
      <c r="M1504" s="3"/>
      <c r="N1504" s="3">
        <f t="shared" si="94"/>
        <v>2008</v>
      </c>
      <c r="O1504" s="3" t="str">
        <f t="shared" si="95"/>
        <v>March</v>
      </c>
      <c r="P1504" s="3" t="s">
        <v>41</v>
      </c>
      <c r="Q1504" s="3"/>
    </row>
    <row r="1505" spans="1:17" hidden="1" x14ac:dyDescent="0.3">
      <c r="A1505" s="2">
        <v>39479</v>
      </c>
      <c r="B1505" s="3" t="s">
        <v>31</v>
      </c>
      <c r="C1505" s="3" t="s">
        <v>32</v>
      </c>
      <c r="D1505" s="3" t="s">
        <v>38</v>
      </c>
      <c r="E1505" s="3" t="s">
        <v>39</v>
      </c>
      <c r="F1505" s="3">
        <v>458.58</v>
      </c>
      <c r="G1505" s="3" t="s">
        <v>40</v>
      </c>
      <c r="H1505" s="3" t="s">
        <v>17</v>
      </c>
      <c r="I1505" s="3">
        <f>IF(C1505="India",1,IF(C1505="USA",INDEX('Currency Master'!B:B,MATCH(DATE(N1505,MONTH(DATEVALUE(O1505&amp;" 1")),1),'Currency Master'!A:A,0)),IF(C1505="Australia",INDEX('Currency Master'!T:T,MATCH(DATE(N1505,MONTH(DATEVALUE(O1505&amp;" 1")),1),'Currency Master'!A:A,0)),"")))</f>
        <v>35.192</v>
      </c>
      <c r="J1505" s="3">
        <f t="shared" si="92"/>
        <v>458.58</v>
      </c>
      <c r="K1505" s="3" t="str">
        <f t="shared" si="93"/>
        <v>₹/Kg</v>
      </c>
      <c r="L1505" s="3">
        <v>6.3E-3</v>
      </c>
      <c r="M1505" s="3"/>
      <c r="N1505" s="3">
        <f t="shared" si="94"/>
        <v>2008</v>
      </c>
      <c r="O1505" s="3" t="str">
        <f t="shared" si="95"/>
        <v>February</v>
      </c>
      <c r="P1505" s="3" t="s">
        <v>41</v>
      </c>
      <c r="Q1505" s="3"/>
    </row>
    <row r="1506" spans="1:17" hidden="1" x14ac:dyDescent="0.3">
      <c r="A1506" s="2">
        <v>39448</v>
      </c>
      <c r="B1506" s="3" t="s">
        <v>31</v>
      </c>
      <c r="C1506" s="3" t="s">
        <v>32</v>
      </c>
      <c r="D1506" s="3" t="s">
        <v>38</v>
      </c>
      <c r="E1506" s="3" t="s">
        <v>39</v>
      </c>
      <c r="F1506" s="3">
        <v>455.69</v>
      </c>
      <c r="G1506" s="3" t="s">
        <v>40</v>
      </c>
      <c r="H1506" s="3" t="s">
        <v>17</v>
      </c>
      <c r="I1506" s="3">
        <f>IF(C1506="India",1,IF(C1506="USA",INDEX('Currency Master'!B:B,MATCH(DATE(N1506,MONTH(DATEVALUE(O1506&amp;" 1")),1),'Currency Master'!A:A,0)),IF(C1506="Australia",INDEX('Currency Master'!T:T,MATCH(DATE(N1506,MONTH(DATEVALUE(O1506&amp;" 1")),1),'Currency Master'!A:A,0)),"")))</f>
        <v>33.232999999999997</v>
      </c>
      <c r="J1506" s="3">
        <f t="shared" si="92"/>
        <v>455.69</v>
      </c>
      <c r="K1506" s="3" t="str">
        <f t="shared" si="93"/>
        <v>₹/Kg</v>
      </c>
      <c r="L1506" s="3">
        <v>5.2999999999999999E-2</v>
      </c>
      <c r="M1506" s="3"/>
      <c r="N1506" s="3">
        <f t="shared" si="94"/>
        <v>2008</v>
      </c>
      <c r="O1506" s="3" t="str">
        <f t="shared" si="95"/>
        <v>January</v>
      </c>
      <c r="P1506" s="3" t="s">
        <v>41</v>
      </c>
      <c r="Q1506" s="3"/>
    </row>
    <row r="1507" spans="1:17" hidden="1" x14ac:dyDescent="0.3">
      <c r="A1507" s="2">
        <v>39417</v>
      </c>
      <c r="B1507" s="3" t="s">
        <v>31</v>
      </c>
      <c r="C1507" s="3" t="s">
        <v>32</v>
      </c>
      <c r="D1507" s="3" t="s">
        <v>38</v>
      </c>
      <c r="E1507" s="3" t="s">
        <v>39</v>
      </c>
      <c r="F1507" s="3">
        <v>432.76</v>
      </c>
      <c r="G1507" s="3" t="s">
        <v>40</v>
      </c>
      <c r="H1507" s="3" t="s">
        <v>17</v>
      </c>
      <c r="I1507" s="3">
        <f>IF(C1507="India",1,IF(C1507="USA",INDEX('Currency Master'!B:B,MATCH(DATE(N1507,MONTH(DATEVALUE(O1507&amp;" 1")),1),'Currency Master'!A:A,0)),IF(C1507="Australia",INDEX('Currency Master'!T:T,MATCH(DATE(N1507,MONTH(DATEVALUE(O1507&amp;" 1")),1),'Currency Master'!A:A,0)),"")))</f>
        <v>34.192</v>
      </c>
      <c r="J1507" s="3">
        <f t="shared" si="92"/>
        <v>432.76</v>
      </c>
      <c r="K1507" s="3" t="str">
        <f t="shared" si="93"/>
        <v>₹/Kg</v>
      </c>
      <c r="L1507" s="3">
        <v>-4.8999999999999998E-3</v>
      </c>
      <c r="M1507" s="3"/>
      <c r="N1507" s="3">
        <f t="shared" si="94"/>
        <v>2007</v>
      </c>
      <c r="O1507" s="3" t="str">
        <f t="shared" si="95"/>
        <v>December</v>
      </c>
      <c r="P1507" s="3" t="s">
        <v>41</v>
      </c>
      <c r="Q1507" s="3"/>
    </row>
    <row r="1508" spans="1:17" hidden="1" x14ac:dyDescent="0.3">
      <c r="A1508" s="2">
        <v>39387</v>
      </c>
      <c r="B1508" s="3" t="s">
        <v>31</v>
      </c>
      <c r="C1508" s="3" t="s">
        <v>32</v>
      </c>
      <c r="D1508" s="3" t="s">
        <v>38</v>
      </c>
      <c r="E1508" s="3" t="s">
        <v>39</v>
      </c>
      <c r="F1508" s="3">
        <v>434.91</v>
      </c>
      <c r="G1508" s="3" t="s">
        <v>40</v>
      </c>
      <c r="H1508" s="3" t="s">
        <v>17</v>
      </c>
      <c r="I1508" s="3">
        <f>IF(C1508="India",1,IF(C1508="USA",INDEX('Currency Master'!B:B,MATCH(DATE(N1508,MONTH(DATEVALUE(O1508&amp;" 1")),1),'Currency Master'!A:A,0)),IF(C1508="Australia",INDEX('Currency Master'!T:T,MATCH(DATE(N1508,MONTH(DATEVALUE(O1508&amp;" 1")),1),'Currency Master'!A:A,0)),"")))</f>
        <v>34.395000000000003</v>
      </c>
      <c r="J1508" s="3">
        <f t="shared" si="92"/>
        <v>434.91</v>
      </c>
      <c r="K1508" s="3" t="str">
        <f t="shared" si="93"/>
        <v>₹/Kg</v>
      </c>
      <c r="L1508" s="3">
        <v>1.8499999999999999E-2</v>
      </c>
      <c r="M1508" s="3"/>
      <c r="N1508" s="3">
        <f t="shared" si="94"/>
        <v>2007</v>
      </c>
      <c r="O1508" s="3" t="str">
        <f t="shared" si="95"/>
        <v>November</v>
      </c>
      <c r="P1508" s="3" t="s">
        <v>41</v>
      </c>
      <c r="Q1508" s="3"/>
    </row>
    <row r="1509" spans="1:17" hidden="1" x14ac:dyDescent="0.3">
      <c r="A1509" s="2">
        <v>39356</v>
      </c>
      <c r="B1509" s="3" t="s">
        <v>31</v>
      </c>
      <c r="C1509" s="3" t="s">
        <v>32</v>
      </c>
      <c r="D1509" s="3" t="s">
        <v>38</v>
      </c>
      <c r="E1509" s="3" t="s">
        <v>39</v>
      </c>
      <c r="F1509" s="3">
        <v>427</v>
      </c>
      <c r="G1509" s="3" t="s">
        <v>40</v>
      </c>
      <c r="H1509" s="3" t="s">
        <v>17</v>
      </c>
      <c r="I1509" s="3">
        <f>IF(C1509="India",1,IF(C1509="USA",INDEX('Currency Master'!B:B,MATCH(DATE(N1509,MONTH(DATEVALUE(O1509&amp;" 1")),1),'Currency Master'!A:A,0)),IF(C1509="Australia",INDEX('Currency Master'!T:T,MATCH(DATE(N1509,MONTH(DATEVALUE(O1509&amp;" 1")),1),'Currency Master'!A:A,0)),"")))</f>
        <v>33.409999999999997</v>
      </c>
      <c r="J1509" s="3">
        <f t="shared" si="92"/>
        <v>427</v>
      </c>
      <c r="K1509" s="3" t="str">
        <f t="shared" si="93"/>
        <v>₹/Kg</v>
      </c>
      <c r="L1509" s="3">
        <v>0.12239999999999999</v>
      </c>
      <c r="M1509" s="3"/>
      <c r="N1509" s="3">
        <f t="shared" si="94"/>
        <v>2007</v>
      </c>
      <c r="O1509" s="3" t="str">
        <f t="shared" si="95"/>
        <v>October</v>
      </c>
      <c r="P1509" s="3" t="s">
        <v>41</v>
      </c>
      <c r="Q1509" s="3"/>
    </row>
    <row r="1510" spans="1:17" hidden="1" x14ac:dyDescent="0.3">
      <c r="A1510" s="2">
        <v>39326</v>
      </c>
      <c r="B1510" s="3" t="s">
        <v>31</v>
      </c>
      <c r="C1510" s="3" t="s">
        <v>32</v>
      </c>
      <c r="D1510" s="3" t="s">
        <v>38</v>
      </c>
      <c r="E1510" s="3" t="s">
        <v>39</v>
      </c>
      <c r="F1510" s="3">
        <v>380.44</v>
      </c>
      <c r="G1510" s="3" t="s">
        <v>40</v>
      </c>
      <c r="H1510" s="3" t="s">
        <v>17</v>
      </c>
      <c r="I1510" s="3">
        <f>IF(C1510="India",1,IF(C1510="USA",INDEX('Currency Master'!B:B,MATCH(DATE(N1510,MONTH(DATEVALUE(O1510&amp;" 1")),1),'Currency Master'!A:A,0)),IF(C1510="Australia",INDEX('Currency Master'!T:T,MATCH(DATE(N1510,MONTH(DATEVALUE(O1510&amp;" 1")),1),'Currency Master'!A:A,0)),"")))</f>
        <v>34.094000000000001</v>
      </c>
      <c r="J1510" s="3">
        <f t="shared" si="92"/>
        <v>380.44</v>
      </c>
      <c r="K1510" s="3" t="str">
        <f t="shared" si="93"/>
        <v>₹/Kg</v>
      </c>
      <c r="L1510" s="3">
        <v>1.9599999999999999E-2</v>
      </c>
      <c r="M1510" s="3"/>
      <c r="N1510" s="3">
        <f t="shared" si="94"/>
        <v>2007</v>
      </c>
      <c r="O1510" s="3" t="str">
        <f t="shared" si="95"/>
        <v>September</v>
      </c>
      <c r="P1510" s="3" t="s">
        <v>41</v>
      </c>
      <c r="Q1510" s="3"/>
    </row>
    <row r="1511" spans="1:17" hidden="1" x14ac:dyDescent="0.3">
      <c r="A1511" s="2">
        <v>39295</v>
      </c>
      <c r="B1511" s="3" t="s">
        <v>31</v>
      </c>
      <c r="C1511" s="3" t="s">
        <v>32</v>
      </c>
      <c r="D1511" s="3" t="s">
        <v>38</v>
      </c>
      <c r="E1511" s="3" t="s">
        <v>39</v>
      </c>
      <c r="F1511" s="3">
        <v>373.12</v>
      </c>
      <c r="G1511" s="3" t="s">
        <v>40</v>
      </c>
      <c r="H1511" s="3" t="s">
        <v>17</v>
      </c>
      <c r="I1511" s="3">
        <f>IF(C1511="India",1,IF(C1511="USA",INDEX('Currency Master'!B:B,MATCH(DATE(N1511,MONTH(DATEVALUE(O1511&amp;" 1")),1),'Currency Master'!A:A,0)),IF(C1511="Australia",INDEX('Currency Master'!T:T,MATCH(DATE(N1511,MONTH(DATEVALUE(O1511&amp;" 1")),1),'Currency Master'!A:A,0)),"")))</f>
        <v>34.863999999999997</v>
      </c>
      <c r="J1511" s="3">
        <f t="shared" si="92"/>
        <v>373.12</v>
      </c>
      <c r="K1511" s="3" t="str">
        <f t="shared" si="93"/>
        <v>₹/Kg</v>
      </c>
      <c r="L1511" s="3">
        <v>-1.4E-2</v>
      </c>
      <c r="M1511" s="3"/>
      <c r="N1511" s="3">
        <f t="shared" si="94"/>
        <v>2007</v>
      </c>
      <c r="O1511" s="3" t="str">
        <f t="shared" si="95"/>
        <v>August</v>
      </c>
      <c r="P1511" s="3" t="s">
        <v>41</v>
      </c>
      <c r="Q1511" s="3"/>
    </row>
    <row r="1512" spans="1:17" hidden="1" x14ac:dyDescent="0.3">
      <c r="A1512" s="2">
        <v>39264</v>
      </c>
      <c r="B1512" s="3" t="s">
        <v>31</v>
      </c>
      <c r="C1512" s="3" t="s">
        <v>32</v>
      </c>
      <c r="D1512" s="3" t="s">
        <v>38</v>
      </c>
      <c r="E1512" s="3" t="s">
        <v>39</v>
      </c>
      <c r="F1512" s="3">
        <v>378.43</v>
      </c>
      <c r="G1512" s="3" t="s">
        <v>40</v>
      </c>
      <c r="H1512" s="3" t="s">
        <v>17</v>
      </c>
      <c r="I1512" s="3">
        <f>IF(C1512="India",1,IF(C1512="USA",INDEX('Currency Master'!B:B,MATCH(DATE(N1512,MONTH(DATEVALUE(O1512&amp;" 1")),1),'Currency Master'!A:A,0)),IF(C1512="Australia",INDEX('Currency Master'!T:T,MATCH(DATE(N1512,MONTH(DATEVALUE(O1512&amp;" 1")),1),'Currency Master'!A:A,0)),"")))</f>
        <v>34.747999999999998</v>
      </c>
      <c r="J1512" s="3">
        <f t="shared" si="92"/>
        <v>378.43</v>
      </c>
      <c r="K1512" s="3" t="str">
        <f t="shared" si="93"/>
        <v>₹/Kg</v>
      </c>
      <c r="L1512" s="3">
        <v>-6.0100000000000001E-2</v>
      </c>
      <c r="M1512" s="3"/>
      <c r="N1512" s="3">
        <f t="shared" si="94"/>
        <v>2007</v>
      </c>
      <c r="O1512" s="3" t="str">
        <f t="shared" si="95"/>
        <v>July</v>
      </c>
      <c r="P1512" s="3" t="s">
        <v>41</v>
      </c>
      <c r="Q1512" s="3"/>
    </row>
    <row r="1513" spans="1:17" hidden="1" x14ac:dyDescent="0.3">
      <c r="A1513" s="2">
        <v>39234</v>
      </c>
      <c r="B1513" s="3" t="s">
        <v>31</v>
      </c>
      <c r="C1513" s="3" t="s">
        <v>32</v>
      </c>
      <c r="D1513" s="3" t="s">
        <v>38</v>
      </c>
      <c r="E1513" s="3" t="s">
        <v>39</v>
      </c>
      <c r="F1513" s="3">
        <v>402.62</v>
      </c>
      <c r="G1513" s="3" t="s">
        <v>40</v>
      </c>
      <c r="H1513" s="3" t="s">
        <v>17</v>
      </c>
      <c r="I1513" s="3">
        <f>IF(C1513="India",1,IF(C1513="USA",INDEX('Currency Master'!B:B,MATCH(DATE(N1513,MONTH(DATEVALUE(O1513&amp;" 1")),1),'Currency Master'!A:A,0)),IF(C1513="Australia",INDEX('Currency Master'!T:T,MATCH(DATE(N1513,MONTH(DATEVALUE(O1513&amp;" 1")),1),'Currency Master'!A:A,0)),"")))</f>
        <v>34.234999999999999</v>
      </c>
      <c r="J1513" s="3">
        <f t="shared" si="92"/>
        <v>402.62</v>
      </c>
      <c r="K1513" s="3" t="str">
        <f t="shared" si="93"/>
        <v>₹/Kg</v>
      </c>
      <c r="L1513" s="3">
        <v>-2.0999999999999999E-3</v>
      </c>
      <c r="M1513" s="3"/>
      <c r="N1513" s="3">
        <f t="shared" si="94"/>
        <v>2007</v>
      </c>
      <c r="O1513" s="3" t="str">
        <f t="shared" si="95"/>
        <v>June</v>
      </c>
      <c r="P1513" s="3" t="s">
        <v>41</v>
      </c>
      <c r="Q1513" s="3"/>
    </row>
    <row r="1514" spans="1:17" hidden="1" x14ac:dyDescent="0.3">
      <c r="A1514" s="2">
        <v>39203</v>
      </c>
      <c r="B1514" s="3" t="s">
        <v>31</v>
      </c>
      <c r="C1514" s="3" t="s">
        <v>32</v>
      </c>
      <c r="D1514" s="3" t="s">
        <v>38</v>
      </c>
      <c r="E1514" s="3" t="s">
        <v>39</v>
      </c>
      <c r="F1514" s="3">
        <v>403.47</v>
      </c>
      <c r="G1514" s="3" t="s">
        <v>40</v>
      </c>
      <c r="H1514" s="3" t="s">
        <v>17</v>
      </c>
      <c r="I1514" s="3">
        <f>IF(C1514="India",1,IF(C1514="USA",INDEX('Currency Master'!B:B,MATCH(DATE(N1514,MONTH(DATEVALUE(O1514&amp;" 1")),1),'Currency Master'!A:A,0)),IF(C1514="Australia",INDEX('Currency Master'!T:T,MATCH(DATE(N1514,MONTH(DATEVALUE(O1514&amp;" 1")),1),'Currency Master'!A:A,0)),"")))</f>
        <v>34.817999999999998</v>
      </c>
      <c r="J1514" s="3">
        <f t="shared" si="92"/>
        <v>403.47</v>
      </c>
      <c r="K1514" s="3" t="str">
        <f t="shared" si="93"/>
        <v>₹/Kg</v>
      </c>
      <c r="L1514" s="3">
        <v>1.7899999999999999E-2</v>
      </c>
      <c r="M1514" s="3"/>
      <c r="N1514" s="3">
        <f t="shared" si="94"/>
        <v>2007</v>
      </c>
      <c r="O1514" s="3" t="str">
        <f t="shared" si="95"/>
        <v>May</v>
      </c>
      <c r="P1514" s="3" t="s">
        <v>41</v>
      </c>
      <c r="Q1514" s="3"/>
    </row>
    <row r="1515" spans="1:17" hidden="1" x14ac:dyDescent="0.3">
      <c r="A1515" s="2">
        <v>39173</v>
      </c>
      <c r="B1515" s="3" t="s">
        <v>31</v>
      </c>
      <c r="C1515" s="3" t="s">
        <v>32</v>
      </c>
      <c r="D1515" s="3" t="s">
        <v>38</v>
      </c>
      <c r="E1515" s="3" t="s">
        <v>39</v>
      </c>
      <c r="F1515" s="3">
        <v>396.38</v>
      </c>
      <c r="G1515" s="3" t="s">
        <v>40</v>
      </c>
      <c r="H1515" s="3" t="s">
        <v>17</v>
      </c>
      <c r="I1515" s="3">
        <f>IF(C1515="India",1,IF(C1515="USA",INDEX('Currency Master'!B:B,MATCH(DATE(N1515,MONTH(DATEVALUE(O1515&amp;" 1")),1),'Currency Master'!A:A,0)),IF(C1515="Australia",INDEX('Currency Master'!T:T,MATCH(DATE(N1515,MONTH(DATEVALUE(O1515&amp;" 1")),1),'Currency Master'!A:A,0)),"")))</f>
        <v>35.168999999999997</v>
      </c>
      <c r="J1515" s="3">
        <f t="shared" si="92"/>
        <v>396.38</v>
      </c>
      <c r="K1515" s="3" t="str">
        <f t="shared" si="93"/>
        <v>₹/Kg</v>
      </c>
      <c r="L1515" s="3">
        <v>-1.4999999999999999E-2</v>
      </c>
      <c r="M1515" s="3"/>
      <c r="N1515" s="3">
        <f t="shared" si="94"/>
        <v>2007</v>
      </c>
      <c r="O1515" s="3" t="str">
        <f t="shared" si="95"/>
        <v>April</v>
      </c>
      <c r="P1515" s="3" t="s">
        <v>41</v>
      </c>
      <c r="Q1515" s="3"/>
    </row>
    <row r="1516" spans="1:17" hidden="1" x14ac:dyDescent="0.3">
      <c r="A1516" s="2">
        <v>39142</v>
      </c>
      <c r="B1516" s="3" t="s">
        <v>31</v>
      </c>
      <c r="C1516" s="3" t="s">
        <v>32</v>
      </c>
      <c r="D1516" s="3" t="s">
        <v>38</v>
      </c>
      <c r="E1516" s="3" t="s">
        <v>39</v>
      </c>
      <c r="F1516" s="3">
        <v>402.4</v>
      </c>
      <c r="G1516" s="3" t="s">
        <v>40</v>
      </c>
      <c r="H1516" s="3" t="s">
        <v>17</v>
      </c>
      <c r="I1516" s="3">
        <f>IF(C1516="India",1,IF(C1516="USA",INDEX('Currency Master'!B:B,MATCH(DATE(N1516,MONTH(DATEVALUE(O1516&amp;" 1")),1),'Currency Master'!A:A,0)),IF(C1516="Australia",INDEX('Currency Master'!T:T,MATCH(DATE(N1516,MONTH(DATEVALUE(O1516&amp;" 1")),1),'Currency Master'!A:A,0)),"")))</f>
        <v>34.783999999999999</v>
      </c>
      <c r="J1516" s="3">
        <f t="shared" si="92"/>
        <v>402.4</v>
      </c>
      <c r="K1516" s="3" t="str">
        <f t="shared" si="93"/>
        <v>₹/Kg</v>
      </c>
      <c r="L1516" s="3">
        <v>4.0599999999999997E-2</v>
      </c>
      <c r="M1516" s="3"/>
      <c r="N1516" s="3">
        <f t="shared" si="94"/>
        <v>2007</v>
      </c>
      <c r="O1516" s="3" t="str">
        <f t="shared" si="95"/>
        <v>March</v>
      </c>
      <c r="P1516" s="3" t="s">
        <v>41</v>
      </c>
      <c r="Q1516" s="3"/>
    </row>
    <row r="1517" spans="1:17" hidden="1" x14ac:dyDescent="0.3">
      <c r="A1517" s="2">
        <v>39114</v>
      </c>
      <c r="B1517" s="3" t="s">
        <v>31</v>
      </c>
      <c r="C1517" s="3" t="s">
        <v>32</v>
      </c>
      <c r="D1517" s="3" t="s">
        <v>38</v>
      </c>
      <c r="E1517" s="3" t="s">
        <v>39</v>
      </c>
      <c r="F1517" s="3">
        <v>386.69</v>
      </c>
      <c r="G1517" s="3" t="s">
        <v>40</v>
      </c>
      <c r="H1517" s="3" t="s">
        <v>17</v>
      </c>
      <c r="I1517" s="3">
        <f>IF(C1517="India",1,IF(C1517="USA",INDEX('Currency Master'!B:B,MATCH(DATE(N1517,MONTH(DATEVALUE(O1517&amp;" 1")),1),'Currency Master'!A:A,0)),IF(C1517="Australia",INDEX('Currency Master'!T:T,MATCH(DATE(N1517,MONTH(DATEVALUE(O1517&amp;" 1")),1),'Currency Master'!A:A,0)),"")))</f>
        <v>34.18</v>
      </c>
      <c r="J1517" s="3">
        <f t="shared" si="92"/>
        <v>386.69</v>
      </c>
      <c r="K1517" s="3" t="str">
        <f t="shared" si="93"/>
        <v>₹/Kg</v>
      </c>
      <c r="L1517" s="3">
        <v>-2.41E-2</v>
      </c>
      <c r="M1517" s="3"/>
      <c r="N1517" s="3">
        <f t="shared" si="94"/>
        <v>2007</v>
      </c>
      <c r="O1517" s="3" t="str">
        <f t="shared" si="95"/>
        <v>February</v>
      </c>
      <c r="P1517" s="3" t="s">
        <v>41</v>
      </c>
      <c r="Q1517" s="3"/>
    </row>
    <row r="1518" spans="1:17" hidden="1" x14ac:dyDescent="0.3">
      <c r="A1518" s="2">
        <v>39083</v>
      </c>
      <c r="B1518" s="3" t="s">
        <v>31</v>
      </c>
      <c r="C1518" s="3" t="s">
        <v>32</v>
      </c>
      <c r="D1518" s="3" t="s">
        <v>38</v>
      </c>
      <c r="E1518" s="3" t="s">
        <v>39</v>
      </c>
      <c r="F1518" s="3">
        <v>396.24</v>
      </c>
      <c r="G1518" s="3" t="s">
        <v>40</v>
      </c>
      <c r="H1518" s="3" t="s">
        <v>17</v>
      </c>
      <c r="I1518" s="3">
        <f>IF(C1518="India",1,IF(C1518="USA",INDEX('Currency Master'!B:B,MATCH(DATE(N1518,MONTH(DATEVALUE(O1518&amp;" 1")),1),'Currency Master'!A:A,0)),IF(C1518="Australia",INDEX('Currency Master'!T:T,MATCH(DATE(N1518,MONTH(DATEVALUE(O1518&amp;" 1")),1),'Currency Master'!A:A,0)),"")))</f>
        <v>35.487000000000002</v>
      </c>
      <c r="J1518" s="3">
        <f t="shared" si="92"/>
        <v>396.24</v>
      </c>
      <c r="K1518" s="3" t="str">
        <f t="shared" si="93"/>
        <v>₹/Kg</v>
      </c>
      <c r="L1518" s="3">
        <v>0.12280000000000001</v>
      </c>
      <c r="M1518" s="3"/>
      <c r="N1518" s="3">
        <f t="shared" si="94"/>
        <v>2007</v>
      </c>
      <c r="O1518" s="3" t="str">
        <f t="shared" si="95"/>
        <v>January</v>
      </c>
      <c r="P1518" s="3" t="s">
        <v>41</v>
      </c>
      <c r="Q1518" s="3"/>
    </row>
    <row r="1519" spans="1:17" hidden="1" x14ac:dyDescent="0.3">
      <c r="A1519" s="2">
        <v>39052</v>
      </c>
      <c r="B1519" s="3" t="s">
        <v>31</v>
      </c>
      <c r="C1519" s="3" t="s">
        <v>32</v>
      </c>
      <c r="D1519" s="3" t="s">
        <v>38</v>
      </c>
      <c r="E1519" s="3" t="s">
        <v>39</v>
      </c>
      <c r="F1519" s="3">
        <v>352.92</v>
      </c>
      <c r="G1519" s="3" t="s">
        <v>40</v>
      </c>
      <c r="H1519" s="3" t="s">
        <v>17</v>
      </c>
      <c r="I1519" s="3">
        <f>IF(C1519="India",1,IF(C1519="USA",INDEX('Currency Master'!B:B,MATCH(DATE(N1519,MONTH(DATEVALUE(O1519&amp;" 1")),1),'Currency Master'!A:A,0)),IF(C1519="Australia",INDEX('Currency Master'!T:T,MATCH(DATE(N1519,MONTH(DATEVALUE(O1519&amp;" 1")),1),'Currency Master'!A:A,0)),"")))</f>
        <v>35.630000000000003</v>
      </c>
      <c r="J1519" s="3">
        <f t="shared" si="92"/>
        <v>352.92</v>
      </c>
      <c r="K1519" s="3" t="str">
        <f t="shared" si="93"/>
        <v>₹/Kg</v>
      </c>
      <c r="L1519" s="3">
        <v>-4.4999999999999997E-3</v>
      </c>
      <c r="M1519" s="3"/>
      <c r="N1519" s="3">
        <f t="shared" si="94"/>
        <v>2006</v>
      </c>
      <c r="O1519" s="3" t="str">
        <f t="shared" si="95"/>
        <v>December</v>
      </c>
      <c r="P1519" s="3" t="s">
        <v>41</v>
      </c>
      <c r="Q1519" s="3"/>
    </row>
    <row r="1520" spans="1:17" hidden="1" x14ac:dyDescent="0.3">
      <c r="A1520" s="2">
        <v>39022</v>
      </c>
      <c r="B1520" s="3" t="s">
        <v>31</v>
      </c>
      <c r="C1520" s="3" t="s">
        <v>32</v>
      </c>
      <c r="D1520" s="3" t="s">
        <v>38</v>
      </c>
      <c r="E1520" s="3" t="s">
        <v>39</v>
      </c>
      <c r="F1520" s="3">
        <v>354.52</v>
      </c>
      <c r="G1520" s="3" t="s">
        <v>40</v>
      </c>
      <c r="H1520" s="3" t="s">
        <v>17</v>
      </c>
      <c r="I1520" s="3">
        <f>IF(C1520="India",1,IF(C1520="USA",INDEX('Currency Master'!B:B,MATCH(DATE(N1520,MONTH(DATEVALUE(O1520&amp;" 1")),1),'Currency Master'!A:A,0)),IF(C1520="Australia",INDEX('Currency Master'!T:T,MATCH(DATE(N1520,MONTH(DATEVALUE(O1520&amp;" 1")),1),'Currency Master'!A:A,0)),"")))</f>
        <v>34.057000000000002</v>
      </c>
      <c r="J1520" s="3">
        <f t="shared" si="92"/>
        <v>354.52</v>
      </c>
      <c r="K1520" s="3" t="str">
        <f t="shared" si="93"/>
        <v>₹/Kg</v>
      </c>
      <c r="L1520" s="3">
        <v>0.1288</v>
      </c>
      <c r="M1520" s="3"/>
      <c r="N1520" s="3">
        <f t="shared" si="94"/>
        <v>2006</v>
      </c>
      <c r="O1520" s="3" t="str">
        <f t="shared" si="95"/>
        <v>November</v>
      </c>
      <c r="P1520" s="3" t="s">
        <v>41</v>
      </c>
      <c r="Q1520" s="3"/>
    </row>
    <row r="1521" spans="1:17" hidden="1" x14ac:dyDescent="0.3">
      <c r="A1521" s="2">
        <v>38991</v>
      </c>
      <c r="B1521" s="3" t="s">
        <v>31</v>
      </c>
      <c r="C1521" s="3" t="s">
        <v>32</v>
      </c>
      <c r="D1521" s="3" t="s">
        <v>38</v>
      </c>
      <c r="E1521" s="3" t="s">
        <v>39</v>
      </c>
      <c r="F1521" s="3">
        <v>314.07</v>
      </c>
      <c r="G1521" s="3" t="s">
        <v>40</v>
      </c>
      <c r="H1521" s="3" t="s">
        <v>17</v>
      </c>
      <c r="I1521" s="3">
        <f>IF(C1521="India",1,IF(C1521="USA",INDEX('Currency Master'!B:B,MATCH(DATE(N1521,MONTH(DATEVALUE(O1521&amp;" 1")),1),'Currency Master'!A:A,0)),IF(C1521="Australia",INDEX('Currency Master'!T:T,MATCH(DATE(N1521,MONTH(DATEVALUE(O1521&amp;" 1")),1),'Currency Master'!A:A,0)),"")))</f>
        <v>34.840000000000003</v>
      </c>
      <c r="J1521" s="3">
        <f t="shared" si="92"/>
        <v>314.07</v>
      </c>
      <c r="K1521" s="3" t="str">
        <f t="shared" si="93"/>
        <v>₹/Kg</v>
      </c>
      <c r="L1521" s="3">
        <v>-3.4000000000000002E-2</v>
      </c>
      <c r="M1521" s="3"/>
      <c r="N1521" s="3">
        <f t="shared" si="94"/>
        <v>2006</v>
      </c>
      <c r="O1521" s="3" t="str">
        <f t="shared" si="95"/>
        <v>October</v>
      </c>
      <c r="P1521" s="3" t="s">
        <v>41</v>
      </c>
      <c r="Q1521" s="3"/>
    </row>
    <row r="1522" spans="1:17" hidden="1" x14ac:dyDescent="0.3">
      <c r="A1522" s="2">
        <v>38961</v>
      </c>
      <c r="B1522" s="3" t="s">
        <v>31</v>
      </c>
      <c r="C1522" s="3" t="s">
        <v>32</v>
      </c>
      <c r="D1522" s="3" t="s">
        <v>38</v>
      </c>
      <c r="E1522" s="3" t="s">
        <v>39</v>
      </c>
      <c r="F1522" s="3">
        <v>325.11</v>
      </c>
      <c r="G1522" s="3" t="s">
        <v>40</v>
      </c>
      <c r="H1522" s="3" t="s">
        <v>17</v>
      </c>
      <c r="I1522" s="3">
        <f>IF(C1522="India",1,IF(C1522="USA",INDEX('Currency Master'!B:B,MATCH(DATE(N1522,MONTH(DATEVALUE(O1522&amp;" 1")),1),'Currency Master'!A:A,0)),IF(C1522="Australia",INDEX('Currency Master'!T:T,MATCH(DATE(N1522,MONTH(DATEVALUE(O1522&amp;" 1")),1),'Currency Master'!A:A,0)),"")))</f>
        <v>34.128999999999998</v>
      </c>
      <c r="J1522" s="3">
        <f t="shared" si="92"/>
        <v>325.11</v>
      </c>
      <c r="K1522" s="3" t="str">
        <f t="shared" si="93"/>
        <v>₹/Kg</v>
      </c>
      <c r="L1522" s="3">
        <v>-2.6499999999999999E-2</v>
      </c>
      <c r="M1522" s="3"/>
      <c r="N1522" s="3">
        <f t="shared" si="94"/>
        <v>2006</v>
      </c>
      <c r="O1522" s="3" t="str">
        <f t="shared" si="95"/>
        <v>September</v>
      </c>
      <c r="P1522" s="3" t="s">
        <v>41</v>
      </c>
      <c r="Q1522" s="3"/>
    </row>
    <row r="1523" spans="1:17" hidden="1" x14ac:dyDescent="0.3">
      <c r="A1523" s="2">
        <v>38930</v>
      </c>
      <c r="B1523" s="3" t="s">
        <v>31</v>
      </c>
      <c r="C1523" s="3" t="s">
        <v>32</v>
      </c>
      <c r="D1523" s="3" t="s">
        <v>38</v>
      </c>
      <c r="E1523" s="3" t="s">
        <v>39</v>
      </c>
      <c r="F1523" s="3">
        <v>333.95</v>
      </c>
      <c r="G1523" s="3" t="s">
        <v>40</v>
      </c>
      <c r="H1523" s="3" t="s">
        <v>17</v>
      </c>
      <c r="I1523" s="3">
        <f>IF(C1523="India",1,IF(C1523="USA",INDEX('Currency Master'!B:B,MATCH(DATE(N1523,MONTH(DATEVALUE(O1523&amp;" 1")),1),'Currency Master'!A:A,0)),IF(C1523="Australia",INDEX('Currency Master'!T:T,MATCH(DATE(N1523,MONTH(DATEVALUE(O1523&amp;" 1")),1),'Currency Master'!A:A,0)),"")))</f>
        <v>31.873000000000001</v>
      </c>
      <c r="J1523" s="3">
        <f t="shared" si="92"/>
        <v>333.95</v>
      </c>
      <c r="K1523" s="3" t="str">
        <f t="shared" si="93"/>
        <v>₹/Kg</v>
      </c>
      <c r="L1523" s="3">
        <v>1.9800000000000002E-2</v>
      </c>
      <c r="M1523" s="3"/>
      <c r="N1523" s="3">
        <f t="shared" si="94"/>
        <v>2006</v>
      </c>
      <c r="O1523" s="3" t="str">
        <f t="shared" si="95"/>
        <v>August</v>
      </c>
      <c r="P1523" s="3" t="s">
        <v>41</v>
      </c>
      <c r="Q1523" s="3"/>
    </row>
    <row r="1524" spans="1:17" hidden="1" x14ac:dyDescent="0.3">
      <c r="A1524" s="2">
        <v>38899</v>
      </c>
      <c r="B1524" s="3" t="s">
        <v>31</v>
      </c>
      <c r="C1524" s="3" t="s">
        <v>32</v>
      </c>
      <c r="D1524" s="3" t="s">
        <v>38</v>
      </c>
      <c r="E1524" s="3" t="s">
        <v>39</v>
      </c>
      <c r="F1524" s="3">
        <v>327.45</v>
      </c>
      <c r="G1524" s="3" t="s">
        <v>40</v>
      </c>
      <c r="H1524" s="3" t="s">
        <v>17</v>
      </c>
      <c r="I1524" s="3">
        <f>IF(C1524="India",1,IF(C1524="USA",INDEX('Currency Master'!B:B,MATCH(DATE(N1524,MONTH(DATEVALUE(O1524&amp;" 1")),1),'Currency Master'!A:A,0)),IF(C1524="Australia",INDEX('Currency Master'!T:T,MATCH(DATE(N1524,MONTH(DATEVALUE(O1524&amp;" 1")),1),'Currency Master'!A:A,0)),"")))</f>
        <v>32.874000000000002</v>
      </c>
      <c r="J1524" s="3">
        <f t="shared" si="92"/>
        <v>327.45</v>
      </c>
      <c r="K1524" s="3" t="str">
        <f t="shared" si="93"/>
        <v>₹/Kg</v>
      </c>
      <c r="L1524" s="3">
        <v>-4.8999999999999998E-3</v>
      </c>
      <c r="M1524" s="3"/>
      <c r="N1524" s="3">
        <f t="shared" si="94"/>
        <v>2006</v>
      </c>
      <c r="O1524" s="3" t="str">
        <f t="shared" si="95"/>
        <v>July</v>
      </c>
      <c r="P1524" s="3" t="s">
        <v>41</v>
      </c>
      <c r="Q1524" s="3"/>
    </row>
    <row r="1525" spans="1:17" hidden="1" x14ac:dyDescent="0.3">
      <c r="A1525" s="2">
        <v>38869</v>
      </c>
      <c r="B1525" s="3" t="s">
        <v>31</v>
      </c>
      <c r="C1525" s="3" t="s">
        <v>32</v>
      </c>
      <c r="D1525" s="3" t="s">
        <v>38</v>
      </c>
      <c r="E1525" s="3" t="s">
        <v>39</v>
      </c>
      <c r="F1525" s="3">
        <v>329.06</v>
      </c>
      <c r="G1525" s="3" t="s">
        <v>40</v>
      </c>
      <c r="H1525" s="3" t="s">
        <v>17</v>
      </c>
      <c r="I1525" s="3">
        <f>IF(C1525="India",1,IF(C1525="USA",INDEX('Currency Master'!B:B,MATCH(DATE(N1525,MONTH(DATEVALUE(O1525&amp;" 1")),1),'Currency Master'!A:A,0)),IF(C1525="Australia",INDEX('Currency Master'!T:T,MATCH(DATE(N1525,MONTH(DATEVALUE(O1525&amp;" 1")),1),'Currency Master'!A:A,0)),"")))</f>
        <v>33.328000000000003</v>
      </c>
      <c r="J1525" s="3">
        <f t="shared" si="92"/>
        <v>329.06</v>
      </c>
      <c r="K1525" s="3" t="str">
        <f t="shared" si="93"/>
        <v>₹/Kg</v>
      </c>
      <c r="L1525" s="3">
        <v>-1.04E-2</v>
      </c>
      <c r="M1525" s="3"/>
      <c r="N1525" s="3">
        <f t="shared" si="94"/>
        <v>2006</v>
      </c>
      <c r="O1525" s="3" t="str">
        <f t="shared" si="95"/>
        <v>June</v>
      </c>
      <c r="P1525" s="3" t="s">
        <v>41</v>
      </c>
      <c r="Q1525" s="3"/>
    </row>
    <row r="1526" spans="1:17" hidden="1" x14ac:dyDescent="0.3">
      <c r="A1526" s="2">
        <v>38838</v>
      </c>
      <c r="B1526" s="3" t="s">
        <v>31</v>
      </c>
      <c r="C1526" s="3" t="s">
        <v>32</v>
      </c>
      <c r="D1526" s="3" t="s">
        <v>38</v>
      </c>
      <c r="E1526" s="3" t="s">
        <v>39</v>
      </c>
      <c r="F1526" s="3">
        <v>332.51</v>
      </c>
      <c r="G1526" s="3" t="s">
        <v>40</v>
      </c>
      <c r="H1526" s="3" t="s">
        <v>17</v>
      </c>
      <c r="I1526" s="3">
        <f>IF(C1526="India",1,IF(C1526="USA",INDEX('Currency Master'!B:B,MATCH(DATE(N1526,MONTH(DATEVALUE(O1526&amp;" 1")),1),'Currency Master'!A:A,0)),IF(C1526="Australia",INDEX('Currency Master'!T:T,MATCH(DATE(N1526,MONTH(DATEVALUE(O1526&amp;" 1")),1),'Currency Master'!A:A,0)),"")))</f>
        <v>32.997</v>
      </c>
      <c r="J1526" s="3">
        <f t="shared" si="92"/>
        <v>332.51</v>
      </c>
      <c r="K1526" s="3" t="str">
        <f t="shared" si="93"/>
        <v>₹/Kg</v>
      </c>
      <c r="L1526" s="3">
        <v>6.0299999999999999E-2</v>
      </c>
      <c r="M1526" s="3"/>
      <c r="N1526" s="3">
        <f t="shared" si="94"/>
        <v>2006</v>
      </c>
      <c r="O1526" s="3" t="str">
        <f t="shared" si="95"/>
        <v>May</v>
      </c>
      <c r="P1526" s="3" t="s">
        <v>41</v>
      </c>
      <c r="Q1526" s="3"/>
    </row>
    <row r="1527" spans="1:17" hidden="1" x14ac:dyDescent="0.3">
      <c r="A1527" s="2">
        <v>38808</v>
      </c>
      <c r="B1527" s="3" t="s">
        <v>31</v>
      </c>
      <c r="C1527" s="3" t="s">
        <v>32</v>
      </c>
      <c r="D1527" s="3" t="s">
        <v>38</v>
      </c>
      <c r="E1527" s="3" t="s">
        <v>39</v>
      </c>
      <c r="F1527" s="3">
        <v>313.61</v>
      </c>
      <c r="G1527" s="3" t="s">
        <v>40</v>
      </c>
      <c r="H1527" s="3" t="s">
        <v>17</v>
      </c>
      <c r="I1527" s="3">
        <f>IF(C1527="India",1,IF(C1527="USA",INDEX('Currency Master'!B:B,MATCH(DATE(N1527,MONTH(DATEVALUE(O1527&amp;" 1")),1),'Currency Master'!A:A,0)),IF(C1527="Australia",INDEX('Currency Master'!T:T,MATCH(DATE(N1527,MONTH(DATEVALUE(O1527&amp;" 1")),1),'Currency Master'!A:A,0)),"")))</f>
        <v>33.878</v>
      </c>
      <c r="J1527" s="3">
        <f t="shared" si="92"/>
        <v>313.61</v>
      </c>
      <c r="K1527" s="3" t="str">
        <f t="shared" si="93"/>
        <v>₹/Kg</v>
      </c>
      <c r="L1527" s="3">
        <v>9.1000000000000004E-3</v>
      </c>
      <c r="M1527" s="3"/>
      <c r="N1527" s="3">
        <f t="shared" si="94"/>
        <v>2006</v>
      </c>
      <c r="O1527" s="3" t="str">
        <f t="shared" si="95"/>
        <v>April</v>
      </c>
      <c r="P1527" s="3" t="s">
        <v>41</v>
      </c>
      <c r="Q1527" s="3"/>
    </row>
    <row r="1528" spans="1:17" hidden="1" x14ac:dyDescent="0.3">
      <c r="A1528" s="2">
        <v>38777</v>
      </c>
      <c r="B1528" s="3" t="s">
        <v>31</v>
      </c>
      <c r="C1528" s="3" t="s">
        <v>32</v>
      </c>
      <c r="D1528" s="3" t="s">
        <v>38</v>
      </c>
      <c r="E1528" s="3" t="s">
        <v>39</v>
      </c>
      <c r="F1528" s="3">
        <v>310.77</v>
      </c>
      <c r="G1528" s="3" t="s">
        <v>40</v>
      </c>
      <c r="H1528" s="3" t="s">
        <v>17</v>
      </c>
      <c r="I1528" s="3">
        <f>IF(C1528="India",1,IF(C1528="USA",INDEX('Currency Master'!B:B,MATCH(DATE(N1528,MONTH(DATEVALUE(O1528&amp;" 1")),1),'Currency Master'!A:A,0)),IF(C1528="Australia",INDEX('Currency Master'!T:T,MATCH(DATE(N1528,MONTH(DATEVALUE(O1528&amp;" 1")),1),'Currency Master'!A:A,0)),"")))</f>
        <v>33.723999999999997</v>
      </c>
      <c r="J1528" s="3">
        <f t="shared" si="92"/>
        <v>310.77</v>
      </c>
      <c r="K1528" s="3" t="str">
        <f t="shared" si="93"/>
        <v>₹/Kg</v>
      </c>
      <c r="L1528" s="3">
        <v>-1.23E-2</v>
      </c>
      <c r="M1528" s="3"/>
      <c r="N1528" s="3">
        <f t="shared" si="94"/>
        <v>2006</v>
      </c>
      <c r="O1528" s="3" t="str">
        <f t="shared" si="95"/>
        <v>March</v>
      </c>
      <c r="P1528" s="3" t="s">
        <v>41</v>
      </c>
      <c r="Q1528" s="3"/>
    </row>
    <row r="1529" spans="1:17" hidden="1" x14ac:dyDescent="0.3">
      <c r="A1529" s="2">
        <v>38749</v>
      </c>
      <c r="B1529" s="3" t="s">
        <v>31</v>
      </c>
      <c r="C1529" s="3" t="s">
        <v>32</v>
      </c>
      <c r="D1529" s="3" t="s">
        <v>38</v>
      </c>
      <c r="E1529" s="3" t="s">
        <v>39</v>
      </c>
      <c r="F1529" s="3">
        <v>314.63</v>
      </c>
      <c r="G1529" s="3" t="s">
        <v>40</v>
      </c>
      <c r="H1529" s="3" t="s">
        <v>17</v>
      </c>
      <c r="I1529" s="3">
        <f>IF(C1529="India",1,IF(C1529="USA",INDEX('Currency Master'!B:B,MATCH(DATE(N1529,MONTH(DATEVALUE(O1529&amp;" 1")),1),'Currency Master'!A:A,0)),IF(C1529="Australia",INDEX('Currency Master'!T:T,MATCH(DATE(N1529,MONTH(DATEVALUE(O1529&amp;" 1")),1),'Currency Master'!A:A,0)),"")))</f>
        <v>33.459000000000003</v>
      </c>
      <c r="J1529" s="3">
        <f t="shared" si="92"/>
        <v>314.63</v>
      </c>
      <c r="K1529" s="3" t="str">
        <f t="shared" si="93"/>
        <v>₹/Kg</v>
      </c>
      <c r="L1529" s="3">
        <v>0.1087</v>
      </c>
      <c r="M1529" s="3"/>
      <c r="N1529" s="3">
        <f t="shared" si="94"/>
        <v>2006</v>
      </c>
      <c r="O1529" s="3" t="str">
        <f t="shared" si="95"/>
        <v>February</v>
      </c>
      <c r="P1529" s="3" t="s">
        <v>41</v>
      </c>
      <c r="Q1529" s="3"/>
    </row>
    <row r="1530" spans="1:17" hidden="1" x14ac:dyDescent="0.3">
      <c r="A1530" s="2">
        <v>38718</v>
      </c>
      <c r="B1530" s="3" t="s">
        <v>31</v>
      </c>
      <c r="C1530" s="3" t="s">
        <v>32</v>
      </c>
      <c r="D1530" s="3" t="s">
        <v>38</v>
      </c>
      <c r="E1530" s="3" t="s">
        <v>39</v>
      </c>
      <c r="F1530" s="3">
        <v>283.77999999999997</v>
      </c>
      <c r="G1530" s="3" t="s">
        <v>40</v>
      </c>
      <c r="H1530" s="3" t="s">
        <v>17</v>
      </c>
      <c r="I1530" s="3">
        <f>IF(C1530="India",1,IF(C1530="USA",INDEX('Currency Master'!B:B,MATCH(DATE(N1530,MONTH(DATEVALUE(O1530&amp;" 1")),1),'Currency Master'!A:A,0)),IF(C1530="Australia",INDEX('Currency Master'!T:T,MATCH(DATE(N1530,MONTH(DATEVALUE(O1530&amp;" 1")),1),'Currency Master'!A:A,0)),"")))</f>
        <v>33.232999999999997</v>
      </c>
      <c r="J1530" s="3">
        <f t="shared" si="92"/>
        <v>283.77999999999997</v>
      </c>
      <c r="K1530" s="3" t="str">
        <f t="shared" si="93"/>
        <v>₹/Kg</v>
      </c>
      <c r="L1530" s="3">
        <v>5.5500000000000001E-2</v>
      </c>
      <c r="M1530" s="3"/>
      <c r="N1530" s="3">
        <f t="shared" si="94"/>
        <v>2006</v>
      </c>
      <c r="O1530" s="3" t="str">
        <f t="shared" si="95"/>
        <v>January</v>
      </c>
      <c r="P1530" s="3" t="s">
        <v>41</v>
      </c>
      <c r="Q1530" s="3"/>
    </row>
    <row r="1531" spans="1:17" hidden="1" x14ac:dyDescent="0.3">
      <c r="A1531" s="2">
        <v>38687</v>
      </c>
      <c r="B1531" s="3" t="s">
        <v>31</v>
      </c>
      <c r="C1531" s="3" t="s">
        <v>32</v>
      </c>
      <c r="D1531" s="3" t="s">
        <v>38</v>
      </c>
      <c r="E1531" s="3" t="s">
        <v>39</v>
      </c>
      <c r="F1531" s="3">
        <v>268.85000000000002</v>
      </c>
      <c r="G1531" s="3" t="s">
        <v>40</v>
      </c>
      <c r="H1531" s="3" t="s">
        <v>17</v>
      </c>
      <c r="I1531" s="3">
        <f>IF(C1531="India",1,IF(C1531="USA",INDEX('Currency Master'!B:B,MATCH(DATE(N1531,MONTH(DATEVALUE(O1531&amp;" 1")),1),'Currency Master'!A:A,0)),IF(C1531="Australia",INDEX('Currency Master'!T:T,MATCH(DATE(N1531,MONTH(DATEVALUE(O1531&amp;" 1")),1),'Currency Master'!A:A,0)),"")))</f>
        <v>32.863999999999997</v>
      </c>
      <c r="J1531" s="3">
        <f t="shared" si="92"/>
        <v>268.85000000000002</v>
      </c>
      <c r="K1531" s="3" t="str">
        <f t="shared" si="93"/>
        <v>₹/Kg</v>
      </c>
      <c r="L1531" s="3">
        <v>-9.7000000000000003E-3</v>
      </c>
      <c r="M1531" s="3"/>
      <c r="N1531" s="3">
        <f t="shared" si="94"/>
        <v>2005</v>
      </c>
      <c r="O1531" s="3" t="str">
        <f t="shared" si="95"/>
        <v>December</v>
      </c>
      <c r="P1531" s="3" t="s">
        <v>41</v>
      </c>
      <c r="Q1531" s="3"/>
    </row>
    <row r="1532" spans="1:17" hidden="1" x14ac:dyDescent="0.3">
      <c r="A1532" s="2">
        <v>38657</v>
      </c>
      <c r="B1532" s="3" t="s">
        <v>31</v>
      </c>
      <c r="C1532" s="3" t="s">
        <v>32</v>
      </c>
      <c r="D1532" s="3" t="s">
        <v>38</v>
      </c>
      <c r="E1532" s="3" t="s">
        <v>39</v>
      </c>
      <c r="F1532" s="3">
        <v>271.47000000000003</v>
      </c>
      <c r="G1532" s="3" t="s">
        <v>40</v>
      </c>
      <c r="H1532" s="3" t="s">
        <v>17</v>
      </c>
      <c r="I1532" s="3">
        <f>IF(C1532="India",1,IF(C1532="USA",INDEX('Currency Master'!B:B,MATCH(DATE(N1532,MONTH(DATEVALUE(O1532&amp;" 1")),1),'Currency Master'!A:A,0)),IF(C1532="Australia",INDEX('Currency Master'!T:T,MATCH(DATE(N1532,MONTH(DATEVALUE(O1532&amp;" 1")),1),'Currency Master'!A:A,0)),"")))</f>
        <v>33.159999999999997</v>
      </c>
      <c r="J1532" s="3">
        <f t="shared" si="92"/>
        <v>271.47000000000003</v>
      </c>
      <c r="K1532" s="3" t="str">
        <f t="shared" si="93"/>
        <v>₹/Kg</v>
      </c>
      <c r="L1532" s="3">
        <v>-2.7199999999999998E-2</v>
      </c>
      <c r="M1532" s="3"/>
      <c r="N1532" s="3">
        <f t="shared" si="94"/>
        <v>2005</v>
      </c>
      <c r="O1532" s="3" t="str">
        <f t="shared" si="95"/>
        <v>November</v>
      </c>
      <c r="P1532" s="3" t="s">
        <v>41</v>
      </c>
      <c r="Q1532" s="3"/>
    </row>
    <row r="1533" spans="1:17" hidden="1" x14ac:dyDescent="0.3">
      <c r="A1533" s="2">
        <v>38626</v>
      </c>
      <c r="B1533" s="3" t="s">
        <v>31</v>
      </c>
      <c r="C1533" s="3" t="s">
        <v>32</v>
      </c>
      <c r="D1533" s="3" t="s">
        <v>38</v>
      </c>
      <c r="E1533" s="3" t="s">
        <v>39</v>
      </c>
      <c r="F1533" s="3">
        <v>279.05</v>
      </c>
      <c r="G1533" s="3" t="s">
        <v>40</v>
      </c>
      <c r="H1533" s="3" t="s">
        <v>17</v>
      </c>
      <c r="I1533" s="3">
        <f>IF(C1533="India",1,IF(C1533="USA",INDEX('Currency Master'!B:B,MATCH(DATE(N1533,MONTH(DATEVALUE(O1533&amp;" 1")),1),'Currency Master'!A:A,0)),IF(C1533="Australia",INDEX('Currency Master'!T:T,MATCH(DATE(N1533,MONTH(DATEVALUE(O1533&amp;" 1")),1),'Currency Master'!A:A,0)),"")))</f>
        <v>33.029000000000003</v>
      </c>
      <c r="J1533" s="3">
        <f t="shared" si="92"/>
        <v>279.05</v>
      </c>
      <c r="K1533" s="3" t="str">
        <f t="shared" si="93"/>
        <v>₹/Kg</v>
      </c>
      <c r="L1533" s="3">
        <v>-1.8499999999999999E-2</v>
      </c>
      <c r="M1533" s="3"/>
      <c r="N1533" s="3">
        <f t="shared" si="94"/>
        <v>2005</v>
      </c>
      <c r="O1533" s="3" t="str">
        <f t="shared" si="95"/>
        <v>October</v>
      </c>
      <c r="P1533" s="3" t="s">
        <v>41</v>
      </c>
      <c r="Q1533" s="3"/>
    </row>
    <row r="1534" spans="1:17" hidden="1" x14ac:dyDescent="0.3">
      <c r="A1534" s="2">
        <v>38596</v>
      </c>
      <c r="B1534" s="3" t="s">
        <v>31</v>
      </c>
      <c r="C1534" s="3" t="s">
        <v>32</v>
      </c>
      <c r="D1534" s="3" t="s">
        <v>38</v>
      </c>
      <c r="E1534" s="3" t="s">
        <v>39</v>
      </c>
      <c r="F1534" s="3">
        <v>284.32</v>
      </c>
      <c r="G1534" s="3" t="s">
        <v>40</v>
      </c>
      <c r="H1534" s="3" t="s">
        <v>17</v>
      </c>
      <c r="I1534" s="3">
        <f>IF(C1534="India",1,IF(C1534="USA",INDEX('Currency Master'!B:B,MATCH(DATE(N1534,MONTH(DATEVALUE(O1534&amp;" 1")),1),'Currency Master'!A:A,0)),IF(C1534="Australia",INDEX('Currency Master'!T:T,MATCH(DATE(N1534,MONTH(DATEVALUE(O1534&amp;" 1")),1),'Currency Master'!A:A,0)),"")))</f>
        <v>33.918999999999997</v>
      </c>
      <c r="J1534" s="3">
        <f t="shared" si="92"/>
        <v>284.32</v>
      </c>
      <c r="K1534" s="3" t="str">
        <f t="shared" si="93"/>
        <v>₹/Kg</v>
      </c>
      <c r="L1534" s="3">
        <v>-1.9599999999999999E-2</v>
      </c>
      <c r="M1534" s="3"/>
      <c r="N1534" s="3">
        <f t="shared" si="94"/>
        <v>2005</v>
      </c>
      <c r="O1534" s="3" t="str">
        <f t="shared" si="95"/>
        <v>September</v>
      </c>
      <c r="P1534" s="3" t="s">
        <v>41</v>
      </c>
      <c r="Q1534" s="3"/>
    </row>
    <row r="1535" spans="1:17" hidden="1" x14ac:dyDescent="0.3">
      <c r="A1535" s="2">
        <v>38565</v>
      </c>
      <c r="B1535" s="3" t="s">
        <v>31</v>
      </c>
      <c r="C1535" s="3" t="s">
        <v>32</v>
      </c>
      <c r="D1535" s="3" t="s">
        <v>38</v>
      </c>
      <c r="E1535" s="3" t="s">
        <v>39</v>
      </c>
      <c r="F1535" s="3">
        <v>290</v>
      </c>
      <c r="G1535" s="3" t="s">
        <v>40</v>
      </c>
      <c r="H1535" s="3" t="s">
        <v>17</v>
      </c>
      <c r="I1535" s="3">
        <f>IF(C1535="India",1,IF(C1535="USA",INDEX('Currency Master'!B:B,MATCH(DATE(N1535,MONTH(DATEVALUE(O1535&amp;" 1")),1),'Currency Master'!A:A,0)),IF(C1535="Australia",INDEX('Currency Master'!T:T,MATCH(DATE(N1535,MONTH(DATEVALUE(O1535&amp;" 1")),1),'Currency Master'!A:A,0)),"")))</f>
        <v>33.732999999999997</v>
      </c>
      <c r="J1535" s="3">
        <f t="shared" si="92"/>
        <v>290</v>
      </c>
      <c r="K1535" s="3" t="str">
        <f t="shared" si="93"/>
        <v>₹/Kg</v>
      </c>
      <c r="L1535" s="3">
        <v>-2.2800000000000001E-2</v>
      </c>
      <c r="M1535" s="3"/>
      <c r="N1535" s="3">
        <f t="shared" si="94"/>
        <v>2005</v>
      </c>
      <c r="O1535" s="3" t="str">
        <f t="shared" si="95"/>
        <v>August</v>
      </c>
      <c r="P1535" s="3" t="s">
        <v>41</v>
      </c>
      <c r="Q1535" s="3"/>
    </row>
    <row r="1536" spans="1:17" hidden="1" x14ac:dyDescent="0.3">
      <c r="A1536" s="2">
        <v>38534</v>
      </c>
      <c r="B1536" s="3" t="s">
        <v>31</v>
      </c>
      <c r="C1536" s="3" t="s">
        <v>32</v>
      </c>
      <c r="D1536" s="3" t="s">
        <v>38</v>
      </c>
      <c r="E1536" s="3" t="s">
        <v>39</v>
      </c>
      <c r="F1536" s="3">
        <v>296.76</v>
      </c>
      <c r="G1536" s="3" t="s">
        <v>40</v>
      </c>
      <c r="H1536" s="3" t="s">
        <v>17</v>
      </c>
      <c r="I1536" s="3">
        <f>IF(C1536="India",1,IF(C1536="USA",INDEX('Currency Master'!B:B,MATCH(DATE(N1536,MONTH(DATEVALUE(O1536&amp;" 1")),1),'Currency Master'!A:A,0)),IF(C1536="Australia",INDEX('Currency Master'!T:T,MATCH(DATE(N1536,MONTH(DATEVALUE(O1536&amp;" 1")),1),'Currency Master'!A:A,0)),"")))</f>
        <v>34.578000000000003</v>
      </c>
      <c r="J1536" s="3">
        <f t="shared" si="92"/>
        <v>296.76</v>
      </c>
      <c r="K1536" s="3" t="str">
        <f t="shared" si="93"/>
        <v>₹/Kg</v>
      </c>
      <c r="L1536" s="3">
        <v>-5.4000000000000003E-3</v>
      </c>
      <c r="M1536" s="3"/>
      <c r="N1536" s="3">
        <f t="shared" si="94"/>
        <v>2005</v>
      </c>
      <c r="O1536" s="3" t="str">
        <f t="shared" si="95"/>
        <v>July</v>
      </c>
      <c r="P1536" s="3" t="s">
        <v>41</v>
      </c>
      <c r="Q1536" s="3"/>
    </row>
    <row r="1537" spans="1:17" hidden="1" x14ac:dyDescent="0.3">
      <c r="A1537" s="2">
        <v>38504</v>
      </c>
      <c r="B1537" s="3" t="s">
        <v>31</v>
      </c>
      <c r="C1537" s="3" t="s">
        <v>32</v>
      </c>
      <c r="D1537" s="3" t="s">
        <v>38</v>
      </c>
      <c r="E1537" s="3" t="s">
        <v>39</v>
      </c>
      <c r="F1537" s="3">
        <v>298.39</v>
      </c>
      <c r="G1537" s="3" t="s">
        <v>40</v>
      </c>
      <c r="H1537" s="3" t="s">
        <v>17</v>
      </c>
      <c r="I1537" s="3">
        <f>IF(C1537="India",1,IF(C1537="USA",INDEX('Currency Master'!B:B,MATCH(DATE(N1537,MONTH(DATEVALUE(O1537&amp;" 1")),1),'Currency Master'!A:A,0)),IF(C1537="Australia",INDEX('Currency Master'!T:T,MATCH(DATE(N1537,MONTH(DATEVALUE(O1537&amp;" 1")),1),'Currency Master'!A:A,0)),"")))</f>
        <v>33.831000000000003</v>
      </c>
      <c r="J1537" s="3">
        <f t="shared" si="92"/>
        <v>298.39</v>
      </c>
      <c r="K1537" s="3" t="str">
        <f t="shared" si="93"/>
        <v>₹/Kg</v>
      </c>
      <c r="L1537" s="3">
        <v>-4.3299999999999998E-2</v>
      </c>
      <c r="M1537" s="3"/>
      <c r="N1537" s="3">
        <f t="shared" si="94"/>
        <v>2005</v>
      </c>
      <c r="O1537" s="3" t="str">
        <f t="shared" si="95"/>
        <v>June</v>
      </c>
      <c r="P1537" s="3" t="s">
        <v>41</v>
      </c>
      <c r="Q1537" s="3"/>
    </row>
    <row r="1538" spans="1:17" hidden="1" x14ac:dyDescent="0.3">
      <c r="A1538" s="2">
        <v>38473</v>
      </c>
      <c r="B1538" s="3" t="s">
        <v>31</v>
      </c>
      <c r="C1538" s="3" t="s">
        <v>32</v>
      </c>
      <c r="D1538" s="3" t="s">
        <v>38</v>
      </c>
      <c r="E1538" s="3" t="s">
        <v>39</v>
      </c>
      <c r="F1538" s="3">
        <v>311.89</v>
      </c>
      <c r="G1538" s="3" t="s">
        <v>40</v>
      </c>
      <c r="H1538" s="3" t="s">
        <v>17</v>
      </c>
      <c r="I1538" s="3">
        <f>IF(C1538="India",1,IF(C1538="USA",INDEX('Currency Master'!B:B,MATCH(DATE(N1538,MONTH(DATEVALUE(O1538&amp;" 1")),1),'Currency Master'!A:A,0)),IF(C1538="Australia",INDEX('Currency Master'!T:T,MATCH(DATE(N1538,MONTH(DATEVALUE(O1538&amp;" 1")),1),'Currency Master'!A:A,0)),"")))</f>
        <v>33.845999999999997</v>
      </c>
      <c r="J1538" s="3">
        <f t="shared" si="92"/>
        <v>311.89</v>
      </c>
      <c r="K1538" s="3" t="str">
        <f t="shared" si="93"/>
        <v>₹/Kg</v>
      </c>
      <c r="L1538" s="3">
        <v>-2.2100000000000002E-2</v>
      </c>
      <c r="M1538" s="3"/>
      <c r="N1538" s="3">
        <f t="shared" si="94"/>
        <v>2005</v>
      </c>
      <c r="O1538" s="3" t="str">
        <f t="shared" si="95"/>
        <v>May</v>
      </c>
      <c r="P1538" s="3" t="s">
        <v>41</v>
      </c>
      <c r="Q1538" s="3"/>
    </row>
    <row r="1539" spans="1:17" hidden="1" x14ac:dyDescent="0.3">
      <c r="A1539" s="2">
        <v>38443</v>
      </c>
      <c r="B1539" s="3" t="s">
        <v>31</v>
      </c>
      <c r="C1539" s="3" t="s">
        <v>32</v>
      </c>
      <c r="D1539" s="3" t="s">
        <v>38</v>
      </c>
      <c r="E1539" s="3" t="s">
        <v>39</v>
      </c>
      <c r="F1539" s="3">
        <v>318.95</v>
      </c>
      <c r="G1539" s="3" t="s">
        <v>40</v>
      </c>
      <c r="H1539" s="3" t="s">
        <v>17</v>
      </c>
      <c r="I1539" s="3">
        <f>IF(C1539="India",1,IF(C1539="USA",INDEX('Currency Master'!B:B,MATCH(DATE(N1539,MONTH(DATEVALUE(O1539&amp;" 1")),1),'Currency Master'!A:A,0)),IF(C1539="Australia",INDEX('Currency Master'!T:T,MATCH(DATE(N1539,MONTH(DATEVALUE(O1539&amp;" 1")),1),'Currency Master'!A:A,0)),"")))</f>
        <v>34.351999999999997</v>
      </c>
      <c r="J1539" s="3">
        <f t="shared" ref="J1539:J1602" si="96">IF(C1539="India",F1539,IF(C1539="USA",IF(G1539="US Cents/Lb",ROUND(((F1539/100)/0.453592)*I1539*356,0),F1539),IF(C1539="Australia",IF(G1539="AUc/kg",ROUND((F1539/100)*I1539,2),F1539),"")))</f>
        <v>318.95</v>
      </c>
      <c r="K1539" s="3" t="str">
        <f t="shared" ref="K1539:K1602" si="97">IF(C1539="India",G1539,IF(C1539="USA","₹/Candy",IF(C1539="Australia","₹/Kg","")))</f>
        <v>₹/Kg</v>
      </c>
      <c r="L1539" s="3">
        <v>2.2000000000000001E-3</v>
      </c>
      <c r="M1539" s="3"/>
      <c r="N1539" s="3">
        <f t="shared" ref="N1539:N1602" si="98">YEAR(A1539)</f>
        <v>2005</v>
      </c>
      <c r="O1539" s="3" t="str">
        <f t="shared" ref="O1539:O1602" si="99">TEXT(A1539,"mmmm")</f>
        <v>April</v>
      </c>
      <c r="P1539" s="3" t="s">
        <v>41</v>
      </c>
      <c r="Q1539" s="3"/>
    </row>
    <row r="1540" spans="1:17" hidden="1" x14ac:dyDescent="0.3">
      <c r="A1540" s="2">
        <v>38412</v>
      </c>
      <c r="B1540" s="3" t="s">
        <v>31</v>
      </c>
      <c r="C1540" s="3" t="s">
        <v>32</v>
      </c>
      <c r="D1540" s="3" t="s">
        <v>38</v>
      </c>
      <c r="E1540" s="3" t="s">
        <v>39</v>
      </c>
      <c r="F1540" s="3">
        <v>318.26</v>
      </c>
      <c r="G1540" s="3" t="s">
        <v>40</v>
      </c>
      <c r="H1540" s="3" t="s">
        <v>17</v>
      </c>
      <c r="I1540" s="3">
        <f>IF(C1540="India",1,IF(C1540="USA",INDEX('Currency Master'!B:B,MATCH(DATE(N1540,MONTH(DATEVALUE(O1540&amp;" 1")),1),'Currency Master'!A:A,0)),IF(C1540="Australia",INDEX('Currency Master'!T:T,MATCH(DATE(N1540,MONTH(DATEVALUE(O1540&amp;" 1")),1),'Currency Master'!A:A,0)),"")))</f>
        <v>33.94</v>
      </c>
      <c r="J1540" s="3">
        <f t="shared" si="96"/>
        <v>318.26</v>
      </c>
      <c r="K1540" s="3" t="str">
        <f t="shared" si="97"/>
        <v>₹/Kg</v>
      </c>
      <c r="L1540" s="3">
        <v>-8.2000000000000007E-3</v>
      </c>
      <c r="M1540" s="3"/>
      <c r="N1540" s="3">
        <f t="shared" si="98"/>
        <v>2005</v>
      </c>
      <c r="O1540" s="3" t="str">
        <f t="shared" si="99"/>
        <v>March</v>
      </c>
      <c r="P1540" s="3" t="s">
        <v>41</v>
      </c>
      <c r="Q1540" s="3"/>
    </row>
    <row r="1541" spans="1:17" hidden="1" x14ac:dyDescent="0.3">
      <c r="A1541" s="2">
        <v>38384</v>
      </c>
      <c r="B1541" s="3" t="s">
        <v>31</v>
      </c>
      <c r="C1541" s="3" t="s">
        <v>32</v>
      </c>
      <c r="D1541" s="3" t="s">
        <v>38</v>
      </c>
      <c r="E1541" s="3" t="s">
        <v>39</v>
      </c>
      <c r="F1541" s="3">
        <v>320.89</v>
      </c>
      <c r="G1541" s="3" t="s">
        <v>40</v>
      </c>
      <c r="H1541" s="3" t="s">
        <v>17</v>
      </c>
      <c r="I1541" s="3">
        <f>IF(C1541="India",1,IF(C1541="USA",INDEX('Currency Master'!B:B,MATCH(DATE(N1541,MONTH(DATEVALUE(O1541&amp;" 1")),1),'Currency Master'!A:A,0)),IF(C1541="Australia",INDEX('Currency Master'!T:T,MATCH(DATE(N1541,MONTH(DATEVALUE(O1541&amp;" 1")),1),'Currency Master'!A:A,0)),"")))</f>
        <v>33.408000000000001</v>
      </c>
      <c r="J1541" s="3">
        <f t="shared" si="96"/>
        <v>320.89</v>
      </c>
      <c r="K1541" s="3" t="str">
        <f t="shared" si="97"/>
        <v>₹/Kg</v>
      </c>
      <c r="L1541" s="3">
        <v>4.4000000000000003E-3</v>
      </c>
      <c r="M1541" s="3"/>
      <c r="N1541" s="3">
        <f t="shared" si="98"/>
        <v>2005</v>
      </c>
      <c r="O1541" s="3" t="str">
        <f t="shared" si="99"/>
        <v>February</v>
      </c>
      <c r="P1541" s="3" t="s">
        <v>41</v>
      </c>
      <c r="Q1541" s="3"/>
    </row>
    <row r="1542" spans="1:17" hidden="1" x14ac:dyDescent="0.3">
      <c r="A1542" s="2">
        <v>38353</v>
      </c>
      <c r="B1542" s="3" t="s">
        <v>31</v>
      </c>
      <c r="C1542" s="3" t="s">
        <v>32</v>
      </c>
      <c r="D1542" s="3" t="s">
        <v>38</v>
      </c>
      <c r="E1542" s="3" t="s">
        <v>39</v>
      </c>
      <c r="F1542" s="3">
        <v>319.5</v>
      </c>
      <c r="G1542" s="3" t="s">
        <v>40</v>
      </c>
      <c r="H1542" s="3" t="s">
        <v>17</v>
      </c>
      <c r="I1542" s="3">
        <f>IF(C1542="India",1,IF(C1542="USA",INDEX('Currency Master'!B:B,MATCH(DATE(N1542,MONTH(DATEVALUE(O1542&amp;" 1")),1),'Currency Master'!A:A,0)),IF(C1542="Australia",INDEX('Currency Master'!T:T,MATCH(DATE(N1542,MONTH(DATEVALUE(O1542&amp;" 1")),1),'Currency Master'!A:A,0)),"")))</f>
        <v>32.636000000000003</v>
      </c>
      <c r="J1542" s="3">
        <f t="shared" si="96"/>
        <v>319.5</v>
      </c>
      <c r="K1542" s="3" t="str">
        <f t="shared" si="97"/>
        <v>₹/Kg</v>
      </c>
      <c r="L1542" s="3">
        <v>1.5100000000000001E-2</v>
      </c>
      <c r="M1542" s="3"/>
      <c r="N1542" s="3">
        <f t="shared" si="98"/>
        <v>2005</v>
      </c>
      <c r="O1542" s="3" t="str">
        <f t="shared" si="99"/>
        <v>January</v>
      </c>
      <c r="P1542" s="3" t="s">
        <v>41</v>
      </c>
      <c r="Q1542" s="3"/>
    </row>
    <row r="1543" spans="1:17" hidden="1" x14ac:dyDescent="0.3">
      <c r="A1543" s="2">
        <v>38322</v>
      </c>
      <c r="B1543" s="3" t="s">
        <v>31</v>
      </c>
      <c r="C1543" s="3" t="s">
        <v>32</v>
      </c>
      <c r="D1543" s="3" t="s">
        <v>38</v>
      </c>
      <c r="E1543" s="3" t="s">
        <v>39</v>
      </c>
      <c r="F1543" s="3">
        <v>314.73</v>
      </c>
      <c r="G1543" s="3" t="s">
        <v>40</v>
      </c>
      <c r="H1543" s="3" t="s">
        <v>17</v>
      </c>
      <c r="I1543" s="3">
        <f>IF(C1543="India",1,IF(C1543="USA",INDEX('Currency Master'!B:B,MATCH(DATE(N1543,MONTH(DATEVALUE(O1543&amp;" 1")),1),'Currency Master'!A:A,0)),IF(C1543="Australia",INDEX('Currency Master'!T:T,MATCH(DATE(N1543,MONTH(DATEVALUE(O1543&amp;" 1")),1),'Currency Master'!A:A,0)),"")))</f>
        <v>32.585000000000001</v>
      </c>
      <c r="J1543" s="3">
        <f t="shared" si="96"/>
        <v>314.73</v>
      </c>
      <c r="K1543" s="3" t="str">
        <f t="shared" si="97"/>
        <v>₹/Kg</v>
      </c>
      <c r="L1543" s="3">
        <v>-5.21E-2</v>
      </c>
      <c r="M1543" s="3"/>
      <c r="N1543" s="3">
        <f t="shared" si="98"/>
        <v>2004</v>
      </c>
      <c r="O1543" s="3" t="str">
        <f t="shared" si="99"/>
        <v>December</v>
      </c>
      <c r="P1543" s="3" t="s">
        <v>41</v>
      </c>
      <c r="Q1543" s="3"/>
    </row>
    <row r="1544" spans="1:17" hidden="1" x14ac:dyDescent="0.3">
      <c r="A1544" s="2">
        <v>38292</v>
      </c>
      <c r="B1544" s="3" t="s">
        <v>31</v>
      </c>
      <c r="C1544" s="3" t="s">
        <v>32</v>
      </c>
      <c r="D1544" s="3" t="s">
        <v>38</v>
      </c>
      <c r="E1544" s="3" t="s">
        <v>39</v>
      </c>
      <c r="F1544" s="3">
        <v>332.04</v>
      </c>
      <c r="G1544" s="3" t="s">
        <v>40</v>
      </c>
      <c r="H1544" s="3" t="s">
        <v>17</v>
      </c>
      <c r="I1544" s="3">
        <f>IF(C1544="India",1,IF(C1544="USA",INDEX('Currency Master'!B:B,MATCH(DATE(N1544,MONTH(DATEVALUE(O1544&amp;" 1")),1),'Currency Master'!A:A,0)),IF(C1544="Australia",INDEX('Currency Master'!T:T,MATCH(DATE(N1544,MONTH(DATEVALUE(O1544&amp;" 1")),1),'Currency Master'!A:A,0)),"")))</f>
        <v>32.110999999999997</v>
      </c>
      <c r="J1544" s="3">
        <f t="shared" si="96"/>
        <v>332.04</v>
      </c>
      <c r="K1544" s="3" t="str">
        <f t="shared" si="97"/>
        <v>₹/Kg</v>
      </c>
      <c r="L1544" s="3">
        <v>8.6999999999999994E-3</v>
      </c>
      <c r="M1544" s="3"/>
      <c r="N1544" s="3">
        <f t="shared" si="98"/>
        <v>2004</v>
      </c>
      <c r="O1544" s="3" t="str">
        <f t="shared" si="99"/>
        <v>November</v>
      </c>
      <c r="P1544" s="3" t="s">
        <v>41</v>
      </c>
      <c r="Q1544" s="3"/>
    </row>
    <row r="1545" spans="1:17" hidden="1" x14ac:dyDescent="0.3">
      <c r="A1545" s="2">
        <v>38261</v>
      </c>
      <c r="B1545" s="3" t="s">
        <v>31</v>
      </c>
      <c r="C1545" s="3" t="s">
        <v>32</v>
      </c>
      <c r="D1545" s="3" t="s">
        <v>38</v>
      </c>
      <c r="E1545" s="3" t="s">
        <v>39</v>
      </c>
      <c r="F1545" s="3">
        <v>329.17</v>
      </c>
      <c r="G1545" s="3" t="s">
        <v>40</v>
      </c>
      <c r="H1545" s="3" t="s">
        <v>17</v>
      </c>
      <c r="I1545" s="3">
        <f>IF(C1545="India",1,IF(C1545="USA",INDEX('Currency Master'!B:B,MATCH(DATE(N1545,MONTH(DATEVALUE(O1545&amp;" 1")),1),'Currency Master'!A:A,0)),IF(C1545="Australia",INDEX('Currency Master'!T:T,MATCH(DATE(N1545,MONTH(DATEVALUE(O1545&amp;" 1")),1),'Currency Master'!A:A,0)),"")))</f>
        <v>32.524999999999999</v>
      </c>
      <c r="J1545" s="3">
        <f t="shared" si="96"/>
        <v>329.17</v>
      </c>
      <c r="K1545" s="3" t="str">
        <f t="shared" si="97"/>
        <v>₹/Kg</v>
      </c>
      <c r="L1545" s="3">
        <v>1.49E-2</v>
      </c>
      <c r="M1545" s="3"/>
      <c r="N1545" s="3">
        <f t="shared" si="98"/>
        <v>2004</v>
      </c>
      <c r="O1545" s="3" t="str">
        <f t="shared" si="99"/>
        <v>October</v>
      </c>
      <c r="P1545" s="3" t="s">
        <v>41</v>
      </c>
      <c r="Q1545" s="3"/>
    </row>
    <row r="1546" spans="1:17" hidden="1" x14ac:dyDescent="0.3">
      <c r="A1546" s="2">
        <v>38231</v>
      </c>
      <c r="B1546" s="3" t="s">
        <v>31</v>
      </c>
      <c r="C1546" s="3" t="s">
        <v>32</v>
      </c>
      <c r="D1546" s="3" t="s">
        <v>38</v>
      </c>
      <c r="E1546" s="3" t="s">
        <v>39</v>
      </c>
      <c r="F1546" s="3">
        <v>324.35000000000002</v>
      </c>
      <c r="G1546" s="3" t="s">
        <v>40</v>
      </c>
      <c r="H1546" s="3" t="s">
        <v>17</v>
      </c>
      <c r="I1546" s="3">
        <f>IF(C1546="India",1,IF(C1546="USA",INDEX('Currency Master'!B:B,MATCH(DATE(N1546,MONTH(DATEVALUE(O1546&amp;" 1")),1),'Currency Master'!A:A,0)),IF(C1546="Australia",INDEX('Currency Master'!T:T,MATCH(DATE(N1546,MONTH(DATEVALUE(O1546&amp;" 1")),1),'Currency Master'!A:A,0)),"")))</f>
        <v>32.052</v>
      </c>
      <c r="J1546" s="3">
        <f t="shared" si="96"/>
        <v>324.35000000000002</v>
      </c>
      <c r="K1546" s="3" t="str">
        <f t="shared" si="97"/>
        <v>₹/Kg</v>
      </c>
      <c r="L1546" s="3">
        <v>-2.0199999999999999E-2</v>
      </c>
      <c r="M1546" s="3"/>
      <c r="N1546" s="3">
        <f t="shared" si="98"/>
        <v>2004</v>
      </c>
      <c r="O1546" s="3" t="str">
        <f t="shared" si="99"/>
        <v>September</v>
      </c>
      <c r="P1546" s="3" t="s">
        <v>41</v>
      </c>
      <c r="Q1546" s="3"/>
    </row>
    <row r="1547" spans="1:17" hidden="1" x14ac:dyDescent="0.3">
      <c r="A1547" s="2">
        <v>38200</v>
      </c>
      <c r="B1547" s="3" t="s">
        <v>31</v>
      </c>
      <c r="C1547" s="3" t="s">
        <v>32</v>
      </c>
      <c r="D1547" s="3" t="s">
        <v>38</v>
      </c>
      <c r="E1547" s="3" t="s">
        <v>39</v>
      </c>
      <c r="F1547" s="3">
        <v>331.05</v>
      </c>
      <c r="G1547" s="3" t="s">
        <v>40</v>
      </c>
      <c r="H1547" s="3" t="s">
        <v>17</v>
      </c>
      <c r="I1547" s="3">
        <f>IF(C1547="India",1,IF(C1547="USA",INDEX('Currency Master'!B:B,MATCH(DATE(N1547,MONTH(DATEVALUE(O1547&amp;" 1")),1),'Currency Master'!A:A,0)),IF(C1547="Australia",INDEX('Currency Master'!T:T,MATCH(DATE(N1547,MONTH(DATEVALUE(O1547&amp;" 1")),1),'Currency Master'!A:A,0)),"")))</f>
        <v>33.238999999999997</v>
      </c>
      <c r="J1547" s="3">
        <f t="shared" si="96"/>
        <v>331.05</v>
      </c>
      <c r="K1547" s="3" t="str">
        <f t="shared" si="97"/>
        <v>₹/Kg</v>
      </c>
      <c r="L1547" s="3">
        <v>-6.1999999999999998E-3</v>
      </c>
      <c r="M1547" s="3"/>
      <c r="N1547" s="3">
        <f t="shared" si="98"/>
        <v>2004</v>
      </c>
      <c r="O1547" s="3" t="str">
        <f t="shared" si="99"/>
        <v>August</v>
      </c>
      <c r="P1547" s="3" t="s">
        <v>41</v>
      </c>
      <c r="Q1547" s="3"/>
    </row>
    <row r="1548" spans="1:17" hidden="1" x14ac:dyDescent="0.3">
      <c r="A1548" s="2">
        <v>38169</v>
      </c>
      <c r="B1548" s="3" t="s">
        <v>31</v>
      </c>
      <c r="C1548" s="3" t="s">
        <v>32</v>
      </c>
      <c r="D1548" s="3" t="s">
        <v>38</v>
      </c>
      <c r="E1548" s="3" t="s">
        <v>39</v>
      </c>
      <c r="F1548" s="3">
        <v>333.1</v>
      </c>
      <c r="G1548" s="3" t="s">
        <v>40</v>
      </c>
      <c r="H1548" s="3" t="s">
        <v>17</v>
      </c>
      <c r="I1548" s="3">
        <f>IF(C1548="India",1,IF(C1548="USA",INDEX('Currency Master'!B:B,MATCH(DATE(N1548,MONTH(DATEVALUE(O1548&amp;" 1")),1),'Currency Master'!A:A,0)),IF(C1548="Australia",INDEX('Currency Master'!T:T,MATCH(DATE(N1548,MONTH(DATEVALUE(O1548&amp;" 1")),1),'Currency Master'!A:A,0)),"")))</f>
        <v>34.976999999999997</v>
      </c>
      <c r="J1548" s="3">
        <f t="shared" si="96"/>
        <v>333.1</v>
      </c>
      <c r="K1548" s="3" t="str">
        <f t="shared" si="97"/>
        <v>₹/Kg</v>
      </c>
      <c r="L1548" s="3">
        <v>3.2899999999999999E-2</v>
      </c>
      <c r="M1548" s="3"/>
      <c r="N1548" s="3">
        <f t="shared" si="98"/>
        <v>2004</v>
      </c>
      <c r="O1548" s="3" t="str">
        <f t="shared" si="99"/>
        <v>July</v>
      </c>
      <c r="P1548" s="3" t="s">
        <v>41</v>
      </c>
      <c r="Q1548" s="3"/>
    </row>
    <row r="1549" spans="1:17" hidden="1" x14ac:dyDescent="0.3">
      <c r="A1549" s="2">
        <v>38139</v>
      </c>
      <c r="B1549" s="3" t="s">
        <v>31</v>
      </c>
      <c r="C1549" s="3" t="s">
        <v>32</v>
      </c>
      <c r="D1549" s="3" t="s">
        <v>38</v>
      </c>
      <c r="E1549" s="3" t="s">
        <v>39</v>
      </c>
      <c r="F1549" s="3">
        <v>322.48</v>
      </c>
      <c r="G1549" s="3" t="s">
        <v>40</v>
      </c>
      <c r="H1549" s="3" t="s">
        <v>17</v>
      </c>
      <c r="I1549" s="3">
        <f>IF(C1549="India",1,IF(C1549="USA",INDEX('Currency Master'!B:B,MATCH(DATE(N1549,MONTH(DATEVALUE(O1549&amp;" 1")),1),'Currency Master'!A:A,0)),IF(C1549="Australia",INDEX('Currency Master'!T:T,MATCH(DATE(N1549,MONTH(DATEVALUE(O1549&amp;" 1")),1),'Currency Master'!A:A,0)),"")))</f>
        <v>34.579000000000001</v>
      </c>
      <c r="J1549" s="3">
        <f t="shared" si="96"/>
        <v>322.48</v>
      </c>
      <c r="K1549" s="3" t="str">
        <f t="shared" si="97"/>
        <v>₹/Kg</v>
      </c>
      <c r="L1549" s="3">
        <v>1.55E-2</v>
      </c>
      <c r="M1549" s="3"/>
      <c r="N1549" s="3">
        <f t="shared" si="98"/>
        <v>2004</v>
      </c>
      <c r="O1549" s="3" t="str">
        <f t="shared" si="99"/>
        <v>June</v>
      </c>
      <c r="P1549" s="3" t="s">
        <v>41</v>
      </c>
      <c r="Q1549" s="3"/>
    </row>
    <row r="1550" spans="1:17" hidden="1" x14ac:dyDescent="0.3">
      <c r="A1550" s="2">
        <v>38108</v>
      </c>
      <c r="B1550" s="3" t="s">
        <v>31</v>
      </c>
      <c r="C1550" s="3" t="s">
        <v>32</v>
      </c>
      <c r="D1550" s="3" t="s">
        <v>38</v>
      </c>
      <c r="E1550" s="3" t="s">
        <v>39</v>
      </c>
      <c r="F1550" s="3">
        <v>317.55</v>
      </c>
      <c r="G1550" s="3" t="s">
        <v>40</v>
      </c>
      <c r="H1550" s="3" t="s">
        <v>17</v>
      </c>
      <c r="I1550" s="3">
        <f>IF(C1550="India",1,IF(C1550="USA",INDEX('Currency Master'!B:B,MATCH(DATE(N1550,MONTH(DATEVALUE(O1550&amp;" 1")),1),'Currency Master'!A:A,0)),IF(C1550="Australia",INDEX('Currency Master'!T:T,MATCH(DATE(N1550,MONTH(DATEVALUE(O1550&amp;" 1")),1),'Currency Master'!A:A,0)),"")))</f>
        <v>34.302999999999997</v>
      </c>
      <c r="J1550" s="3">
        <f t="shared" si="96"/>
        <v>317.55</v>
      </c>
      <c r="K1550" s="3" t="str">
        <f t="shared" si="97"/>
        <v>₹/Kg</v>
      </c>
      <c r="L1550" s="3">
        <v>2.3599999999999999E-2</v>
      </c>
      <c r="M1550" s="3"/>
      <c r="N1550" s="3">
        <f t="shared" si="98"/>
        <v>2004</v>
      </c>
      <c r="O1550" s="3" t="str">
        <f t="shared" si="99"/>
        <v>May</v>
      </c>
      <c r="P1550" s="3" t="s">
        <v>41</v>
      </c>
      <c r="Q1550" s="3"/>
    </row>
    <row r="1551" spans="1:17" hidden="1" x14ac:dyDescent="0.3">
      <c r="A1551" s="2">
        <v>38078</v>
      </c>
      <c r="B1551" s="3" t="s">
        <v>31</v>
      </c>
      <c r="C1551" s="3" t="s">
        <v>32</v>
      </c>
      <c r="D1551" s="3" t="s">
        <v>38</v>
      </c>
      <c r="E1551" s="3" t="s">
        <v>39</v>
      </c>
      <c r="F1551" s="3">
        <v>310.22000000000003</v>
      </c>
      <c r="G1551" s="3" t="s">
        <v>40</v>
      </c>
      <c r="H1551" s="3" t="s">
        <v>17</v>
      </c>
      <c r="I1551" s="3">
        <f>IF(C1551="India",1,IF(C1551="USA",INDEX('Currency Master'!B:B,MATCH(DATE(N1551,MONTH(DATEVALUE(O1551&amp;" 1")),1),'Currency Master'!A:A,0)),IF(C1551="Australia",INDEX('Currency Master'!T:T,MATCH(DATE(N1551,MONTH(DATEVALUE(O1551&amp;" 1")),1),'Currency Master'!A:A,0)),"")))</f>
        <v>33.149000000000001</v>
      </c>
      <c r="J1551" s="3">
        <f t="shared" si="96"/>
        <v>310.22000000000003</v>
      </c>
      <c r="K1551" s="3" t="str">
        <f t="shared" si="97"/>
        <v>₹/Kg</v>
      </c>
      <c r="L1551" s="3">
        <v>-2.76E-2</v>
      </c>
      <c r="M1551" s="3"/>
      <c r="N1551" s="3">
        <f t="shared" si="98"/>
        <v>2004</v>
      </c>
      <c r="O1551" s="3" t="str">
        <f t="shared" si="99"/>
        <v>April</v>
      </c>
      <c r="P1551" s="3" t="s">
        <v>41</v>
      </c>
      <c r="Q1551" s="3"/>
    </row>
    <row r="1552" spans="1:17" hidden="1" x14ac:dyDescent="0.3">
      <c r="A1552" s="2">
        <v>38047</v>
      </c>
      <c r="B1552" s="3" t="s">
        <v>31</v>
      </c>
      <c r="C1552" s="3" t="s">
        <v>32</v>
      </c>
      <c r="D1552" s="3" t="s">
        <v>38</v>
      </c>
      <c r="E1552" s="3" t="s">
        <v>39</v>
      </c>
      <c r="F1552" s="3">
        <v>319.04000000000002</v>
      </c>
      <c r="G1552" s="3" t="s">
        <v>40</v>
      </c>
      <c r="H1552" s="3" t="s">
        <v>17</v>
      </c>
      <c r="I1552" s="3">
        <f>IF(C1552="India",1,IF(C1552="USA",INDEX('Currency Master'!B:B,MATCH(DATE(N1552,MONTH(DATEVALUE(O1552&amp;" 1")),1),'Currency Master'!A:A,0)),IF(C1552="Australia",INDEX('Currency Master'!T:T,MATCH(DATE(N1552,MONTH(DATEVALUE(O1552&amp;" 1")),1),'Currency Master'!A:A,0)),"")))</f>
        <v>32.097000000000001</v>
      </c>
      <c r="J1552" s="3">
        <f t="shared" si="96"/>
        <v>319.04000000000002</v>
      </c>
      <c r="K1552" s="3" t="str">
        <f t="shared" si="97"/>
        <v>₹/Kg</v>
      </c>
      <c r="L1552" s="3">
        <v>-2.3300000000000001E-2</v>
      </c>
      <c r="M1552" s="3"/>
      <c r="N1552" s="3">
        <f t="shared" si="98"/>
        <v>2004</v>
      </c>
      <c r="O1552" s="3" t="str">
        <f t="shared" si="99"/>
        <v>March</v>
      </c>
      <c r="P1552" s="3" t="s">
        <v>41</v>
      </c>
      <c r="Q1552" s="3"/>
    </row>
    <row r="1553" spans="1:17" hidden="1" x14ac:dyDescent="0.3">
      <c r="A1553" s="2">
        <v>38018</v>
      </c>
      <c r="B1553" s="3" t="s">
        <v>31</v>
      </c>
      <c r="C1553" s="3" t="s">
        <v>32</v>
      </c>
      <c r="D1553" s="3" t="s">
        <v>38</v>
      </c>
      <c r="E1553" s="3" t="s">
        <v>39</v>
      </c>
      <c r="F1553" s="3">
        <v>326.64</v>
      </c>
      <c r="G1553" s="3" t="s">
        <v>40</v>
      </c>
      <c r="H1553" s="3" t="s">
        <v>17</v>
      </c>
      <c r="I1553" s="3">
        <f>IF(C1553="India",1,IF(C1553="USA",INDEX('Currency Master'!B:B,MATCH(DATE(N1553,MONTH(DATEVALUE(O1553&amp;" 1")),1),'Currency Master'!A:A,0)),IF(C1553="Australia",INDEX('Currency Master'!T:T,MATCH(DATE(N1553,MONTH(DATEVALUE(O1553&amp;" 1")),1),'Currency Master'!A:A,0)),"")))</f>
        <v>31.062000000000001</v>
      </c>
      <c r="J1553" s="3">
        <f t="shared" si="96"/>
        <v>326.64</v>
      </c>
      <c r="K1553" s="3" t="str">
        <f t="shared" si="97"/>
        <v>₹/Kg</v>
      </c>
      <c r="L1553" s="3">
        <v>-2.2700000000000001E-2</v>
      </c>
      <c r="M1553" s="3"/>
      <c r="N1553" s="3">
        <f t="shared" si="98"/>
        <v>2004</v>
      </c>
      <c r="O1553" s="3" t="str">
        <f t="shared" si="99"/>
        <v>February</v>
      </c>
      <c r="P1553" s="3" t="s">
        <v>41</v>
      </c>
      <c r="Q1553" s="3"/>
    </row>
    <row r="1554" spans="1:17" hidden="1" x14ac:dyDescent="0.3">
      <c r="A1554" s="2">
        <v>37987</v>
      </c>
      <c r="B1554" s="3" t="s">
        <v>31</v>
      </c>
      <c r="C1554" s="3" t="s">
        <v>32</v>
      </c>
      <c r="D1554" s="3" t="s">
        <v>38</v>
      </c>
      <c r="E1554" s="3" t="s">
        <v>39</v>
      </c>
      <c r="F1554" s="3">
        <v>334.23</v>
      </c>
      <c r="G1554" s="3" t="s">
        <v>40</v>
      </c>
      <c r="H1554" s="3" t="s">
        <v>17</v>
      </c>
      <c r="I1554" s="3">
        <f>IF(C1554="India",1,IF(C1554="USA",INDEX('Currency Master'!B:B,MATCH(DATE(N1554,MONTH(DATEVALUE(O1554&amp;" 1")),1),'Currency Master'!A:A,0)),IF(C1554="Australia",INDEX('Currency Master'!T:T,MATCH(DATE(N1554,MONTH(DATEVALUE(O1554&amp;" 1")),1),'Currency Master'!A:A,0)),"")))</f>
        <v>29.696999999999999</v>
      </c>
      <c r="J1554" s="3">
        <f t="shared" si="96"/>
        <v>334.23</v>
      </c>
      <c r="K1554" s="3" t="str">
        <f t="shared" si="97"/>
        <v>₹/Kg</v>
      </c>
      <c r="L1554" s="3">
        <v>0.1082</v>
      </c>
      <c r="M1554" s="3"/>
      <c r="N1554" s="3">
        <f t="shared" si="98"/>
        <v>2004</v>
      </c>
      <c r="O1554" s="3" t="str">
        <f t="shared" si="99"/>
        <v>January</v>
      </c>
      <c r="P1554" s="3" t="s">
        <v>41</v>
      </c>
      <c r="Q1554" s="3"/>
    </row>
    <row r="1555" spans="1:17" hidden="1" x14ac:dyDescent="0.3">
      <c r="A1555" s="2">
        <v>37956</v>
      </c>
      <c r="B1555" s="3" t="s">
        <v>31</v>
      </c>
      <c r="C1555" s="3" t="s">
        <v>32</v>
      </c>
      <c r="D1555" s="3" t="s">
        <v>38</v>
      </c>
      <c r="E1555" s="3" t="s">
        <v>39</v>
      </c>
      <c r="F1555" s="3">
        <v>301.61</v>
      </c>
      <c r="G1555" s="3" t="s">
        <v>40</v>
      </c>
      <c r="H1555" s="3" t="s">
        <v>17</v>
      </c>
      <c r="I1555" s="3">
        <f>IF(C1555="India",1,IF(C1555="USA",INDEX('Currency Master'!B:B,MATCH(DATE(N1555,MONTH(DATEVALUE(O1555&amp;" 1")),1),'Currency Master'!A:A,0)),IF(C1555="Australia",INDEX('Currency Master'!T:T,MATCH(DATE(N1555,MONTH(DATEVALUE(O1555&amp;" 1")),1),'Currency Master'!A:A,0)),"")))</f>
        <v>29.963000000000001</v>
      </c>
      <c r="J1555" s="3">
        <f t="shared" si="96"/>
        <v>301.61</v>
      </c>
      <c r="K1555" s="3" t="str">
        <f t="shared" si="97"/>
        <v>₹/Kg</v>
      </c>
      <c r="L1555" s="3">
        <v>2.4799999999999999E-2</v>
      </c>
      <c r="M1555" s="3"/>
      <c r="N1555" s="3">
        <f t="shared" si="98"/>
        <v>2003</v>
      </c>
      <c r="O1555" s="3" t="str">
        <f t="shared" si="99"/>
        <v>December</v>
      </c>
      <c r="P1555" s="3" t="s">
        <v>41</v>
      </c>
      <c r="Q1555" s="3"/>
    </row>
    <row r="1556" spans="1:17" hidden="1" x14ac:dyDescent="0.3">
      <c r="A1556" s="2">
        <v>37926</v>
      </c>
      <c r="B1556" s="3" t="s">
        <v>31</v>
      </c>
      <c r="C1556" s="3" t="s">
        <v>32</v>
      </c>
      <c r="D1556" s="3" t="s">
        <v>38</v>
      </c>
      <c r="E1556" s="3" t="s">
        <v>39</v>
      </c>
      <c r="F1556" s="3">
        <v>294.3</v>
      </c>
      <c r="G1556" s="3" t="s">
        <v>40</v>
      </c>
      <c r="H1556" s="3" t="s">
        <v>17</v>
      </c>
      <c r="I1556" s="3">
        <f>IF(C1556="India",1,IF(C1556="USA",INDEX('Currency Master'!B:B,MATCH(DATE(N1556,MONTH(DATEVALUE(O1556&amp;" 1")),1),'Currency Master'!A:A,0)),IF(C1556="Australia",INDEX('Currency Master'!T:T,MATCH(DATE(N1556,MONTH(DATEVALUE(O1556&amp;" 1")),1),'Currency Master'!A:A,0)),"")))</f>
        <v>31.263999999999999</v>
      </c>
      <c r="J1556" s="3">
        <f t="shared" si="96"/>
        <v>294.3</v>
      </c>
      <c r="K1556" s="3" t="str">
        <f t="shared" si="97"/>
        <v>₹/Kg</v>
      </c>
      <c r="L1556" s="3">
        <v>-2.41E-2</v>
      </c>
      <c r="M1556" s="3"/>
      <c r="N1556" s="3">
        <f t="shared" si="98"/>
        <v>2003</v>
      </c>
      <c r="O1556" s="3" t="str">
        <f t="shared" si="99"/>
        <v>November</v>
      </c>
      <c r="P1556" s="3" t="s">
        <v>41</v>
      </c>
      <c r="Q1556" s="3"/>
    </row>
    <row r="1557" spans="1:17" hidden="1" x14ac:dyDescent="0.3">
      <c r="A1557" s="2">
        <v>37895</v>
      </c>
      <c r="B1557" s="3" t="s">
        <v>31</v>
      </c>
      <c r="C1557" s="3" t="s">
        <v>32</v>
      </c>
      <c r="D1557" s="3" t="s">
        <v>38</v>
      </c>
      <c r="E1557" s="3" t="s">
        <v>39</v>
      </c>
      <c r="F1557" s="3">
        <v>301.57</v>
      </c>
      <c r="G1557" s="3" t="s">
        <v>40</v>
      </c>
      <c r="H1557" s="3" t="s">
        <v>17</v>
      </c>
      <c r="I1557" s="3">
        <f>IF(C1557="India",1,IF(C1557="USA",INDEX('Currency Master'!B:B,MATCH(DATE(N1557,MONTH(DATEVALUE(O1557&amp;" 1")),1),'Currency Master'!A:A,0)),IF(C1557="Australia",INDEX('Currency Master'!T:T,MATCH(DATE(N1557,MONTH(DATEVALUE(O1557&amp;" 1")),1),'Currency Master'!A:A,0)),"")))</f>
        <v>30.757999999999999</v>
      </c>
      <c r="J1557" s="3">
        <f t="shared" si="96"/>
        <v>301.57</v>
      </c>
      <c r="K1557" s="3" t="str">
        <f t="shared" si="97"/>
        <v>₹/Kg</v>
      </c>
      <c r="L1557" s="3">
        <v>-2.4899999999999999E-2</v>
      </c>
      <c r="M1557" s="3"/>
      <c r="N1557" s="3">
        <f t="shared" si="98"/>
        <v>2003</v>
      </c>
      <c r="O1557" s="3" t="str">
        <f t="shared" si="99"/>
        <v>October</v>
      </c>
      <c r="P1557" s="3" t="s">
        <v>41</v>
      </c>
      <c r="Q1557" s="3"/>
    </row>
    <row r="1558" spans="1:17" hidden="1" x14ac:dyDescent="0.3">
      <c r="A1558" s="2">
        <v>37865</v>
      </c>
      <c r="B1558" s="3" t="s">
        <v>31</v>
      </c>
      <c r="C1558" s="3" t="s">
        <v>32</v>
      </c>
      <c r="D1558" s="3" t="s">
        <v>38</v>
      </c>
      <c r="E1558" s="3" t="s">
        <v>39</v>
      </c>
      <c r="F1558" s="3">
        <v>309.27</v>
      </c>
      <c r="G1558" s="3" t="s">
        <v>40</v>
      </c>
      <c r="H1558" s="3" t="s">
        <v>17</v>
      </c>
      <c r="I1558" s="3">
        <f>IF(C1558="India",1,IF(C1558="USA",INDEX('Currency Master'!B:B,MATCH(DATE(N1558,MONTH(DATEVALUE(O1558&amp;" 1")),1),'Currency Master'!A:A,0)),IF(C1558="Australia",INDEX('Currency Master'!T:T,MATCH(DATE(N1558,MONTH(DATEVALUE(O1558&amp;" 1")),1),'Currency Master'!A:A,0)),"")))</f>
        <v>29.652999999999999</v>
      </c>
      <c r="J1558" s="3">
        <f t="shared" si="96"/>
        <v>309.27</v>
      </c>
      <c r="K1558" s="3" t="str">
        <f t="shared" si="97"/>
        <v>₹/Kg</v>
      </c>
      <c r="L1558" s="3">
        <v>3.5999999999999999E-3</v>
      </c>
      <c r="M1558" s="3"/>
      <c r="N1558" s="3">
        <f t="shared" si="98"/>
        <v>2003</v>
      </c>
      <c r="O1558" s="3" t="str">
        <f t="shared" si="99"/>
        <v>September</v>
      </c>
      <c r="P1558" s="3" t="s">
        <v>41</v>
      </c>
      <c r="Q1558" s="3"/>
    </row>
    <row r="1559" spans="1:17" hidden="1" x14ac:dyDescent="0.3">
      <c r="A1559" s="2">
        <v>37834</v>
      </c>
      <c r="B1559" s="3" t="s">
        <v>31</v>
      </c>
      <c r="C1559" s="3" t="s">
        <v>32</v>
      </c>
      <c r="D1559" s="3" t="s">
        <v>38</v>
      </c>
      <c r="E1559" s="3" t="s">
        <v>39</v>
      </c>
      <c r="F1559" s="3">
        <v>308.17</v>
      </c>
      <c r="G1559" s="3" t="s">
        <v>40</v>
      </c>
      <c r="H1559" s="3" t="s">
        <v>17</v>
      </c>
      <c r="I1559" s="3">
        <f>IF(C1559="India",1,IF(C1559="USA",INDEX('Currency Master'!B:B,MATCH(DATE(N1559,MONTH(DATEVALUE(O1559&amp;" 1")),1),'Currency Master'!A:A,0)),IF(C1559="Australia",INDEX('Currency Master'!T:T,MATCH(DATE(N1559,MONTH(DATEVALUE(O1559&amp;" 1")),1),'Currency Master'!A:A,0)),"")))</f>
        <v>28.69</v>
      </c>
      <c r="J1559" s="3">
        <f t="shared" si="96"/>
        <v>308.17</v>
      </c>
      <c r="K1559" s="3" t="str">
        <f t="shared" si="97"/>
        <v>₹/Kg</v>
      </c>
      <c r="L1559" s="3">
        <v>5.4000000000000003E-3</v>
      </c>
      <c r="M1559" s="3"/>
      <c r="N1559" s="3">
        <f t="shared" si="98"/>
        <v>2003</v>
      </c>
      <c r="O1559" s="3" t="str">
        <f t="shared" si="99"/>
        <v>August</v>
      </c>
      <c r="P1559" s="3" t="s">
        <v>41</v>
      </c>
      <c r="Q1559" s="3"/>
    </row>
    <row r="1560" spans="1:17" hidden="1" x14ac:dyDescent="0.3">
      <c r="A1560" s="2">
        <v>37803</v>
      </c>
      <c r="B1560" s="3" t="s">
        <v>31</v>
      </c>
      <c r="C1560" s="3" t="s">
        <v>32</v>
      </c>
      <c r="D1560" s="3" t="s">
        <v>38</v>
      </c>
      <c r="E1560" s="3" t="s">
        <v>39</v>
      </c>
      <c r="F1560" s="3">
        <v>306.51</v>
      </c>
      <c r="G1560" s="3" t="s">
        <v>40</v>
      </c>
      <c r="H1560" s="3" t="s">
        <v>17</v>
      </c>
      <c r="I1560" s="3">
        <f>IF(C1560="India",1,IF(C1560="USA",INDEX('Currency Master'!B:B,MATCH(DATE(N1560,MONTH(DATEVALUE(O1560&amp;" 1")),1),'Currency Master'!A:A,0)),IF(C1560="Australia",INDEX('Currency Master'!T:T,MATCH(DATE(N1560,MONTH(DATEVALUE(O1560&amp;" 1")),1),'Currency Master'!A:A,0)),"")))</f>
        <v>28.978000000000002</v>
      </c>
      <c r="J1560" s="3">
        <f t="shared" si="96"/>
        <v>306.51</v>
      </c>
      <c r="K1560" s="3" t="str">
        <f t="shared" si="97"/>
        <v>₹/Kg</v>
      </c>
      <c r="L1560" s="3">
        <v>-6.3299999999999995E-2</v>
      </c>
      <c r="M1560" s="3"/>
      <c r="N1560" s="3">
        <f t="shared" si="98"/>
        <v>2003</v>
      </c>
      <c r="O1560" s="3" t="str">
        <f t="shared" si="99"/>
        <v>July</v>
      </c>
      <c r="P1560" s="3" t="s">
        <v>41</v>
      </c>
      <c r="Q1560" s="3"/>
    </row>
    <row r="1561" spans="1:17" hidden="1" x14ac:dyDescent="0.3">
      <c r="A1561" s="2">
        <v>37773</v>
      </c>
      <c r="B1561" s="3" t="s">
        <v>31</v>
      </c>
      <c r="C1561" s="3" t="s">
        <v>32</v>
      </c>
      <c r="D1561" s="3" t="s">
        <v>38</v>
      </c>
      <c r="E1561" s="3" t="s">
        <v>39</v>
      </c>
      <c r="F1561" s="3">
        <v>327.20999999999998</v>
      </c>
      <c r="G1561" s="3" t="s">
        <v>40</v>
      </c>
      <c r="H1561" s="3" t="s">
        <v>17</v>
      </c>
      <c r="I1561" s="3">
        <f>IF(C1561="India",1,IF(C1561="USA",INDEX('Currency Master'!B:B,MATCH(DATE(N1561,MONTH(DATEVALUE(O1561&amp;" 1")),1),'Currency Master'!A:A,0)),IF(C1561="Australia",INDEX('Currency Master'!T:T,MATCH(DATE(N1561,MONTH(DATEVALUE(O1561&amp;" 1")),1),'Currency Master'!A:A,0)),"")))</f>
        <v>28.08</v>
      </c>
      <c r="J1561" s="3">
        <f t="shared" si="96"/>
        <v>327.20999999999998</v>
      </c>
      <c r="K1561" s="3" t="str">
        <f t="shared" si="97"/>
        <v>₹/Kg</v>
      </c>
      <c r="L1561" s="3">
        <v>2.0799999999999999E-2</v>
      </c>
      <c r="M1561" s="3"/>
      <c r="N1561" s="3">
        <f t="shared" si="98"/>
        <v>2003</v>
      </c>
      <c r="O1561" s="3" t="str">
        <f t="shared" si="99"/>
        <v>June</v>
      </c>
      <c r="P1561" s="3" t="s">
        <v>41</v>
      </c>
      <c r="Q1561" s="3"/>
    </row>
    <row r="1562" spans="1:17" hidden="1" x14ac:dyDescent="0.3">
      <c r="A1562" s="2">
        <v>37742</v>
      </c>
      <c r="B1562" s="3" t="s">
        <v>31</v>
      </c>
      <c r="C1562" s="3" t="s">
        <v>32</v>
      </c>
      <c r="D1562" s="3" t="s">
        <v>38</v>
      </c>
      <c r="E1562" s="3" t="s">
        <v>39</v>
      </c>
      <c r="F1562" s="3">
        <v>320.56</v>
      </c>
      <c r="G1562" s="3" t="s">
        <v>40</v>
      </c>
      <c r="H1562" s="3" t="s">
        <v>17</v>
      </c>
      <c r="I1562" s="3">
        <f>IF(C1562="India",1,IF(C1562="USA",INDEX('Currency Master'!B:B,MATCH(DATE(N1562,MONTH(DATEVALUE(O1562&amp;" 1")),1),'Currency Master'!A:A,0)),IF(C1562="Australia",INDEX('Currency Master'!T:T,MATCH(DATE(N1562,MONTH(DATEVALUE(O1562&amp;" 1")),1),'Currency Master'!A:A,0)),"")))</f>
        <v>26.907</v>
      </c>
      <c r="J1562" s="3">
        <f t="shared" si="96"/>
        <v>320.56</v>
      </c>
      <c r="K1562" s="3" t="str">
        <f t="shared" si="97"/>
        <v>₹/Kg</v>
      </c>
      <c r="L1562" s="3">
        <v>-7.5600000000000001E-2</v>
      </c>
      <c r="M1562" s="3"/>
      <c r="N1562" s="3">
        <f t="shared" si="98"/>
        <v>2003</v>
      </c>
      <c r="O1562" s="3" t="str">
        <f t="shared" si="99"/>
        <v>May</v>
      </c>
      <c r="P1562" s="3" t="s">
        <v>41</v>
      </c>
      <c r="Q1562" s="3"/>
    </row>
    <row r="1563" spans="1:17" hidden="1" x14ac:dyDescent="0.3">
      <c r="A1563" s="2">
        <v>37712</v>
      </c>
      <c r="B1563" s="3" t="s">
        <v>31</v>
      </c>
      <c r="C1563" s="3" t="s">
        <v>32</v>
      </c>
      <c r="D1563" s="3" t="s">
        <v>38</v>
      </c>
      <c r="E1563" s="3" t="s">
        <v>39</v>
      </c>
      <c r="F1563" s="3">
        <v>346.79</v>
      </c>
      <c r="G1563" s="3" t="s">
        <v>40</v>
      </c>
      <c r="H1563" s="3" t="s">
        <v>17</v>
      </c>
      <c r="I1563" s="3">
        <f>IF(C1563="India",1,IF(C1563="USA",INDEX('Currency Master'!B:B,MATCH(DATE(N1563,MONTH(DATEVALUE(O1563&amp;" 1")),1),'Currency Master'!A:A,0)),IF(C1563="Australia",INDEX('Currency Master'!T:T,MATCH(DATE(N1563,MONTH(DATEVALUE(O1563&amp;" 1")),1),'Currency Master'!A:A,0)),"")))</f>
        <v>27.085000000000001</v>
      </c>
      <c r="J1563" s="3">
        <f t="shared" si="96"/>
        <v>346.79</v>
      </c>
      <c r="K1563" s="3" t="str">
        <f t="shared" si="97"/>
        <v>₹/Kg</v>
      </c>
      <c r="L1563" s="3">
        <v>-0.01</v>
      </c>
      <c r="M1563" s="3"/>
      <c r="N1563" s="3">
        <f t="shared" si="98"/>
        <v>2003</v>
      </c>
      <c r="O1563" s="3" t="str">
        <f t="shared" si="99"/>
        <v>April</v>
      </c>
      <c r="P1563" s="3" t="s">
        <v>41</v>
      </c>
      <c r="Q1563" s="3"/>
    </row>
    <row r="1564" spans="1:17" hidden="1" x14ac:dyDescent="0.3">
      <c r="A1564" s="2">
        <v>37681</v>
      </c>
      <c r="B1564" s="3" t="s">
        <v>31</v>
      </c>
      <c r="C1564" s="3" t="s">
        <v>32</v>
      </c>
      <c r="D1564" s="3" t="s">
        <v>38</v>
      </c>
      <c r="E1564" s="3" t="s">
        <v>39</v>
      </c>
      <c r="F1564" s="3">
        <v>350.29</v>
      </c>
      <c r="G1564" s="3" t="s">
        <v>40</v>
      </c>
      <c r="H1564" s="3" t="s">
        <v>17</v>
      </c>
      <c r="I1564" s="3">
        <f>IF(C1564="India",1,IF(C1564="USA",INDEX('Currency Master'!B:B,MATCH(DATE(N1564,MONTH(DATEVALUE(O1564&amp;" 1")),1),'Currency Master'!A:A,0)),IF(C1564="Australia",INDEX('Currency Master'!T:T,MATCH(DATE(N1564,MONTH(DATEVALUE(O1564&amp;" 1")),1),'Currency Master'!A:A,0)),"")))</f>
        <v>26.826000000000001</v>
      </c>
      <c r="J1564" s="3">
        <f t="shared" si="96"/>
        <v>350.29</v>
      </c>
      <c r="K1564" s="3" t="str">
        <f t="shared" si="97"/>
        <v>₹/Kg</v>
      </c>
      <c r="L1564" s="3">
        <v>-5.5899999999999998E-2</v>
      </c>
      <c r="M1564" s="3"/>
      <c r="N1564" s="3">
        <f t="shared" si="98"/>
        <v>2003</v>
      </c>
      <c r="O1564" s="3" t="str">
        <f t="shared" si="99"/>
        <v>March</v>
      </c>
      <c r="P1564" s="3" t="s">
        <v>41</v>
      </c>
      <c r="Q1564" s="3"/>
    </row>
    <row r="1565" spans="1:17" hidden="1" x14ac:dyDescent="0.3">
      <c r="A1565" s="2">
        <v>37653</v>
      </c>
      <c r="B1565" s="3" t="s">
        <v>31</v>
      </c>
      <c r="C1565" s="3" t="s">
        <v>32</v>
      </c>
      <c r="D1565" s="3" t="s">
        <v>38</v>
      </c>
      <c r="E1565" s="3" t="s">
        <v>39</v>
      </c>
      <c r="F1565" s="3">
        <v>371.04</v>
      </c>
      <c r="G1565" s="3" t="s">
        <v>40</v>
      </c>
      <c r="H1565" s="3" t="s">
        <v>17</v>
      </c>
      <c r="I1565" s="3">
        <f>IF(C1565="India",1,IF(C1565="USA",INDEX('Currency Master'!B:B,MATCH(DATE(N1565,MONTH(DATEVALUE(O1565&amp;" 1")),1),'Currency Master'!A:A,0)),IF(C1565="Australia",INDEX('Currency Master'!T:T,MATCH(DATE(N1565,MONTH(DATEVALUE(O1565&amp;" 1")),1),'Currency Master'!A:A,0)),"")))</f>
        <v>26.233000000000001</v>
      </c>
      <c r="J1565" s="3">
        <f t="shared" si="96"/>
        <v>371.04</v>
      </c>
      <c r="K1565" s="3" t="str">
        <f t="shared" si="97"/>
        <v>₹/Kg</v>
      </c>
      <c r="L1565" s="3">
        <v>-2.5899999999999999E-2</v>
      </c>
      <c r="M1565" s="3"/>
      <c r="N1565" s="3">
        <f t="shared" si="98"/>
        <v>2003</v>
      </c>
      <c r="O1565" s="3" t="str">
        <f t="shared" si="99"/>
        <v>February</v>
      </c>
      <c r="P1565" s="3" t="s">
        <v>41</v>
      </c>
      <c r="Q1565" s="3"/>
    </row>
    <row r="1566" spans="1:17" hidden="1" x14ac:dyDescent="0.3">
      <c r="A1566" s="2">
        <v>37622</v>
      </c>
      <c r="B1566" s="3" t="s">
        <v>31</v>
      </c>
      <c r="C1566" s="3" t="s">
        <v>32</v>
      </c>
      <c r="D1566" s="3" t="s">
        <v>38</v>
      </c>
      <c r="E1566" s="3" t="s">
        <v>39</v>
      </c>
      <c r="F1566" s="3">
        <v>380.91</v>
      </c>
      <c r="G1566" s="3" t="s">
        <v>40</v>
      </c>
      <c r="H1566" s="3" t="s">
        <v>17</v>
      </c>
      <c r="I1566" s="3">
        <f>IF(C1566="India",1,IF(C1566="USA",INDEX('Currency Master'!B:B,MATCH(DATE(N1566,MONTH(DATEVALUE(O1566&amp;" 1")),1),'Currency Master'!A:A,0)),IF(C1566="Australia",INDEX('Currency Master'!T:T,MATCH(DATE(N1566,MONTH(DATEVALUE(O1566&amp;" 1")),1),'Currency Master'!A:A,0)),"")))</f>
        <v>26.7</v>
      </c>
      <c r="J1566" s="3">
        <f t="shared" si="96"/>
        <v>380.91</v>
      </c>
      <c r="K1566" s="3" t="str">
        <f t="shared" si="97"/>
        <v>₹/Kg</v>
      </c>
      <c r="L1566" s="3">
        <v>3.6900000000000002E-2</v>
      </c>
      <c r="M1566" s="3"/>
      <c r="N1566" s="3">
        <f t="shared" si="98"/>
        <v>2003</v>
      </c>
      <c r="O1566" s="3" t="str">
        <f t="shared" si="99"/>
        <v>January</v>
      </c>
      <c r="P1566" s="3" t="s">
        <v>41</v>
      </c>
      <c r="Q1566" s="3"/>
    </row>
    <row r="1567" spans="1:17" hidden="1" x14ac:dyDescent="0.3">
      <c r="A1567" s="2">
        <v>37591</v>
      </c>
      <c r="B1567" s="3" t="s">
        <v>31</v>
      </c>
      <c r="C1567" s="3" t="s">
        <v>32</v>
      </c>
      <c r="D1567" s="3" t="s">
        <v>38</v>
      </c>
      <c r="E1567" s="3" t="s">
        <v>39</v>
      </c>
      <c r="F1567" s="3">
        <v>367.37</v>
      </c>
      <c r="G1567" s="3" t="s">
        <v>40</v>
      </c>
      <c r="H1567" s="3" t="s">
        <v>17</v>
      </c>
      <c r="I1567" s="3">
        <f>IF(C1567="India",1,IF(C1567="USA",INDEX('Currency Master'!B:B,MATCH(DATE(N1567,MONTH(DATEVALUE(O1567&amp;" 1")),1),'Currency Master'!A:A,0)),IF(C1567="Australia",INDEX('Currency Master'!T:T,MATCH(DATE(N1567,MONTH(DATEVALUE(O1567&amp;" 1")),1),'Currency Master'!A:A,0)),"")))</f>
        <v>26.428000000000001</v>
      </c>
      <c r="J1567" s="3">
        <f t="shared" si="96"/>
        <v>367.37</v>
      </c>
      <c r="K1567" s="3" t="str">
        <f t="shared" si="97"/>
        <v>₹/Kg</v>
      </c>
      <c r="L1567" s="3">
        <v>-9.1999999999999998E-3</v>
      </c>
      <c r="M1567" s="3"/>
      <c r="N1567" s="3">
        <f t="shared" si="98"/>
        <v>2002</v>
      </c>
      <c r="O1567" s="3" t="str">
        <f t="shared" si="99"/>
        <v>December</v>
      </c>
      <c r="P1567" s="3" t="s">
        <v>41</v>
      </c>
      <c r="Q1567" s="3"/>
    </row>
    <row r="1568" spans="1:17" hidden="1" x14ac:dyDescent="0.3">
      <c r="A1568" s="2">
        <v>37561</v>
      </c>
      <c r="B1568" s="3" t="s">
        <v>31</v>
      </c>
      <c r="C1568" s="3" t="s">
        <v>32</v>
      </c>
      <c r="D1568" s="3" t="s">
        <v>38</v>
      </c>
      <c r="E1568" s="3" t="s">
        <v>39</v>
      </c>
      <c r="F1568" s="3">
        <v>370.79</v>
      </c>
      <c r="G1568" s="3" t="s">
        <v>40</v>
      </c>
      <c r="H1568" s="3" t="s">
        <v>17</v>
      </c>
      <c r="I1568" s="3">
        <f>IF(C1568="India",1,IF(C1568="USA",INDEX('Currency Master'!B:B,MATCH(DATE(N1568,MONTH(DATEVALUE(O1568&amp;" 1")),1),'Currency Master'!A:A,0)),IF(C1568="Australia",INDEX('Currency Master'!T:T,MATCH(DATE(N1568,MONTH(DATEVALUE(O1568&amp;" 1")),1),'Currency Master'!A:A,0)),"")))</f>
        <v>27.535</v>
      </c>
      <c r="J1568" s="3">
        <f t="shared" si="96"/>
        <v>370.79</v>
      </c>
      <c r="K1568" s="3" t="str">
        <f t="shared" si="97"/>
        <v>₹/Kg</v>
      </c>
      <c r="L1568" s="3">
        <v>2.46E-2</v>
      </c>
      <c r="M1568" s="3"/>
      <c r="N1568" s="3">
        <f t="shared" si="98"/>
        <v>2002</v>
      </c>
      <c r="O1568" s="3" t="str">
        <f t="shared" si="99"/>
        <v>November</v>
      </c>
      <c r="P1568" s="3" t="s">
        <v>41</v>
      </c>
      <c r="Q1568" s="3"/>
    </row>
    <row r="1569" spans="1:17" hidden="1" x14ac:dyDescent="0.3">
      <c r="A1569" s="2">
        <v>37530</v>
      </c>
      <c r="B1569" s="3" t="s">
        <v>31</v>
      </c>
      <c r="C1569" s="3" t="s">
        <v>32</v>
      </c>
      <c r="D1569" s="3" t="s">
        <v>38</v>
      </c>
      <c r="E1569" s="3" t="s">
        <v>39</v>
      </c>
      <c r="F1569" s="3">
        <v>361.89</v>
      </c>
      <c r="G1569" s="3" t="s">
        <v>40</v>
      </c>
      <c r="H1569" s="3" t="s">
        <v>17</v>
      </c>
      <c r="I1569" s="3">
        <f>IF(C1569="India",1,IF(C1569="USA",INDEX('Currency Master'!B:B,MATCH(DATE(N1569,MONTH(DATEVALUE(O1569&amp;" 1")),1),'Currency Master'!A:A,0)),IF(C1569="Australia",INDEX('Currency Master'!T:T,MATCH(DATE(N1569,MONTH(DATEVALUE(O1569&amp;" 1")),1),'Currency Master'!A:A,0)),"")))</f>
        <v>27.806000000000001</v>
      </c>
      <c r="J1569" s="3">
        <f t="shared" si="96"/>
        <v>361.89</v>
      </c>
      <c r="K1569" s="3" t="str">
        <f t="shared" si="97"/>
        <v>₹/Kg</v>
      </c>
      <c r="L1569" s="3">
        <v>0.16289999999999999</v>
      </c>
      <c r="M1569" s="3"/>
      <c r="N1569" s="3">
        <f t="shared" si="98"/>
        <v>2002</v>
      </c>
      <c r="O1569" s="3" t="str">
        <f t="shared" si="99"/>
        <v>October</v>
      </c>
      <c r="P1569" s="3" t="s">
        <v>41</v>
      </c>
      <c r="Q1569" s="3"/>
    </row>
    <row r="1570" spans="1:17" hidden="1" x14ac:dyDescent="0.3">
      <c r="A1570" s="2">
        <v>37500</v>
      </c>
      <c r="B1570" s="3" t="s">
        <v>31</v>
      </c>
      <c r="C1570" s="3" t="s">
        <v>32</v>
      </c>
      <c r="D1570" s="3" t="s">
        <v>38</v>
      </c>
      <c r="E1570" s="3" t="s">
        <v>39</v>
      </c>
      <c r="F1570" s="3">
        <v>311.19</v>
      </c>
      <c r="G1570" s="3" t="s">
        <v>40</v>
      </c>
      <c r="H1570" s="3" t="s">
        <v>17</v>
      </c>
      <c r="I1570" s="3">
        <f>IF(C1570="India",1,IF(C1570="USA",INDEX('Currency Master'!B:B,MATCH(DATE(N1570,MONTH(DATEVALUE(O1570&amp;" 1")),1),'Currency Master'!A:A,0)),IF(C1570="Australia",INDEX('Currency Master'!T:T,MATCH(DATE(N1570,MONTH(DATEVALUE(O1570&amp;" 1")),1),'Currency Master'!A:A,0)),"")))</f>
        <v>26.350999999999999</v>
      </c>
      <c r="J1570" s="3">
        <f t="shared" si="96"/>
        <v>311.19</v>
      </c>
      <c r="K1570" s="3" t="str">
        <f t="shared" si="97"/>
        <v>₹/Kg</v>
      </c>
      <c r="L1570" s="3">
        <v>0.1124</v>
      </c>
      <c r="M1570" s="3"/>
      <c r="N1570" s="3">
        <f t="shared" si="98"/>
        <v>2002</v>
      </c>
      <c r="O1570" s="3" t="str">
        <f t="shared" si="99"/>
        <v>September</v>
      </c>
      <c r="P1570" s="3" t="s">
        <v>41</v>
      </c>
      <c r="Q1570" s="3"/>
    </row>
    <row r="1571" spans="1:17" hidden="1" x14ac:dyDescent="0.3">
      <c r="A1571" s="2">
        <v>37469</v>
      </c>
      <c r="B1571" s="3" t="s">
        <v>31</v>
      </c>
      <c r="C1571" s="3" t="s">
        <v>32</v>
      </c>
      <c r="D1571" s="3" t="s">
        <v>38</v>
      </c>
      <c r="E1571" s="3" t="s">
        <v>39</v>
      </c>
      <c r="F1571" s="3">
        <v>279.75</v>
      </c>
      <c r="G1571" s="3" t="s">
        <v>40</v>
      </c>
      <c r="H1571" s="3" t="s">
        <v>17</v>
      </c>
      <c r="I1571" s="3">
        <f>IF(C1571="India",1,IF(C1571="USA",INDEX('Currency Master'!B:B,MATCH(DATE(N1571,MONTH(DATEVALUE(O1571&amp;" 1")),1),'Currency Master'!A:A,0)),IF(C1571="Australia",INDEX('Currency Master'!T:T,MATCH(DATE(N1571,MONTH(DATEVALUE(O1571&amp;" 1")),1),'Currency Master'!A:A,0)),"")))</f>
        <v>26.026</v>
      </c>
      <c r="J1571" s="3">
        <f t="shared" si="96"/>
        <v>279.75</v>
      </c>
      <c r="K1571" s="3" t="str">
        <f t="shared" si="97"/>
        <v>₹/Kg</v>
      </c>
      <c r="L1571" s="3">
        <v>8.0000000000000002E-3</v>
      </c>
      <c r="M1571" s="3"/>
      <c r="N1571" s="3">
        <f t="shared" si="98"/>
        <v>2002</v>
      </c>
      <c r="O1571" s="3" t="str">
        <f t="shared" si="99"/>
        <v>August</v>
      </c>
      <c r="P1571" s="3" t="s">
        <v>41</v>
      </c>
      <c r="Q1571" s="3"/>
    </row>
    <row r="1572" spans="1:17" hidden="1" x14ac:dyDescent="0.3">
      <c r="A1572" s="2">
        <v>37438</v>
      </c>
      <c r="B1572" s="3" t="s">
        <v>31</v>
      </c>
      <c r="C1572" s="3" t="s">
        <v>32</v>
      </c>
      <c r="D1572" s="3" t="s">
        <v>38</v>
      </c>
      <c r="E1572" s="3" t="s">
        <v>39</v>
      </c>
      <c r="F1572" s="3">
        <v>277.52999999999997</v>
      </c>
      <c r="G1572" s="3" t="s">
        <v>40</v>
      </c>
      <c r="H1572" s="3" t="s">
        <v>17</v>
      </c>
      <c r="I1572" s="3">
        <f>IF(C1572="India",1,IF(C1572="USA",INDEX('Currency Master'!B:B,MATCH(DATE(N1572,MONTH(DATEVALUE(O1572&amp;" 1")),1),'Currency Master'!A:A,0)),IF(C1572="Australia",INDEX('Currency Master'!T:T,MATCH(DATE(N1572,MONTH(DATEVALUE(O1572&amp;" 1")),1),'Currency Master'!A:A,0)),"")))</f>
        <v>25.184999999999999</v>
      </c>
      <c r="J1572" s="3">
        <f t="shared" si="96"/>
        <v>277.52999999999997</v>
      </c>
      <c r="K1572" s="3" t="str">
        <f t="shared" si="97"/>
        <v>₹/Kg</v>
      </c>
      <c r="L1572" s="3">
        <v>-6.0199999999999997E-2</v>
      </c>
      <c r="M1572" s="3"/>
      <c r="N1572" s="3">
        <f t="shared" si="98"/>
        <v>2002</v>
      </c>
      <c r="O1572" s="3" t="str">
        <f t="shared" si="99"/>
        <v>July</v>
      </c>
      <c r="P1572" s="3" t="s">
        <v>41</v>
      </c>
      <c r="Q1572" s="3"/>
    </row>
    <row r="1573" spans="1:17" hidden="1" x14ac:dyDescent="0.3">
      <c r="A1573" s="2">
        <v>37408</v>
      </c>
      <c r="B1573" s="3" t="s">
        <v>31</v>
      </c>
      <c r="C1573" s="3" t="s">
        <v>32</v>
      </c>
      <c r="D1573" s="3" t="s">
        <v>38</v>
      </c>
      <c r="E1573" s="3" t="s">
        <v>39</v>
      </c>
      <c r="F1573" s="3">
        <v>295.3</v>
      </c>
      <c r="G1573" s="3" t="s">
        <v>40</v>
      </c>
      <c r="H1573" s="3" t="s">
        <v>17</v>
      </c>
      <c r="I1573" s="3">
        <f>IF(C1573="India",1,IF(C1573="USA",INDEX('Currency Master'!B:B,MATCH(DATE(N1573,MONTH(DATEVALUE(O1573&amp;" 1")),1),'Currency Master'!A:A,0)),IF(C1573="Australia",INDEX('Currency Master'!T:T,MATCH(DATE(N1573,MONTH(DATEVALUE(O1573&amp;" 1")),1),'Currency Master'!A:A,0)),"")))</f>
        <v>24.645</v>
      </c>
      <c r="J1573" s="3">
        <f t="shared" si="96"/>
        <v>295.3</v>
      </c>
      <c r="K1573" s="3" t="str">
        <f t="shared" si="97"/>
        <v>₹/Kg</v>
      </c>
      <c r="L1573" s="3">
        <v>-2.6499999999999999E-2</v>
      </c>
      <c r="M1573" s="3"/>
      <c r="N1573" s="3">
        <f t="shared" si="98"/>
        <v>2002</v>
      </c>
      <c r="O1573" s="3" t="str">
        <f t="shared" si="99"/>
        <v>June</v>
      </c>
      <c r="P1573" s="3" t="s">
        <v>41</v>
      </c>
      <c r="Q1573" s="3"/>
    </row>
    <row r="1574" spans="1:17" hidden="1" x14ac:dyDescent="0.3">
      <c r="A1574" s="2">
        <v>37377</v>
      </c>
      <c r="B1574" s="3" t="s">
        <v>31</v>
      </c>
      <c r="C1574" s="3" t="s">
        <v>32</v>
      </c>
      <c r="D1574" s="3" t="s">
        <v>38</v>
      </c>
      <c r="E1574" s="3" t="s">
        <v>39</v>
      </c>
      <c r="F1574" s="3">
        <v>303.35000000000002</v>
      </c>
      <c r="G1574" s="3" t="s">
        <v>40</v>
      </c>
      <c r="H1574" s="3" t="s">
        <v>17</v>
      </c>
      <c r="I1574" s="3">
        <f>IF(C1574="India",1,IF(C1574="USA",INDEX('Currency Master'!B:B,MATCH(DATE(N1574,MONTH(DATEVALUE(O1574&amp;" 1")),1),'Currency Master'!A:A,0)),IF(C1574="Australia",INDEX('Currency Master'!T:T,MATCH(DATE(N1574,MONTH(DATEVALUE(O1574&amp;" 1")),1),'Currency Master'!A:A,0)),"")))</f>
        <v>24.632999999999999</v>
      </c>
      <c r="J1574" s="3">
        <f t="shared" si="96"/>
        <v>303.35000000000002</v>
      </c>
      <c r="K1574" s="3" t="str">
        <f t="shared" si="97"/>
        <v>₹/Kg</v>
      </c>
      <c r="L1574" s="3">
        <v>8.9999999999999993E-3</v>
      </c>
      <c r="M1574" s="3"/>
      <c r="N1574" s="3">
        <f t="shared" si="98"/>
        <v>2002</v>
      </c>
      <c r="O1574" s="3" t="str">
        <f t="shared" si="99"/>
        <v>May</v>
      </c>
      <c r="P1574" s="3" t="s">
        <v>41</v>
      </c>
      <c r="Q1574" s="3"/>
    </row>
    <row r="1575" spans="1:17" hidden="1" x14ac:dyDescent="0.3">
      <c r="A1575" s="2">
        <v>37347</v>
      </c>
      <c r="B1575" s="3" t="s">
        <v>31</v>
      </c>
      <c r="C1575" s="3" t="s">
        <v>32</v>
      </c>
      <c r="D1575" s="3" t="s">
        <v>38</v>
      </c>
      <c r="E1575" s="3" t="s">
        <v>39</v>
      </c>
      <c r="F1575" s="3">
        <v>300.64</v>
      </c>
      <c r="G1575" s="3" t="s">
        <v>40</v>
      </c>
      <c r="H1575" s="3" t="s">
        <v>17</v>
      </c>
      <c r="I1575" s="3">
        <f>IF(C1575="India",1,IF(C1575="USA",INDEX('Currency Master'!B:B,MATCH(DATE(N1575,MONTH(DATEVALUE(O1575&amp;" 1")),1),'Currency Master'!A:A,0)),IF(C1575="Australia",INDEX('Currency Master'!T:T,MATCH(DATE(N1575,MONTH(DATEVALUE(O1575&amp;" 1")),1),'Currency Master'!A:A,0)),"")))</f>
        <v>25.012</v>
      </c>
      <c r="J1575" s="3">
        <f t="shared" si="96"/>
        <v>300.64</v>
      </c>
      <c r="K1575" s="3" t="str">
        <f t="shared" si="97"/>
        <v>₹/Kg</v>
      </c>
      <c r="L1575" s="3">
        <v>1.52E-2</v>
      </c>
      <c r="M1575" s="3"/>
      <c r="N1575" s="3">
        <f t="shared" si="98"/>
        <v>2002</v>
      </c>
      <c r="O1575" s="3" t="str">
        <f t="shared" si="99"/>
        <v>April</v>
      </c>
      <c r="P1575" s="3" t="s">
        <v>41</v>
      </c>
      <c r="Q1575" s="3"/>
    </row>
    <row r="1576" spans="1:17" hidden="1" x14ac:dyDescent="0.3">
      <c r="A1576" s="2">
        <v>37316</v>
      </c>
      <c r="B1576" s="3" t="s">
        <v>31</v>
      </c>
      <c r="C1576" s="3" t="s">
        <v>32</v>
      </c>
      <c r="D1576" s="3" t="s">
        <v>38</v>
      </c>
      <c r="E1576" s="3" t="s">
        <v>39</v>
      </c>
      <c r="F1576" s="3">
        <v>296.13</v>
      </c>
      <c r="G1576" s="3" t="s">
        <v>40</v>
      </c>
      <c r="H1576" s="3" t="s">
        <v>17</v>
      </c>
      <c r="I1576" s="3">
        <f>IF(C1576="India",1,IF(C1576="USA",INDEX('Currency Master'!B:B,MATCH(DATE(N1576,MONTH(DATEVALUE(O1576&amp;" 1")),1),'Currency Master'!A:A,0)),IF(C1576="Australia",INDEX('Currency Master'!T:T,MATCH(DATE(N1576,MONTH(DATEVALUE(O1576&amp;" 1")),1),'Currency Master'!A:A,0)),"")))</f>
        <v>24.151</v>
      </c>
      <c r="J1576" s="3">
        <f t="shared" si="96"/>
        <v>296.13</v>
      </c>
      <c r="K1576" s="3" t="str">
        <f t="shared" si="97"/>
        <v>₹/Kg</v>
      </c>
      <c r="L1576" s="3">
        <v>-2.2200000000000001E-2</v>
      </c>
      <c r="M1576" s="3"/>
      <c r="N1576" s="3">
        <f t="shared" si="98"/>
        <v>2002</v>
      </c>
      <c r="O1576" s="3" t="str">
        <f t="shared" si="99"/>
        <v>March</v>
      </c>
      <c r="P1576" s="3" t="s">
        <v>41</v>
      </c>
      <c r="Q1576" s="3"/>
    </row>
    <row r="1577" spans="1:17" hidden="1" x14ac:dyDescent="0.3">
      <c r="A1577" s="2">
        <v>37288</v>
      </c>
      <c r="B1577" s="3" t="s">
        <v>31</v>
      </c>
      <c r="C1577" s="3" t="s">
        <v>32</v>
      </c>
      <c r="D1577" s="3" t="s">
        <v>38</v>
      </c>
      <c r="E1577" s="3" t="s">
        <v>39</v>
      </c>
      <c r="F1577" s="3">
        <v>302.86</v>
      </c>
      <c r="G1577" s="3" t="s">
        <v>40</v>
      </c>
      <c r="H1577" s="3" t="s">
        <v>17</v>
      </c>
      <c r="I1577" s="3">
        <f>IF(C1577="India",1,IF(C1577="USA",INDEX('Currency Master'!B:B,MATCH(DATE(N1577,MONTH(DATEVALUE(O1577&amp;" 1")),1),'Currency Master'!A:A,0)),IF(C1577="Australia",INDEX('Currency Master'!T:T,MATCH(DATE(N1577,MONTH(DATEVALUE(O1577&amp;" 1")),1),'Currency Master'!A:A,0)),"")))</f>
        <v>23.506</v>
      </c>
      <c r="J1577" s="3">
        <f t="shared" si="96"/>
        <v>302.86</v>
      </c>
      <c r="K1577" s="3" t="str">
        <f t="shared" si="97"/>
        <v>₹/Kg</v>
      </c>
      <c r="L1577" s="3">
        <v>4.5100000000000001E-2</v>
      </c>
      <c r="M1577" s="3"/>
      <c r="N1577" s="3">
        <f t="shared" si="98"/>
        <v>2002</v>
      </c>
      <c r="O1577" s="3" t="str">
        <f t="shared" si="99"/>
        <v>February</v>
      </c>
      <c r="P1577" s="3" t="s">
        <v>41</v>
      </c>
      <c r="Q1577" s="3"/>
    </row>
    <row r="1578" spans="1:17" hidden="1" x14ac:dyDescent="0.3">
      <c r="A1578" s="2">
        <v>37257</v>
      </c>
      <c r="B1578" s="3" t="s">
        <v>31</v>
      </c>
      <c r="C1578" s="3" t="s">
        <v>32</v>
      </c>
      <c r="D1578" s="3" t="s">
        <v>38</v>
      </c>
      <c r="E1578" s="3" t="s">
        <v>39</v>
      </c>
      <c r="F1578" s="3">
        <v>289.8</v>
      </c>
      <c r="G1578" s="3" t="s">
        <v>40</v>
      </c>
      <c r="H1578" s="3" t="s">
        <v>17</v>
      </c>
      <c r="I1578" s="3">
        <f>IF(C1578="India",1,IF(C1578="USA",INDEX('Currency Master'!B:B,MATCH(DATE(N1578,MONTH(DATEVALUE(O1578&amp;" 1")),1),'Currency Master'!A:A,0)),IF(C1578="Australia",INDEX('Currency Master'!T:T,MATCH(DATE(N1578,MONTH(DATEVALUE(O1578&amp;" 1")),1),'Currency Master'!A:A,0)),"")))</f>
        <v>24.946999999999999</v>
      </c>
      <c r="J1578" s="3">
        <f t="shared" si="96"/>
        <v>289.8</v>
      </c>
      <c r="K1578" s="3" t="str">
        <f t="shared" si="97"/>
        <v>₹/Kg</v>
      </c>
      <c r="L1578" s="3">
        <v>0.20610000000000001</v>
      </c>
      <c r="M1578" s="3"/>
      <c r="N1578" s="3">
        <f t="shared" si="98"/>
        <v>2002</v>
      </c>
      <c r="O1578" s="3" t="str">
        <f t="shared" si="99"/>
        <v>January</v>
      </c>
      <c r="P1578" s="3" t="s">
        <v>41</v>
      </c>
      <c r="Q1578" s="3"/>
    </row>
    <row r="1579" spans="1:17" hidden="1" x14ac:dyDescent="0.3">
      <c r="A1579" s="2">
        <v>37226</v>
      </c>
      <c r="B1579" s="3" t="s">
        <v>31</v>
      </c>
      <c r="C1579" s="3" t="s">
        <v>32</v>
      </c>
      <c r="D1579" s="3" t="s">
        <v>38</v>
      </c>
      <c r="E1579" s="3" t="s">
        <v>39</v>
      </c>
      <c r="F1579" s="3">
        <v>240.28</v>
      </c>
      <c r="G1579" s="3" t="s">
        <v>40</v>
      </c>
      <c r="H1579" s="3" t="s">
        <v>17</v>
      </c>
      <c r="I1579" s="3">
        <f>IF(C1579="India",1,IF(C1579="USA",INDEX('Currency Master'!B:B,MATCH(DATE(N1579,MONTH(DATEVALUE(O1579&amp;" 1")),1),'Currency Master'!A:A,0)),IF(C1579="Australia",INDEX('Currency Master'!T:T,MATCH(DATE(N1579,MONTH(DATEVALUE(O1579&amp;" 1")),1),'Currency Master'!A:A,0)),"")))</f>
        <v>24.024000000000001</v>
      </c>
      <c r="J1579" s="3">
        <f t="shared" si="96"/>
        <v>240.28</v>
      </c>
      <c r="K1579" s="3" t="str">
        <f t="shared" si="97"/>
        <v>₹/Kg</v>
      </c>
      <c r="L1579" s="3">
        <v>7.3999999999999996E-2</v>
      </c>
      <c r="M1579" s="3"/>
      <c r="N1579" s="3">
        <f t="shared" si="98"/>
        <v>2001</v>
      </c>
      <c r="O1579" s="3" t="str">
        <f t="shared" si="99"/>
        <v>December</v>
      </c>
      <c r="P1579" s="3" t="s">
        <v>41</v>
      </c>
      <c r="Q1579" s="3"/>
    </row>
    <row r="1580" spans="1:17" hidden="1" x14ac:dyDescent="0.3">
      <c r="A1580" s="2">
        <v>37196</v>
      </c>
      <c r="B1580" s="3" t="s">
        <v>31</v>
      </c>
      <c r="C1580" s="3" t="s">
        <v>32</v>
      </c>
      <c r="D1580" s="3" t="s">
        <v>38</v>
      </c>
      <c r="E1580" s="3" t="s">
        <v>39</v>
      </c>
      <c r="F1580" s="3">
        <v>223.71</v>
      </c>
      <c r="G1580" s="3" t="s">
        <v>40</v>
      </c>
      <c r="H1580" s="3" t="s">
        <v>17</v>
      </c>
      <c r="I1580" s="3">
        <f>IF(C1580="India",1,IF(C1580="USA",INDEX('Currency Master'!B:B,MATCH(DATE(N1580,MONTH(DATEVALUE(O1580&amp;" 1")),1),'Currency Master'!A:A,0)),IF(C1580="Australia",INDEX('Currency Master'!T:T,MATCH(DATE(N1580,MONTH(DATEVALUE(O1580&amp;" 1")),1),'Currency Master'!A:A,0)),"")))</f>
        <v>24.059000000000001</v>
      </c>
      <c r="J1580" s="3">
        <f t="shared" si="96"/>
        <v>223.71</v>
      </c>
      <c r="K1580" s="3" t="str">
        <f t="shared" si="97"/>
        <v>₹/Kg</v>
      </c>
      <c r="L1580" s="3">
        <v>5.3999999999999999E-2</v>
      </c>
      <c r="M1580" s="3"/>
      <c r="N1580" s="3">
        <f t="shared" si="98"/>
        <v>2001</v>
      </c>
      <c r="O1580" s="3" t="str">
        <f t="shared" si="99"/>
        <v>November</v>
      </c>
      <c r="P1580" s="3" t="s">
        <v>41</v>
      </c>
      <c r="Q1580" s="3"/>
    </row>
    <row r="1581" spans="1:17" hidden="1" x14ac:dyDescent="0.3">
      <c r="A1581" s="2">
        <v>37165</v>
      </c>
      <c r="B1581" s="3" t="s">
        <v>31</v>
      </c>
      <c r="C1581" s="3" t="s">
        <v>32</v>
      </c>
      <c r="D1581" s="3" t="s">
        <v>38</v>
      </c>
      <c r="E1581" s="3" t="s">
        <v>39</v>
      </c>
      <c r="F1581" s="3">
        <v>212.24</v>
      </c>
      <c r="G1581" s="3" t="s">
        <v>40</v>
      </c>
      <c r="H1581" s="3" t="s">
        <v>17</v>
      </c>
      <c r="I1581" s="3">
        <f>IF(C1581="India",1,IF(C1581="USA",INDEX('Currency Master'!B:B,MATCH(DATE(N1581,MONTH(DATEVALUE(O1581&amp;" 1")),1),'Currency Master'!A:A,0)),IF(C1581="Australia",INDEX('Currency Master'!T:T,MATCH(DATE(N1581,MONTH(DATEVALUE(O1581&amp;" 1")),1),'Currency Master'!A:A,0)),"")))</f>
        <v>23.774999999999999</v>
      </c>
      <c r="J1581" s="3">
        <f t="shared" si="96"/>
        <v>212.24</v>
      </c>
      <c r="K1581" s="3" t="str">
        <f t="shared" si="97"/>
        <v>₹/Kg</v>
      </c>
      <c r="L1581" s="3">
        <v>-0.1502</v>
      </c>
      <c r="M1581" s="3"/>
      <c r="N1581" s="3">
        <f t="shared" si="98"/>
        <v>2001</v>
      </c>
      <c r="O1581" s="3" t="str">
        <f t="shared" si="99"/>
        <v>October</v>
      </c>
      <c r="P1581" s="3" t="s">
        <v>41</v>
      </c>
      <c r="Q1581" s="3"/>
    </row>
    <row r="1582" spans="1:17" hidden="1" x14ac:dyDescent="0.3">
      <c r="A1582" s="2">
        <v>37135</v>
      </c>
      <c r="B1582" s="3" t="s">
        <v>31</v>
      </c>
      <c r="C1582" s="3" t="s">
        <v>32</v>
      </c>
      <c r="D1582" s="3" t="s">
        <v>38</v>
      </c>
      <c r="E1582" s="3" t="s">
        <v>39</v>
      </c>
      <c r="F1582" s="3">
        <v>249.76</v>
      </c>
      <c r="G1582" s="3" t="s">
        <v>40</v>
      </c>
      <c r="H1582" s="3" t="s">
        <v>17</v>
      </c>
      <c r="I1582" s="3">
        <f>IF(C1582="India",1,IF(C1582="USA",INDEX('Currency Master'!B:B,MATCH(DATE(N1582,MONTH(DATEVALUE(O1582&amp;" 1")),1),'Currency Master'!A:A,0)),IF(C1582="Australia",INDEX('Currency Master'!T:T,MATCH(DATE(N1582,MONTH(DATEVALUE(O1582&amp;" 1")),1),'Currency Master'!A:A,0)),"")))</f>
        <v>23.998000000000001</v>
      </c>
      <c r="J1582" s="3">
        <f t="shared" si="96"/>
        <v>249.76</v>
      </c>
      <c r="K1582" s="3" t="str">
        <f t="shared" si="97"/>
        <v>₹/Kg</v>
      </c>
      <c r="L1582" s="3">
        <v>-0.14230000000000001</v>
      </c>
      <c r="M1582" s="3"/>
      <c r="N1582" s="3">
        <f t="shared" si="98"/>
        <v>2001</v>
      </c>
      <c r="O1582" s="3" t="str">
        <f t="shared" si="99"/>
        <v>September</v>
      </c>
      <c r="P1582" s="3" t="s">
        <v>41</v>
      </c>
      <c r="Q1582" s="3"/>
    </row>
    <row r="1583" spans="1:17" hidden="1" x14ac:dyDescent="0.3">
      <c r="A1583" s="2">
        <v>37104</v>
      </c>
      <c r="B1583" s="3" t="s">
        <v>31</v>
      </c>
      <c r="C1583" s="3" t="s">
        <v>32</v>
      </c>
      <c r="D1583" s="3" t="s">
        <v>38</v>
      </c>
      <c r="E1583" s="3" t="s">
        <v>39</v>
      </c>
      <c r="F1583" s="3">
        <v>291.2</v>
      </c>
      <c r="G1583" s="3" t="s">
        <v>40</v>
      </c>
      <c r="H1583" s="3" t="s">
        <v>17</v>
      </c>
      <c r="I1583" s="3">
        <f>IF(C1583="India",1,IF(C1583="USA",INDEX('Currency Master'!B:B,MATCH(DATE(N1583,MONTH(DATEVALUE(O1583&amp;" 1")),1),'Currency Master'!A:A,0)),IF(C1583="Australia",INDEX('Currency Master'!T:T,MATCH(DATE(N1583,MONTH(DATEVALUE(O1583&amp;" 1")),1),'Currency Master'!A:A,0)),"")))</f>
        <v>22.67</v>
      </c>
      <c r="J1583" s="3">
        <f t="shared" si="96"/>
        <v>291.2</v>
      </c>
      <c r="K1583" s="3" t="str">
        <f t="shared" si="97"/>
        <v>₹/Kg</v>
      </c>
      <c r="L1583" s="3">
        <v>-2.07E-2</v>
      </c>
      <c r="M1583" s="3"/>
      <c r="N1583" s="3">
        <f t="shared" si="98"/>
        <v>2001</v>
      </c>
      <c r="O1583" s="3" t="str">
        <f t="shared" si="99"/>
        <v>August</v>
      </c>
      <c r="P1583" s="3" t="s">
        <v>41</v>
      </c>
      <c r="Q1583" s="3"/>
    </row>
    <row r="1584" spans="1:17" hidden="1" x14ac:dyDescent="0.3">
      <c r="A1584" s="2">
        <v>37073</v>
      </c>
      <c r="B1584" s="3" t="s">
        <v>31</v>
      </c>
      <c r="C1584" s="3" t="s">
        <v>32</v>
      </c>
      <c r="D1584" s="3" t="s">
        <v>38</v>
      </c>
      <c r="E1584" s="3" t="s">
        <v>39</v>
      </c>
      <c r="F1584" s="3">
        <v>297.37</v>
      </c>
      <c r="G1584" s="3" t="s">
        <v>40</v>
      </c>
      <c r="H1584" s="3" t="s">
        <v>17</v>
      </c>
      <c r="I1584" s="3">
        <f>IF(C1584="India",1,IF(C1584="USA",INDEX('Currency Master'!B:B,MATCH(DATE(N1584,MONTH(DATEVALUE(O1584&amp;" 1")),1),'Currency Master'!A:A,0)),IF(C1584="Australia",INDEX('Currency Master'!T:T,MATCH(DATE(N1584,MONTH(DATEVALUE(O1584&amp;" 1")),1),'Currency Master'!A:A,0)),"")))</f>
        <v>24.492000000000001</v>
      </c>
      <c r="J1584" s="3">
        <f t="shared" si="96"/>
        <v>297.37</v>
      </c>
      <c r="K1584" s="3" t="str">
        <f t="shared" si="97"/>
        <v>₹/Kg</v>
      </c>
      <c r="L1584" s="3">
        <v>-7.4899999999999994E-2</v>
      </c>
      <c r="M1584" s="3"/>
      <c r="N1584" s="3">
        <f t="shared" si="98"/>
        <v>2001</v>
      </c>
      <c r="O1584" s="3" t="str">
        <f t="shared" si="99"/>
        <v>July</v>
      </c>
      <c r="P1584" s="3" t="s">
        <v>41</v>
      </c>
      <c r="Q1584" s="3"/>
    </row>
    <row r="1585" spans="1:17" hidden="1" x14ac:dyDescent="0.3">
      <c r="A1585" s="2">
        <v>37043</v>
      </c>
      <c r="B1585" s="3" t="s">
        <v>31</v>
      </c>
      <c r="C1585" s="3" t="s">
        <v>32</v>
      </c>
      <c r="D1585" s="3" t="s">
        <v>38</v>
      </c>
      <c r="E1585" s="3" t="s">
        <v>39</v>
      </c>
      <c r="F1585" s="3">
        <v>321.43</v>
      </c>
      <c r="G1585" s="3" t="s">
        <v>40</v>
      </c>
      <c r="H1585" s="3" t="s">
        <v>17</v>
      </c>
      <c r="I1585" s="3">
        <f>IF(C1585="India",1,IF(C1585="USA",INDEX('Currency Master'!B:B,MATCH(DATE(N1585,MONTH(DATEVALUE(O1585&amp;" 1")),1),'Currency Master'!A:A,0)),IF(C1585="Australia",INDEX('Currency Master'!T:T,MATCH(DATE(N1585,MONTH(DATEVALUE(O1585&amp;" 1")),1),'Currency Master'!A:A,0)),"")))</f>
        <v>25.558</v>
      </c>
      <c r="J1585" s="3">
        <f t="shared" si="96"/>
        <v>321.43</v>
      </c>
      <c r="K1585" s="3" t="str">
        <f t="shared" si="97"/>
        <v>₹/Kg</v>
      </c>
      <c r="L1585" s="3">
        <v>-4.4200000000000003E-2</v>
      </c>
      <c r="M1585" s="3"/>
      <c r="N1585" s="3">
        <f t="shared" si="98"/>
        <v>2001</v>
      </c>
      <c r="O1585" s="3" t="str">
        <f t="shared" si="99"/>
        <v>June</v>
      </c>
      <c r="P1585" s="3" t="s">
        <v>41</v>
      </c>
      <c r="Q1585" s="3"/>
    </row>
    <row r="1586" spans="1:17" hidden="1" x14ac:dyDescent="0.3">
      <c r="A1586" s="2">
        <v>37012</v>
      </c>
      <c r="B1586" s="3" t="s">
        <v>31</v>
      </c>
      <c r="C1586" s="3" t="s">
        <v>32</v>
      </c>
      <c r="D1586" s="3" t="s">
        <v>38</v>
      </c>
      <c r="E1586" s="3" t="s">
        <v>39</v>
      </c>
      <c r="F1586" s="3">
        <v>336.29</v>
      </c>
      <c r="G1586" s="3" t="s">
        <v>40</v>
      </c>
      <c r="H1586" s="3" t="s">
        <v>17</v>
      </c>
      <c r="I1586" s="3">
        <f>IF(C1586="India",1,IF(C1586="USA",INDEX('Currency Master'!B:B,MATCH(DATE(N1586,MONTH(DATEVALUE(O1586&amp;" 1")),1),'Currency Master'!A:A,0)),IF(C1586="Australia",INDEX('Currency Master'!T:T,MATCH(DATE(N1586,MONTH(DATEVALUE(O1586&amp;" 1")),1),'Currency Master'!A:A,0)),"")))</f>
        <v>26.082000000000001</v>
      </c>
      <c r="J1586" s="3">
        <f t="shared" si="96"/>
        <v>336.29</v>
      </c>
      <c r="K1586" s="3" t="str">
        <f t="shared" si="97"/>
        <v>₹/Kg</v>
      </c>
      <c r="L1586" s="3">
        <v>-5.5E-2</v>
      </c>
      <c r="M1586" s="3"/>
      <c r="N1586" s="3">
        <f t="shared" si="98"/>
        <v>2001</v>
      </c>
      <c r="O1586" s="3" t="str">
        <f t="shared" si="99"/>
        <v>May</v>
      </c>
      <c r="P1586" s="3" t="s">
        <v>41</v>
      </c>
      <c r="Q1586" s="3"/>
    </row>
    <row r="1587" spans="1:17" hidden="1" x14ac:dyDescent="0.3">
      <c r="A1587" s="2">
        <v>36982</v>
      </c>
      <c r="B1587" s="3" t="s">
        <v>31</v>
      </c>
      <c r="C1587" s="3" t="s">
        <v>32</v>
      </c>
      <c r="D1587" s="3" t="s">
        <v>38</v>
      </c>
      <c r="E1587" s="3" t="s">
        <v>39</v>
      </c>
      <c r="F1587" s="3">
        <v>355.87</v>
      </c>
      <c r="G1587" s="3" t="s">
        <v>40</v>
      </c>
      <c r="H1587" s="3" t="s">
        <v>17</v>
      </c>
      <c r="I1587" s="3">
        <f>IF(C1587="India",1,IF(C1587="USA",INDEX('Currency Master'!B:B,MATCH(DATE(N1587,MONTH(DATEVALUE(O1587&amp;" 1")),1),'Currency Master'!A:A,0)),IF(C1587="Australia",INDEX('Currency Master'!T:T,MATCH(DATE(N1587,MONTH(DATEVALUE(O1587&amp;" 1")),1),'Currency Master'!A:A,0)),"")))</f>
        <v>24.768000000000001</v>
      </c>
      <c r="J1587" s="3">
        <f t="shared" si="96"/>
        <v>355.87</v>
      </c>
      <c r="K1587" s="3" t="str">
        <f t="shared" si="97"/>
        <v>₹/Kg</v>
      </c>
      <c r="L1587" s="3">
        <v>0.1091</v>
      </c>
      <c r="M1587" s="3"/>
      <c r="N1587" s="3">
        <f t="shared" si="98"/>
        <v>2001</v>
      </c>
      <c r="O1587" s="3" t="str">
        <f t="shared" si="99"/>
        <v>April</v>
      </c>
      <c r="P1587" s="3" t="s">
        <v>41</v>
      </c>
      <c r="Q1587" s="3"/>
    </row>
    <row r="1588" spans="1:17" hidden="1" x14ac:dyDescent="0.3">
      <c r="A1588" s="2">
        <v>36951</v>
      </c>
      <c r="B1588" s="3" t="s">
        <v>31</v>
      </c>
      <c r="C1588" s="3" t="s">
        <v>32</v>
      </c>
      <c r="D1588" s="3" t="s">
        <v>38</v>
      </c>
      <c r="E1588" s="3" t="s">
        <v>39</v>
      </c>
      <c r="F1588" s="3">
        <v>320.86</v>
      </c>
      <c r="G1588" s="3" t="s">
        <v>40</v>
      </c>
      <c r="H1588" s="3" t="s">
        <v>17</v>
      </c>
      <c r="I1588" s="3">
        <f>IF(C1588="India",1,IF(C1588="USA",INDEX('Currency Master'!B:B,MATCH(DATE(N1588,MONTH(DATEVALUE(O1588&amp;" 1")),1),'Currency Master'!A:A,0)),IF(C1588="Australia",INDEX('Currency Master'!T:T,MATCH(DATE(N1588,MONTH(DATEVALUE(O1588&amp;" 1")),1),'Currency Master'!A:A,0)),"")))</f>
        <v>24.422000000000001</v>
      </c>
      <c r="J1588" s="3">
        <f t="shared" si="96"/>
        <v>320.86</v>
      </c>
      <c r="K1588" s="3" t="str">
        <f t="shared" si="97"/>
        <v>₹/Kg</v>
      </c>
      <c r="L1588" s="3">
        <v>-5.9400000000000001E-2</v>
      </c>
      <c r="M1588" s="3"/>
      <c r="N1588" s="3">
        <f t="shared" si="98"/>
        <v>2001</v>
      </c>
      <c r="O1588" s="3" t="str">
        <f t="shared" si="99"/>
        <v>March</v>
      </c>
      <c r="P1588" s="3" t="s">
        <v>41</v>
      </c>
      <c r="Q1588" s="3"/>
    </row>
    <row r="1589" spans="1:17" hidden="1" x14ac:dyDescent="0.3">
      <c r="A1589" s="2">
        <v>36923</v>
      </c>
      <c r="B1589" s="3" t="s">
        <v>31</v>
      </c>
      <c r="C1589" s="3" t="s">
        <v>32</v>
      </c>
      <c r="D1589" s="3" t="s">
        <v>38</v>
      </c>
      <c r="E1589" s="3" t="s">
        <v>39</v>
      </c>
      <c r="F1589" s="3">
        <v>341.11</v>
      </c>
      <c r="G1589" s="3" t="s">
        <v>40</v>
      </c>
      <c r="H1589" s="3" t="s">
        <v>17</v>
      </c>
      <c r="I1589" s="3">
        <f>IF(C1589="India",1,IF(C1589="USA",INDEX('Currency Master'!B:B,MATCH(DATE(N1589,MONTH(DATEVALUE(O1589&amp;" 1")),1),'Currency Master'!A:A,0)),IF(C1589="Australia",INDEX('Currency Master'!T:T,MATCH(DATE(N1589,MONTH(DATEVALUE(O1589&amp;" 1")),1),'Currency Master'!A:A,0)),"")))</f>
        <v>24.956</v>
      </c>
      <c r="J1589" s="3">
        <f t="shared" si="96"/>
        <v>341.11</v>
      </c>
      <c r="K1589" s="3" t="str">
        <f t="shared" si="97"/>
        <v>₹/Kg</v>
      </c>
      <c r="L1589" s="3">
        <v>2.35E-2</v>
      </c>
      <c r="M1589" s="3"/>
      <c r="N1589" s="3">
        <f t="shared" si="98"/>
        <v>2001</v>
      </c>
      <c r="O1589" s="3" t="str">
        <f t="shared" si="99"/>
        <v>February</v>
      </c>
      <c r="P1589" s="3" t="s">
        <v>41</v>
      </c>
      <c r="Q1589" s="3"/>
    </row>
    <row r="1590" spans="1:17" hidden="1" x14ac:dyDescent="0.3">
      <c r="A1590" s="2">
        <v>36892</v>
      </c>
      <c r="B1590" s="3" t="s">
        <v>31</v>
      </c>
      <c r="C1590" s="3" t="s">
        <v>32</v>
      </c>
      <c r="D1590" s="3" t="s">
        <v>38</v>
      </c>
      <c r="E1590" s="3" t="s">
        <v>39</v>
      </c>
      <c r="F1590" s="3">
        <v>333.29</v>
      </c>
      <c r="G1590" s="3" t="s">
        <v>40</v>
      </c>
      <c r="H1590" s="3" t="s">
        <v>17</v>
      </c>
      <c r="I1590" s="3">
        <f>IF(C1590="India",1,IF(C1590="USA",INDEX('Currency Master'!B:B,MATCH(DATE(N1590,MONTH(DATEVALUE(O1590&amp;" 1")),1),'Currency Master'!A:A,0)),IF(C1590="Australia",INDEX('Currency Master'!T:T,MATCH(DATE(N1590,MONTH(DATEVALUE(O1590&amp;" 1")),1),'Currency Master'!A:A,0)),"")))</f>
        <v>26.427</v>
      </c>
      <c r="J1590" s="3">
        <f t="shared" si="96"/>
        <v>333.29</v>
      </c>
      <c r="K1590" s="3" t="str">
        <f t="shared" si="97"/>
        <v>₹/Kg</v>
      </c>
      <c r="L1590" s="3">
        <v>3.56E-2</v>
      </c>
      <c r="M1590" s="3"/>
      <c r="N1590" s="3">
        <f t="shared" si="98"/>
        <v>2001</v>
      </c>
      <c r="O1590" s="3" t="str">
        <f t="shared" si="99"/>
        <v>January</v>
      </c>
      <c r="P1590" s="3" t="s">
        <v>41</v>
      </c>
      <c r="Q1590" s="3"/>
    </row>
    <row r="1591" spans="1:17" hidden="1" x14ac:dyDescent="0.3">
      <c r="A1591" s="2">
        <v>36861</v>
      </c>
      <c r="B1591" s="3" t="s">
        <v>31</v>
      </c>
      <c r="C1591" s="3" t="s">
        <v>32</v>
      </c>
      <c r="D1591" s="3" t="s">
        <v>38</v>
      </c>
      <c r="E1591" s="3" t="s">
        <v>39</v>
      </c>
      <c r="F1591" s="3">
        <v>321.83</v>
      </c>
      <c r="G1591" s="3" t="s">
        <v>40</v>
      </c>
      <c r="H1591" s="3" t="s">
        <v>17</v>
      </c>
      <c r="I1591" s="3">
        <f>IF(C1591="India",1,IF(C1591="USA",INDEX('Currency Master'!B:B,MATCH(DATE(N1591,MONTH(DATEVALUE(O1591&amp;" 1")),1),'Currency Master'!A:A,0)),IF(C1591="Australia",INDEX('Currency Master'!T:T,MATCH(DATE(N1591,MONTH(DATEVALUE(O1591&amp;" 1")),1),'Currency Master'!A:A,0)),"")))</f>
        <v>26.154</v>
      </c>
      <c r="J1591" s="3">
        <f t="shared" si="96"/>
        <v>321.83</v>
      </c>
      <c r="K1591" s="3" t="str">
        <f t="shared" si="97"/>
        <v>₹/Kg</v>
      </c>
      <c r="L1591" s="3">
        <v>3.6799999999999999E-2</v>
      </c>
      <c r="M1591" s="3"/>
      <c r="N1591" s="3">
        <f t="shared" si="98"/>
        <v>2000</v>
      </c>
      <c r="O1591" s="3" t="str">
        <f t="shared" si="99"/>
        <v>December</v>
      </c>
      <c r="P1591" s="3" t="s">
        <v>41</v>
      </c>
      <c r="Q1591" s="3"/>
    </row>
    <row r="1592" spans="1:17" hidden="1" x14ac:dyDescent="0.3">
      <c r="A1592" s="2">
        <v>36831</v>
      </c>
      <c r="B1592" s="3" t="s">
        <v>31</v>
      </c>
      <c r="C1592" s="3" t="s">
        <v>32</v>
      </c>
      <c r="D1592" s="3" t="s">
        <v>38</v>
      </c>
      <c r="E1592" s="3" t="s">
        <v>39</v>
      </c>
      <c r="F1592" s="3">
        <v>310.41000000000003</v>
      </c>
      <c r="G1592" s="3" t="s">
        <v>40</v>
      </c>
      <c r="H1592" s="3" t="s">
        <v>17</v>
      </c>
      <c r="I1592" s="3">
        <f>IF(C1592="India",1,IF(C1592="USA",INDEX('Currency Master'!B:B,MATCH(DATE(N1592,MONTH(DATEVALUE(O1592&amp;" 1")),1),'Currency Master'!A:A,0)),IF(C1592="Australia",INDEX('Currency Master'!T:T,MATCH(DATE(N1592,MONTH(DATEVALUE(O1592&amp;" 1")),1),'Currency Master'!A:A,0)),"")))</f>
        <v>26.64</v>
      </c>
      <c r="J1592" s="3">
        <f t="shared" si="96"/>
        <v>310.41000000000003</v>
      </c>
      <c r="K1592" s="3" t="str">
        <f t="shared" si="97"/>
        <v>₹/Kg</v>
      </c>
      <c r="L1592" s="3">
        <v>-2.7199999999999998E-2</v>
      </c>
      <c r="M1592" s="3"/>
      <c r="N1592" s="3">
        <f t="shared" si="98"/>
        <v>2000</v>
      </c>
      <c r="O1592" s="3" t="str">
        <f t="shared" si="99"/>
        <v>November</v>
      </c>
      <c r="P1592" s="3" t="s">
        <v>41</v>
      </c>
      <c r="Q1592" s="3"/>
    </row>
    <row r="1593" spans="1:17" hidden="1" x14ac:dyDescent="0.3">
      <c r="A1593" s="2">
        <v>36800</v>
      </c>
      <c r="B1593" s="3" t="s">
        <v>31</v>
      </c>
      <c r="C1593" s="3" t="s">
        <v>32</v>
      </c>
      <c r="D1593" s="3" t="s">
        <v>38</v>
      </c>
      <c r="E1593" s="3" t="s">
        <v>39</v>
      </c>
      <c r="F1593" s="3">
        <v>319.08999999999997</v>
      </c>
      <c r="G1593" s="3" t="s">
        <v>40</v>
      </c>
      <c r="H1593" s="3" t="s">
        <v>17</v>
      </c>
      <c r="I1593" s="3">
        <f>IF(C1593="India",1,IF(C1593="USA",INDEX('Currency Master'!B:B,MATCH(DATE(N1593,MONTH(DATEVALUE(O1593&amp;" 1")),1),'Currency Master'!A:A,0)),IF(C1593="Australia",INDEX('Currency Master'!T:T,MATCH(DATE(N1593,MONTH(DATEVALUE(O1593&amp;" 1")),1),'Currency Master'!A:A,0)),"")))</f>
        <v>25.516999999999999</v>
      </c>
      <c r="J1593" s="3">
        <f t="shared" si="96"/>
        <v>319.08999999999997</v>
      </c>
      <c r="K1593" s="3" t="str">
        <f t="shared" si="97"/>
        <v>₹/Kg</v>
      </c>
      <c r="L1593" s="3">
        <v>-8.0000000000000004E-4</v>
      </c>
      <c r="M1593" s="3"/>
      <c r="N1593" s="3">
        <f t="shared" si="98"/>
        <v>2000</v>
      </c>
      <c r="O1593" s="3" t="str">
        <f t="shared" si="99"/>
        <v>October</v>
      </c>
      <c r="P1593" s="3" t="s">
        <v>41</v>
      </c>
      <c r="Q1593" s="3"/>
    </row>
    <row r="1594" spans="1:17" hidden="1" x14ac:dyDescent="0.3">
      <c r="A1594" s="2">
        <v>36770</v>
      </c>
      <c r="B1594" s="3" t="s">
        <v>31</v>
      </c>
      <c r="C1594" s="3" t="s">
        <v>32</v>
      </c>
      <c r="D1594" s="3" t="s">
        <v>38</v>
      </c>
      <c r="E1594" s="3" t="s">
        <v>39</v>
      </c>
      <c r="F1594" s="3">
        <v>319.33999999999997</v>
      </c>
      <c r="G1594" s="3" t="s">
        <v>40</v>
      </c>
      <c r="H1594" s="3" t="s">
        <v>17</v>
      </c>
      <c r="I1594" s="3">
        <f>IF(C1594="India",1,IF(C1594="USA",INDEX('Currency Master'!B:B,MATCH(DATE(N1594,MONTH(DATEVALUE(O1594&amp;" 1")),1),'Currency Master'!A:A,0)),IF(C1594="Australia",INDEX('Currency Master'!T:T,MATCH(DATE(N1594,MONTH(DATEVALUE(O1594&amp;" 1")),1),'Currency Master'!A:A,0)),"")))</f>
        <v>25.484999999999999</v>
      </c>
      <c r="J1594" s="3">
        <f t="shared" si="96"/>
        <v>319.33999999999997</v>
      </c>
      <c r="K1594" s="3" t="str">
        <f t="shared" si="97"/>
        <v>₹/Kg</v>
      </c>
      <c r="L1594" s="3">
        <v>-2.5600000000000001E-2</v>
      </c>
      <c r="M1594" s="3"/>
      <c r="N1594" s="3">
        <f t="shared" si="98"/>
        <v>2000</v>
      </c>
      <c r="O1594" s="3" t="str">
        <f t="shared" si="99"/>
        <v>September</v>
      </c>
      <c r="P1594" s="3" t="s">
        <v>41</v>
      </c>
      <c r="Q1594" s="3"/>
    </row>
    <row r="1595" spans="1:17" hidden="1" x14ac:dyDescent="0.3">
      <c r="A1595" s="2">
        <v>36739</v>
      </c>
      <c r="B1595" s="3" t="s">
        <v>31</v>
      </c>
      <c r="C1595" s="3" t="s">
        <v>32</v>
      </c>
      <c r="D1595" s="3" t="s">
        <v>38</v>
      </c>
      <c r="E1595" s="3" t="s">
        <v>39</v>
      </c>
      <c r="F1595" s="3">
        <v>327.74</v>
      </c>
      <c r="G1595" s="3" t="s">
        <v>40</v>
      </c>
      <c r="H1595" s="3" t="s">
        <v>17</v>
      </c>
      <c r="I1595" s="3">
        <f>IF(C1595="India",1,IF(C1595="USA",INDEX('Currency Master'!B:B,MATCH(DATE(N1595,MONTH(DATEVALUE(O1595&amp;" 1")),1),'Currency Master'!A:A,0)),IF(C1595="Australia",INDEX('Currency Master'!T:T,MATCH(DATE(N1595,MONTH(DATEVALUE(O1595&amp;" 1")),1),'Currency Master'!A:A,0)),"")))</f>
        <v>26.489000000000001</v>
      </c>
      <c r="J1595" s="3">
        <f t="shared" si="96"/>
        <v>327.74</v>
      </c>
      <c r="K1595" s="3" t="str">
        <f t="shared" si="97"/>
        <v>₹/Kg</v>
      </c>
      <c r="L1595" s="3">
        <v>-2.01E-2</v>
      </c>
      <c r="M1595" s="3"/>
      <c r="N1595" s="3">
        <f t="shared" si="98"/>
        <v>2000</v>
      </c>
      <c r="O1595" s="3" t="str">
        <f t="shared" si="99"/>
        <v>August</v>
      </c>
      <c r="P1595" s="3" t="s">
        <v>41</v>
      </c>
      <c r="Q1595" s="3"/>
    </row>
    <row r="1596" spans="1:17" hidden="1" x14ac:dyDescent="0.3">
      <c r="A1596" s="2">
        <v>36708</v>
      </c>
      <c r="B1596" s="3" t="s">
        <v>31</v>
      </c>
      <c r="C1596" s="3" t="s">
        <v>32</v>
      </c>
      <c r="D1596" s="3" t="s">
        <v>38</v>
      </c>
      <c r="E1596" s="3" t="s">
        <v>39</v>
      </c>
      <c r="F1596" s="3">
        <v>334.46</v>
      </c>
      <c r="G1596" s="3" t="s">
        <v>40</v>
      </c>
      <c r="H1596" s="3" t="s">
        <v>17</v>
      </c>
      <c r="I1596" s="3">
        <f>IF(C1596="India",1,IF(C1596="USA",INDEX('Currency Master'!B:B,MATCH(DATE(N1596,MONTH(DATEVALUE(O1596&amp;" 1")),1),'Currency Master'!A:A,0)),IF(C1596="Australia",INDEX('Currency Master'!T:T,MATCH(DATE(N1596,MONTH(DATEVALUE(O1596&amp;" 1")),1),'Currency Master'!A:A,0)),"")))</f>
        <v>26.977</v>
      </c>
      <c r="J1596" s="3">
        <f t="shared" si="96"/>
        <v>334.46</v>
      </c>
      <c r="K1596" s="3" t="str">
        <f t="shared" si="97"/>
        <v>₹/Kg</v>
      </c>
      <c r="L1596" s="3">
        <v>-2.0899999999999998E-2</v>
      </c>
      <c r="M1596" s="3"/>
      <c r="N1596" s="3">
        <f t="shared" si="98"/>
        <v>2000</v>
      </c>
      <c r="O1596" s="3" t="str">
        <f t="shared" si="99"/>
        <v>July</v>
      </c>
      <c r="P1596" s="3" t="s">
        <v>41</v>
      </c>
      <c r="Q1596" s="3"/>
    </row>
    <row r="1597" spans="1:17" hidden="1" x14ac:dyDescent="0.3">
      <c r="A1597" s="2">
        <v>36678</v>
      </c>
      <c r="B1597" s="3" t="s">
        <v>31</v>
      </c>
      <c r="C1597" s="3" t="s">
        <v>32</v>
      </c>
      <c r="D1597" s="3" t="s">
        <v>38</v>
      </c>
      <c r="E1597" s="3" t="s">
        <v>39</v>
      </c>
      <c r="F1597" s="3">
        <v>341.59</v>
      </c>
      <c r="G1597" s="3" t="s">
        <v>40</v>
      </c>
      <c r="H1597" s="3" t="s">
        <v>17</v>
      </c>
      <c r="I1597" s="3">
        <f>IF(C1597="India",1,IF(C1597="USA",INDEX('Currency Master'!B:B,MATCH(DATE(N1597,MONTH(DATEVALUE(O1597&amp;" 1")),1),'Currency Master'!A:A,0)),IF(C1597="Australia",INDEX('Currency Master'!T:T,MATCH(DATE(N1597,MONTH(DATEVALUE(O1597&amp;" 1")),1),'Currency Master'!A:A,0)),"")))</f>
        <v>27.788</v>
      </c>
      <c r="J1597" s="3">
        <f t="shared" si="96"/>
        <v>341.59</v>
      </c>
      <c r="K1597" s="3" t="str">
        <f t="shared" si="97"/>
        <v>₹/Kg</v>
      </c>
      <c r="L1597" s="3">
        <v>-0.05</v>
      </c>
      <c r="M1597" s="3"/>
      <c r="N1597" s="3">
        <f t="shared" si="98"/>
        <v>2000</v>
      </c>
      <c r="O1597" s="3" t="str">
        <f t="shared" si="99"/>
        <v>June</v>
      </c>
      <c r="P1597" s="3" t="s">
        <v>41</v>
      </c>
      <c r="Q1597" s="3"/>
    </row>
    <row r="1598" spans="1:17" hidden="1" x14ac:dyDescent="0.3">
      <c r="A1598" s="2">
        <v>36647</v>
      </c>
      <c r="B1598" s="3" t="s">
        <v>31</v>
      </c>
      <c r="C1598" s="3" t="s">
        <v>32</v>
      </c>
      <c r="D1598" s="3" t="s">
        <v>38</v>
      </c>
      <c r="E1598" s="3" t="s">
        <v>39</v>
      </c>
      <c r="F1598" s="3">
        <v>359.56</v>
      </c>
      <c r="G1598" s="3" t="s">
        <v>40</v>
      </c>
      <c r="H1598" s="3" t="s">
        <v>17</v>
      </c>
      <c r="I1598" s="3">
        <f>IF(C1598="India",1,IF(C1598="USA",INDEX('Currency Master'!B:B,MATCH(DATE(N1598,MONTH(DATEVALUE(O1598&amp;" 1")),1),'Currency Master'!A:A,0)),IF(C1598="Australia",INDEX('Currency Master'!T:T,MATCH(DATE(N1598,MONTH(DATEVALUE(O1598&amp;" 1")),1),'Currency Master'!A:A,0)),"")))</f>
        <v>28.564</v>
      </c>
      <c r="J1598" s="3">
        <f t="shared" si="96"/>
        <v>359.56</v>
      </c>
      <c r="K1598" s="3" t="str">
        <f t="shared" si="97"/>
        <v>₹/Kg</v>
      </c>
      <c r="L1598" s="3">
        <v>2.81E-2</v>
      </c>
      <c r="M1598" s="3"/>
      <c r="N1598" s="3">
        <f t="shared" si="98"/>
        <v>2000</v>
      </c>
      <c r="O1598" s="3" t="str">
        <f t="shared" si="99"/>
        <v>May</v>
      </c>
      <c r="P1598" s="3" t="s">
        <v>41</v>
      </c>
      <c r="Q1598" s="3"/>
    </row>
    <row r="1599" spans="1:17" hidden="1" x14ac:dyDescent="0.3">
      <c r="A1599" s="2">
        <v>36617</v>
      </c>
      <c r="B1599" s="3" t="s">
        <v>31</v>
      </c>
      <c r="C1599" s="3" t="s">
        <v>32</v>
      </c>
      <c r="D1599" s="3" t="s">
        <v>38</v>
      </c>
      <c r="E1599" s="3" t="s">
        <v>39</v>
      </c>
      <c r="F1599" s="3">
        <v>349.73</v>
      </c>
      <c r="G1599" s="3" t="s">
        <v>40</v>
      </c>
      <c r="H1599" s="3" t="s">
        <v>17</v>
      </c>
      <c r="I1599" s="3">
        <f>IF(C1599="India",1,IF(C1599="USA",INDEX('Currency Master'!B:B,MATCH(DATE(N1599,MONTH(DATEVALUE(O1599&amp;" 1")),1),'Currency Master'!A:A,0)),IF(C1599="Australia",INDEX('Currency Master'!T:T,MATCH(DATE(N1599,MONTH(DATEVALUE(O1599&amp;" 1")),1),'Currency Master'!A:A,0)),"")))</f>
        <v>27.568999999999999</v>
      </c>
      <c r="J1599" s="3">
        <f t="shared" si="96"/>
        <v>349.73</v>
      </c>
      <c r="K1599" s="3" t="str">
        <f t="shared" si="97"/>
        <v>₹/Kg</v>
      </c>
      <c r="L1599" s="3">
        <v>4.5699999999999998E-2</v>
      </c>
      <c r="M1599" s="3"/>
      <c r="N1599" s="3">
        <f t="shared" si="98"/>
        <v>2000</v>
      </c>
      <c r="O1599" s="3" t="str">
        <f t="shared" si="99"/>
        <v>April</v>
      </c>
      <c r="P1599" s="3" t="s">
        <v>41</v>
      </c>
      <c r="Q1599" s="3"/>
    </row>
    <row r="1600" spans="1:17" hidden="1" x14ac:dyDescent="0.3">
      <c r="A1600" s="2">
        <v>36586</v>
      </c>
      <c r="B1600" s="3" t="s">
        <v>31</v>
      </c>
      <c r="C1600" s="3" t="s">
        <v>32</v>
      </c>
      <c r="D1600" s="3" t="s">
        <v>38</v>
      </c>
      <c r="E1600" s="3" t="s">
        <v>39</v>
      </c>
      <c r="F1600" s="3">
        <v>334.46</v>
      </c>
      <c r="G1600" s="3" t="s">
        <v>40</v>
      </c>
      <c r="H1600" s="3" t="s">
        <v>17</v>
      </c>
      <c r="I1600" s="3">
        <f>IF(C1600="India",1,IF(C1600="USA",INDEX('Currency Master'!B:B,MATCH(DATE(N1600,MONTH(DATEVALUE(O1600&amp;" 1")),1),'Currency Master'!A:A,0)),IF(C1600="Australia",INDEX('Currency Master'!T:T,MATCH(DATE(N1600,MONTH(DATEVALUE(O1600&amp;" 1")),1),'Currency Master'!A:A,0)),"")))</f>
        <v>27.73</v>
      </c>
      <c r="J1600" s="3">
        <f t="shared" si="96"/>
        <v>334.46</v>
      </c>
      <c r="K1600" s="3" t="str">
        <f t="shared" si="97"/>
        <v>₹/Kg</v>
      </c>
      <c r="L1600" s="3">
        <v>5.4699999999999999E-2</v>
      </c>
      <c r="M1600" s="3"/>
      <c r="N1600" s="3">
        <f t="shared" si="98"/>
        <v>2000</v>
      </c>
      <c r="O1600" s="3" t="str">
        <f t="shared" si="99"/>
        <v>March</v>
      </c>
      <c r="P1600" s="3" t="s">
        <v>41</v>
      </c>
      <c r="Q1600" s="3"/>
    </row>
    <row r="1601" spans="1:17" hidden="1" x14ac:dyDescent="0.3">
      <c r="A1601" s="2">
        <v>36557</v>
      </c>
      <c r="B1601" s="3" t="s">
        <v>31</v>
      </c>
      <c r="C1601" s="3" t="s">
        <v>32</v>
      </c>
      <c r="D1601" s="3" t="s">
        <v>38</v>
      </c>
      <c r="E1601" s="3" t="s">
        <v>39</v>
      </c>
      <c r="F1601" s="3">
        <v>317.10000000000002</v>
      </c>
      <c r="G1601" s="3" t="s">
        <v>40</v>
      </c>
      <c r="H1601" s="3" t="s">
        <v>17</v>
      </c>
      <c r="I1601" s="3">
        <f>IF(C1601="India",1,IF(C1601="USA",INDEX('Currency Master'!B:B,MATCH(DATE(N1601,MONTH(DATEVALUE(O1601&amp;" 1")),1),'Currency Master'!A:A,0)),IF(C1601="Australia",INDEX('Currency Master'!T:T,MATCH(DATE(N1601,MONTH(DATEVALUE(O1601&amp;" 1")),1),'Currency Master'!A:A,0)),"")))</f>
        <v>28.475999999999999</v>
      </c>
      <c r="J1601" s="3">
        <f t="shared" si="96"/>
        <v>317.10000000000002</v>
      </c>
      <c r="K1601" s="3" t="str">
        <f t="shared" si="97"/>
        <v>₹/Kg</v>
      </c>
      <c r="L1601" s="3">
        <v>5.4000000000000003E-3</v>
      </c>
      <c r="M1601" s="3"/>
      <c r="N1601" s="3">
        <f t="shared" si="98"/>
        <v>2000</v>
      </c>
      <c r="O1601" s="3" t="str">
        <f t="shared" si="99"/>
        <v>February</v>
      </c>
      <c r="P1601" s="3" t="s">
        <v>41</v>
      </c>
      <c r="Q1601" s="3"/>
    </row>
    <row r="1602" spans="1:17" hidden="1" x14ac:dyDescent="0.3">
      <c r="A1602" s="2">
        <v>36526</v>
      </c>
      <c r="B1602" s="3" t="s">
        <v>31</v>
      </c>
      <c r="C1602" s="3" t="s">
        <v>32</v>
      </c>
      <c r="D1602" s="3" t="s">
        <v>38</v>
      </c>
      <c r="E1602" s="3" t="s">
        <v>39</v>
      </c>
      <c r="F1602" s="3">
        <v>315.41000000000003</v>
      </c>
      <c r="G1602" s="3" t="s">
        <v>40</v>
      </c>
      <c r="H1602" s="3" t="s">
        <v>17</v>
      </c>
      <c r="I1602" s="3">
        <f>IF(C1602="India",1,IF(C1602="USA",INDEX('Currency Master'!B:B,MATCH(DATE(N1602,MONTH(DATEVALUE(O1602&amp;" 1")),1),'Currency Master'!A:A,0)),IF(C1602="Australia",INDEX('Currency Master'!T:T,MATCH(DATE(N1602,MONTH(DATEVALUE(O1602&amp;" 1")),1),'Currency Master'!A:A,0)),"")))</f>
        <v>27.812000000000001</v>
      </c>
      <c r="J1602" s="3">
        <f t="shared" si="96"/>
        <v>315.41000000000003</v>
      </c>
      <c r="K1602" s="3" t="str">
        <f t="shared" si="97"/>
        <v>₹/Kg</v>
      </c>
      <c r="L1602" s="3">
        <v>0.11799999999999999</v>
      </c>
      <c r="M1602" s="3"/>
      <c r="N1602" s="3">
        <f t="shared" si="98"/>
        <v>2000</v>
      </c>
      <c r="O1602" s="3" t="str">
        <f t="shared" si="99"/>
        <v>January</v>
      </c>
      <c r="P1602" s="3" t="s">
        <v>41</v>
      </c>
      <c r="Q1602" s="3"/>
    </row>
    <row r="1603" spans="1:17" hidden="1" x14ac:dyDescent="0.3">
      <c r="A1603" s="2">
        <v>36495</v>
      </c>
      <c r="B1603" s="3" t="s">
        <v>31</v>
      </c>
      <c r="C1603" s="3" t="s">
        <v>32</v>
      </c>
      <c r="D1603" s="3" t="s">
        <v>38</v>
      </c>
      <c r="E1603" s="3" t="s">
        <v>39</v>
      </c>
      <c r="F1603" s="3">
        <v>282.12</v>
      </c>
      <c r="G1603" s="3" t="s">
        <v>40</v>
      </c>
      <c r="H1603" s="3" t="s">
        <v>17</v>
      </c>
      <c r="I1603" s="3">
        <f>IF(C1603="India",1,IF(C1603="USA",INDEX('Currency Master'!B:B,MATCH(DATE(N1603,MONTH(DATEVALUE(O1603&amp;" 1")),1),'Currency Master'!A:A,0)),IF(C1603="Australia",INDEX('Currency Master'!T:T,MATCH(DATE(N1603,MONTH(DATEVALUE(O1603&amp;" 1")),1),'Currency Master'!A:A,0)),"")))</f>
        <v>28.213999999999999</v>
      </c>
      <c r="J1603" s="3">
        <f t="shared" ref="J1603:J1662" si="100">IF(C1603="India",F1603,IF(C1603="USA",IF(G1603="US Cents/Lb",ROUND(((F1603/100)/0.453592)*I1603*356,0),F1603),IF(C1603="Australia",IF(G1603="AUc/kg",ROUND((F1603/100)*I1603,2),F1603),"")))</f>
        <v>282.12</v>
      </c>
      <c r="K1603" s="3" t="str">
        <f t="shared" ref="K1603:K1662" si="101">IF(C1603="India",G1603,IF(C1603="USA","₹/Candy",IF(C1603="Australia","₹/Kg","")))</f>
        <v>₹/Kg</v>
      </c>
      <c r="L1603" s="3">
        <v>2.9000000000000001E-2</v>
      </c>
      <c r="M1603" s="3"/>
      <c r="N1603" s="3">
        <f t="shared" ref="N1603:N1662" si="102">YEAR(A1603)</f>
        <v>1999</v>
      </c>
      <c r="O1603" s="3" t="str">
        <f t="shared" ref="O1603:O1662" si="103">TEXT(A1603,"mmmm")</f>
        <v>December</v>
      </c>
      <c r="P1603" s="3" t="s">
        <v>41</v>
      </c>
      <c r="Q1603" s="3"/>
    </row>
    <row r="1604" spans="1:17" hidden="1" x14ac:dyDescent="0.3">
      <c r="A1604" s="2">
        <v>36465</v>
      </c>
      <c r="B1604" s="3" t="s">
        <v>31</v>
      </c>
      <c r="C1604" s="3" t="s">
        <v>32</v>
      </c>
      <c r="D1604" s="3" t="s">
        <v>38</v>
      </c>
      <c r="E1604" s="3" t="s">
        <v>39</v>
      </c>
      <c r="F1604" s="3">
        <v>274.16000000000003</v>
      </c>
      <c r="G1604" s="3" t="s">
        <v>40</v>
      </c>
      <c r="H1604" s="3" t="s">
        <v>17</v>
      </c>
      <c r="I1604" s="3">
        <f>IF(C1604="India",1,IF(C1604="USA",INDEX('Currency Master'!B:B,MATCH(DATE(N1604,MONTH(DATEVALUE(O1604&amp;" 1")),1),'Currency Master'!A:A,0)),IF(C1604="Australia",INDEX('Currency Master'!T:T,MATCH(DATE(N1604,MONTH(DATEVALUE(O1604&amp;" 1")),1),'Currency Master'!A:A,0)),"")))</f>
        <v>28.989000000000001</v>
      </c>
      <c r="J1604" s="3">
        <f t="shared" si="100"/>
        <v>274.16000000000003</v>
      </c>
      <c r="K1604" s="3" t="str">
        <f t="shared" si="101"/>
        <v>₹/Kg</v>
      </c>
      <c r="L1604" s="3">
        <v>1.7899999999999999E-2</v>
      </c>
      <c r="M1604" s="3"/>
      <c r="N1604" s="3">
        <f t="shared" si="102"/>
        <v>1999</v>
      </c>
      <c r="O1604" s="3" t="str">
        <f t="shared" si="103"/>
        <v>November</v>
      </c>
      <c r="P1604" s="3" t="s">
        <v>41</v>
      </c>
      <c r="Q1604" s="3"/>
    </row>
    <row r="1605" spans="1:17" hidden="1" x14ac:dyDescent="0.3">
      <c r="A1605" s="2">
        <v>36434</v>
      </c>
      <c r="B1605" s="3" t="s">
        <v>31</v>
      </c>
      <c r="C1605" s="3" t="s">
        <v>32</v>
      </c>
      <c r="D1605" s="3" t="s">
        <v>38</v>
      </c>
      <c r="E1605" s="3" t="s">
        <v>39</v>
      </c>
      <c r="F1605" s="3">
        <v>269.33999999999997</v>
      </c>
      <c r="G1605" s="3" t="s">
        <v>40</v>
      </c>
      <c r="H1605" s="3" t="s">
        <v>17</v>
      </c>
      <c r="I1605" s="3">
        <f>IF(C1605="India",1,IF(C1605="USA",INDEX('Currency Master'!B:B,MATCH(DATE(N1605,MONTH(DATEVALUE(O1605&amp;" 1")),1),'Currency Master'!A:A,0)),IF(C1605="Australia",INDEX('Currency Master'!T:T,MATCH(DATE(N1605,MONTH(DATEVALUE(O1605&amp;" 1")),1),'Currency Master'!A:A,0)),"")))</f>
        <v>27.803000000000001</v>
      </c>
      <c r="J1605" s="3">
        <f t="shared" si="100"/>
        <v>269.33999999999997</v>
      </c>
      <c r="K1605" s="3" t="str">
        <f t="shared" si="101"/>
        <v>₹/Kg</v>
      </c>
      <c r="L1605" s="3">
        <v>-7.4000000000000003E-3</v>
      </c>
      <c r="M1605" s="3"/>
      <c r="N1605" s="3">
        <f t="shared" si="102"/>
        <v>1999</v>
      </c>
      <c r="O1605" s="3" t="str">
        <f t="shared" si="103"/>
        <v>October</v>
      </c>
      <c r="P1605" s="3" t="s">
        <v>41</v>
      </c>
      <c r="Q1605" s="3"/>
    </row>
    <row r="1606" spans="1:17" hidden="1" x14ac:dyDescent="0.3">
      <c r="A1606" s="2">
        <v>36404</v>
      </c>
      <c r="B1606" s="3" t="s">
        <v>31</v>
      </c>
      <c r="C1606" s="3" t="s">
        <v>32</v>
      </c>
      <c r="D1606" s="3" t="s">
        <v>38</v>
      </c>
      <c r="E1606" s="3" t="s">
        <v>39</v>
      </c>
      <c r="F1606" s="3">
        <v>271.36</v>
      </c>
      <c r="G1606" s="3" t="s">
        <v>40</v>
      </c>
      <c r="H1606" s="3" t="s">
        <v>17</v>
      </c>
      <c r="I1606" s="3">
        <f>IF(C1606="India",1,IF(C1606="USA",INDEX('Currency Master'!B:B,MATCH(DATE(N1606,MONTH(DATEVALUE(O1606&amp;" 1")),1),'Currency Master'!A:A,0)),IF(C1606="Australia",INDEX('Currency Master'!T:T,MATCH(DATE(N1606,MONTH(DATEVALUE(O1606&amp;" 1")),1),'Currency Master'!A:A,0)),"")))</f>
        <v>28.318999999999999</v>
      </c>
      <c r="J1606" s="3">
        <f t="shared" si="100"/>
        <v>271.36</v>
      </c>
      <c r="K1606" s="3" t="str">
        <f t="shared" si="101"/>
        <v>₹/Kg</v>
      </c>
      <c r="L1606" s="3">
        <v>-1.06E-2</v>
      </c>
      <c r="M1606" s="3"/>
      <c r="N1606" s="3">
        <f t="shared" si="102"/>
        <v>1999</v>
      </c>
      <c r="O1606" s="3" t="str">
        <f t="shared" si="103"/>
        <v>September</v>
      </c>
      <c r="P1606" s="3" t="s">
        <v>41</v>
      </c>
      <c r="Q1606" s="3"/>
    </row>
    <row r="1607" spans="1:17" hidden="1" x14ac:dyDescent="0.3">
      <c r="A1607" s="2">
        <v>36373</v>
      </c>
      <c r="B1607" s="3" t="s">
        <v>31</v>
      </c>
      <c r="C1607" s="3" t="s">
        <v>32</v>
      </c>
      <c r="D1607" s="3" t="s">
        <v>38</v>
      </c>
      <c r="E1607" s="3" t="s">
        <v>39</v>
      </c>
      <c r="F1607" s="3">
        <v>274.26</v>
      </c>
      <c r="G1607" s="3" t="s">
        <v>40</v>
      </c>
      <c r="H1607" s="3" t="s">
        <v>17</v>
      </c>
      <c r="I1607" s="3">
        <f>IF(C1607="India",1,IF(C1607="USA",INDEX('Currency Master'!B:B,MATCH(DATE(N1607,MONTH(DATEVALUE(O1607&amp;" 1")),1),'Currency Master'!A:A,0)),IF(C1607="Australia",INDEX('Currency Master'!T:T,MATCH(DATE(N1607,MONTH(DATEVALUE(O1607&amp;" 1")),1),'Currency Master'!A:A,0)),"")))</f>
        <v>26.916</v>
      </c>
      <c r="J1607" s="3">
        <f t="shared" si="100"/>
        <v>274.26</v>
      </c>
      <c r="K1607" s="3" t="str">
        <f t="shared" si="101"/>
        <v>₹/Kg</v>
      </c>
      <c r="L1607" s="3">
        <v>-8.1799999999999998E-2</v>
      </c>
      <c r="M1607" s="3"/>
      <c r="N1607" s="3">
        <f t="shared" si="102"/>
        <v>1999</v>
      </c>
      <c r="O1607" s="3" t="str">
        <f t="shared" si="103"/>
        <v>August</v>
      </c>
      <c r="P1607" s="3" t="s">
        <v>41</v>
      </c>
      <c r="Q1607" s="3"/>
    </row>
    <row r="1608" spans="1:17" hidden="1" x14ac:dyDescent="0.3">
      <c r="A1608" s="2">
        <v>36342</v>
      </c>
      <c r="B1608" s="3" t="s">
        <v>31</v>
      </c>
      <c r="C1608" s="3" t="s">
        <v>32</v>
      </c>
      <c r="D1608" s="3" t="s">
        <v>38</v>
      </c>
      <c r="E1608" s="3" t="s">
        <v>39</v>
      </c>
      <c r="F1608" s="3">
        <v>298.69</v>
      </c>
      <c r="G1608" s="3" t="s">
        <v>40</v>
      </c>
      <c r="H1608" s="3" t="s">
        <v>17</v>
      </c>
      <c r="I1608" s="3">
        <f>IF(C1608="India",1,IF(C1608="USA",INDEX('Currency Master'!B:B,MATCH(DATE(N1608,MONTH(DATEVALUE(O1608&amp;" 1")),1),'Currency Master'!A:A,0)),IF(C1608="Australia",INDEX('Currency Master'!T:T,MATCH(DATE(N1608,MONTH(DATEVALUE(O1608&amp;" 1")),1),'Currency Master'!A:A,0)),"")))</f>
        <v>26.408999999999999</v>
      </c>
      <c r="J1608" s="3">
        <f t="shared" si="100"/>
        <v>298.69</v>
      </c>
      <c r="K1608" s="3" t="str">
        <f t="shared" si="101"/>
        <v>₹/Kg</v>
      </c>
      <c r="L1608" s="3">
        <v>2.3199999999999998E-2</v>
      </c>
      <c r="M1608" s="3"/>
      <c r="N1608" s="3">
        <f t="shared" si="102"/>
        <v>1999</v>
      </c>
      <c r="O1608" s="3" t="str">
        <f t="shared" si="103"/>
        <v>July</v>
      </c>
      <c r="P1608" s="3" t="s">
        <v>41</v>
      </c>
      <c r="Q1608" s="3"/>
    </row>
    <row r="1609" spans="1:17" hidden="1" x14ac:dyDescent="0.3">
      <c r="A1609" s="2">
        <v>36312</v>
      </c>
      <c r="B1609" s="3" t="s">
        <v>31</v>
      </c>
      <c r="C1609" s="3" t="s">
        <v>32</v>
      </c>
      <c r="D1609" s="3" t="s">
        <v>38</v>
      </c>
      <c r="E1609" s="3" t="s">
        <v>39</v>
      </c>
      <c r="F1609" s="3">
        <v>291.93</v>
      </c>
      <c r="G1609" s="3" t="s">
        <v>40</v>
      </c>
      <c r="H1609" s="3" t="s">
        <v>17</v>
      </c>
      <c r="I1609" s="3">
        <f>IF(C1609="India",1,IF(C1609="USA",INDEX('Currency Master'!B:B,MATCH(DATE(N1609,MONTH(DATEVALUE(O1609&amp;" 1")),1),'Currency Master'!A:A,0)),IF(C1609="Australia",INDEX('Currency Master'!T:T,MATCH(DATE(N1609,MONTH(DATEVALUE(O1609&amp;" 1")),1),'Currency Master'!A:A,0)),"")))</f>
        <v>26.792000000000002</v>
      </c>
      <c r="J1609" s="3">
        <f t="shared" si="100"/>
        <v>291.93</v>
      </c>
      <c r="K1609" s="3" t="str">
        <f t="shared" si="101"/>
        <v>₹/Kg</v>
      </c>
      <c r="L1609" s="3">
        <v>0.1003</v>
      </c>
      <c r="M1609" s="3"/>
      <c r="N1609" s="3">
        <f t="shared" si="102"/>
        <v>1999</v>
      </c>
      <c r="O1609" s="3" t="str">
        <f t="shared" si="103"/>
        <v>June</v>
      </c>
      <c r="P1609" s="3" t="s">
        <v>41</v>
      </c>
      <c r="Q1609" s="3"/>
    </row>
    <row r="1610" spans="1:17" hidden="1" x14ac:dyDescent="0.3">
      <c r="A1610" s="2">
        <v>36281</v>
      </c>
      <c r="B1610" s="3" t="s">
        <v>31</v>
      </c>
      <c r="C1610" s="3" t="s">
        <v>32</v>
      </c>
      <c r="D1610" s="3" t="s">
        <v>38</v>
      </c>
      <c r="E1610" s="3" t="s">
        <v>39</v>
      </c>
      <c r="F1610" s="3">
        <v>265.31</v>
      </c>
      <c r="G1610" s="3" t="s">
        <v>40</v>
      </c>
      <c r="H1610" s="3" t="s">
        <v>17</v>
      </c>
      <c r="I1610" s="3">
        <f>IF(C1610="India",1,IF(C1610="USA",INDEX('Currency Master'!B:B,MATCH(DATE(N1610,MONTH(DATEVALUE(O1610&amp;" 1")),1),'Currency Master'!A:A,0)),IF(C1610="Australia",INDEX('Currency Master'!T:T,MATCH(DATE(N1610,MONTH(DATEVALUE(O1610&amp;" 1")),1),'Currency Master'!A:A,0)),"")))</f>
        <v>26.013000000000002</v>
      </c>
      <c r="J1610" s="3">
        <f t="shared" si="100"/>
        <v>265.31</v>
      </c>
      <c r="K1610" s="3" t="str">
        <f t="shared" si="101"/>
        <v>₹/Kg</v>
      </c>
      <c r="L1610" s="3">
        <v>-8.7400000000000005E-2</v>
      </c>
      <c r="M1610" s="3"/>
      <c r="N1610" s="3">
        <f t="shared" si="102"/>
        <v>1999</v>
      </c>
      <c r="O1610" s="3" t="str">
        <f t="shared" si="103"/>
        <v>May</v>
      </c>
      <c r="P1610" s="3" t="s">
        <v>41</v>
      </c>
      <c r="Q1610" s="3"/>
    </row>
    <row r="1611" spans="1:17" hidden="1" x14ac:dyDescent="0.3">
      <c r="A1611" s="2">
        <v>36251</v>
      </c>
      <c r="B1611" s="3" t="s">
        <v>31</v>
      </c>
      <c r="C1611" s="3" t="s">
        <v>32</v>
      </c>
      <c r="D1611" s="3" t="s">
        <v>38</v>
      </c>
      <c r="E1611" s="3" t="s">
        <v>39</v>
      </c>
      <c r="F1611" s="3">
        <v>290.72000000000003</v>
      </c>
      <c r="G1611" s="3" t="s">
        <v>40</v>
      </c>
      <c r="H1611" s="3" t="s">
        <v>17</v>
      </c>
      <c r="I1611" s="3">
        <f>IF(C1611="India",1,IF(C1611="USA",INDEX('Currency Master'!B:B,MATCH(DATE(N1611,MONTH(DATEVALUE(O1611&amp;" 1")),1),'Currency Master'!A:A,0)),IF(C1611="Australia",INDEX('Currency Master'!T:T,MATCH(DATE(N1611,MONTH(DATEVALUE(O1611&amp;" 1")),1),'Currency Master'!A:A,0)),"")))</f>
        <v>26.751000000000001</v>
      </c>
      <c r="J1611" s="3">
        <f t="shared" si="100"/>
        <v>290.72000000000003</v>
      </c>
      <c r="K1611" s="3" t="str">
        <f t="shared" si="101"/>
        <v>₹/Kg</v>
      </c>
      <c r="L1611" s="3">
        <v>9.3200000000000005E-2</v>
      </c>
      <c r="M1611" s="3"/>
      <c r="N1611" s="3">
        <f t="shared" si="102"/>
        <v>1999</v>
      </c>
      <c r="O1611" s="3" t="str">
        <f t="shared" si="103"/>
        <v>April</v>
      </c>
      <c r="P1611" s="3" t="s">
        <v>41</v>
      </c>
      <c r="Q1611" s="3"/>
    </row>
    <row r="1612" spans="1:17" hidden="1" x14ac:dyDescent="0.3">
      <c r="A1612" s="2">
        <v>36220</v>
      </c>
      <c r="B1612" s="3" t="s">
        <v>31</v>
      </c>
      <c r="C1612" s="3" t="s">
        <v>32</v>
      </c>
      <c r="D1612" s="3" t="s">
        <v>38</v>
      </c>
      <c r="E1612" s="3" t="s">
        <v>39</v>
      </c>
      <c r="F1612" s="3">
        <v>265.93</v>
      </c>
      <c r="G1612" s="3" t="s">
        <v>40</v>
      </c>
      <c r="H1612" s="3" t="s">
        <v>17</v>
      </c>
      <c r="I1612" s="3">
        <f>IF(C1612="India",1,IF(C1612="USA",INDEX('Currency Master'!B:B,MATCH(DATE(N1612,MONTH(DATEVALUE(O1612&amp;" 1")),1),'Currency Master'!A:A,0)),IF(C1612="Australia",INDEX('Currency Master'!T:T,MATCH(DATE(N1612,MONTH(DATEVALUE(O1612&amp;" 1")),1),'Currency Master'!A:A,0)),"")))</f>
        <v>26.428000000000001</v>
      </c>
      <c r="J1612" s="3">
        <f t="shared" si="100"/>
        <v>265.93</v>
      </c>
      <c r="K1612" s="3" t="str">
        <f t="shared" si="101"/>
        <v>₹/Kg</v>
      </c>
      <c r="L1612" s="3">
        <v>0.2697</v>
      </c>
      <c r="M1612" s="3"/>
      <c r="N1612" s="3">
        <f t="shared" si="102"/>
        <v>1999</v>
      </c>
      <c r="O1612" s="3" t="str">
        <f t="shared" si="103"/>
        <v>March</v>
      </c>
      <c r="P1612" s="3" t="s">
        <v>41</v>
      </c>
      <c r="Q1612" s="3"/>
    </row>
    <row r="1613" spans="1:17" hidden="1" x14ac:dyDescent="0.3">
      <c r="A1613" s="2">
        <v>36192</v>
      </c>
      <c r="B1613" s="3" t="s">
        <v>31</v>
      </c>
      <c r="C1613" s="3" t="s">
        <v>32</v>
      </c>
      <c r="D1613" s="3" t="s">
        <v>38</v>
      </c>
      <c r="E1613" s="3" t="s">
        <v>39</v>
      </c>
      <c r="F1613" s="3">
        <v>209.44</v>
      </c>
      <c r="G1613" s="3" t="s">
        <v>40</v>
      </c>
      <c r="H1613" s="3" t="s">
        <v>17</v>
      </c>
      <c r="I1613" s="3">
        <f>IF(C1613="India",1,IF(C1613="USA",INDEX('Currency Master'!B:B,MATCH(DATE(N1613,MONTH(DATEVALUE(O1613&amp;" 1")),1),'Currency Master'!A:A,0)),IF(C1613="Australia",INDEX('Currency Master'!T:T,MATCH(DATE(N1613,MONTH(DATEVALUE(O1613&amp;" 1")),1),'Currency Master'!A:A,0)),"")))</f>
        <v>25.175999999999998</v>
      </c>
      <c r="J1613" s="3">
        <f t="shared" si="100"/>
        <v>209.44</v>
      </c>
      <c r="K1613" s="3" t="str">
        <f t="shared" si="101"/>
        <v>₹/Kg</v>
      </c>
      <c r="L1613" s="3">
        <v>7.4000000000000003E-3</v>
      </c>
      <c r="M1613" s="3"/>
      <c r="N1613" s="3">
        <f t="shared" si="102"/>
        <v>1999</v>
      </c>
      <c r="O1613" s="3" t="str">
        <f t="shared" si="103"/>
        <v>February</v>
      </c>
      <c r="P1613" s="3" t="s">
        <v>41</v>
      </c>
      <c r="Q1613" s="3"/>
    </row>
    <row r="1614" spans="1:17" hidden="1" x14ac:dyDescent="0.3">
      <c r="A1614" s="2">
        <v>36161</v>
      </c>
      <c r="B1614" s="3" t="s">
        <v>31</v>
      </c>
      <c r="C1614" s="3" t="s">
        <v>32</v>
      </c>
      <c r="D1614" s="3" t="s">
        <v>38</v>
      </c>
      <c r="E1614" s="3" t="s">
        <v>39</v>
      </c>
      <c r="F1614" s="3">
        <v>207.89</v>
      </c>
      <c r="G1614" s="3" t="s">
        <v>40</v>
      </c>
      <c r="H1614" s="3" t="s">
        <v>17</v>
      </c>
      <c r="I1614" s="3">
        <f>IF(C1614="India",1,IF(C1614="USA",INDEX('Currency Master'!B:B,MATCH(DATE(N1614,MONTH(DATEVALUE(O1614&amp;" 1")),1),'Currency Master'!A:A,0)),IF(C1614="Australia",INDEX('Currency Master'!T:T,MATCH(DATE(N1614,MONTH(DATEVALUE(O1614&amp;" 1")),1),'Currency Master'!A:A,0)),"")))</f>
        <v>24.164999999999999</v>
      </c>
      <c r="J1614" s="3">
        <f t="shared" si="100"/>
        <v>207.89</v>
      </c>
      <c r="K1614" s="3" t="str">
        <f t="shared" si="101"/>
        <v>₹/Kg</v>
      </c>
      <c r="L1614" s="3">
        <v>2.8899999999999999E-2</v>
      </c>
      <c r="M1614" s="3"/>
      <c r="N1614" s="3">
        <f t="shared" si="102"/>
        <v>1999</v>
      </c>
      <c r="O1614" s="3" t="str">
        <f t="shared" si="103"/>
        <v>January</v>
      </c>
      <c r="P1614" s="3" t="s">
        <v>41</v>
      </c>
      <c r="Q1614" s="3"/>
    </row>
    <row r="1615" spans="1:17" hidden="1" x14ac:dyDescent="0.3">
      <c r="A1615" s="2">
        <v>36130</v>
      </c>
      <c r="B1615" s="3" t="s">
        <v>31</v>
      </c>
      <c r="C1615" s="3" t="s">
        <v>32</v>
      </c>
      <c r="D1615" s="3" t="s">
        <v>38</v>
      </c>
      <c r="E1615" s="3" t="s">
        <v>39</v>
      </c>
      <c r="F1615" s="3">
        <v>202.05</v>
      </c>
      <c r="G1615" s="3" t="s">
        <v>40</v>
      </c>
      <c r="H1615" s="3" t="s">
        <v>17</v>
      </c>
      <c r="I1615" s="3">
        <f>IF(C1615="India",1,IF(C1615="USA",INDEX('Currency Master'!B:B,MATCH(DATE(N1615,MONTH(DATEVALUE(O1615&amp;" 1")),1),'Currency Master'!A:A,0)),IF(C1615="Australia",INDEX('Currency Master'!T:T,MATCH(DATE(N1615,MONTH(DATEVALUE(O1615&amp;" 1")),1),'Currency Master'!A:A,0)),"")))</f>
        <v>25.786999999999999</v>
      </c>
      <c r="J1615" s="3">
        <f t="shared" si="100"/>
        <v>202.05</v>
      </c>
      <c r="K1615" s="3" t="str">
        <f t="shared" si="101"/>
        <v>₹/Kg</v>
      </c>
      <c r="L1615" s="3">
        <v>9.5999999999999992E-3</v>
      </c>
      <c r="M1615" s="3"/>
      <c r="N1615" s="3">
        <f t="shared" si="102"/>
        <v>1998</v>
      </c>
      <c r="O1615" s="3" t="str">
        <f t="shared" si="103"/>
        <v>December</v>
      </c>
      <c r="P1615" s="3" t="s">
        <v>41</v>
      </c>
      <c r="Q1615" s="3"/>
    </row>
    <row r="1616" spans="1:17" hidden="1" x14ac:dyDescent="0.3">
      <c r="A1616" s="2">
        <v>36100</v>
      </c>
      <c r="B1616" s="3" t="s">
        <v>31</v>
      </c>
      <c r="C1616" s="3" t="s">
        <v>32</v>
      </c>
      <c r="D1616" s="3" t="s">
        <v>38</v>
      </c>
      <c r="E1616" s="3" t="s">
        <v>39</v>
      </c>
      <c r="F1616" s="3">
        <v>200.13</v>
      </c>
      <c r="G1616" s="3" t="s">
        <v>40</v>
      </c>
      <c r="H1616" s="3" t="s">
        <v>17</v>
      </c>
      <c r="I1616" s="3">
        <f>IF(C1616="India",1,IF(C1616="USA",INDEX('Currency Master'!B:B,MATCH(DATE(N1616,MONTH(DATEVALUE(O1616&amp;" 1")),1),'Currency Master'!A:A,0)),IF(C1616="Australia",INDEX('Currency Master'!T:T,MATCH(DATE(N1616,MONTH(DATEVALUE(O1616&amp;" 1")),1),'Currency Master'!A:A,0)),"")))</f>
        <v>26.32</v>
      </c>
      <c r="J1616" s="3">
        <f t="shared" si="100"/>
        <v>200.13</v>
      </c>
      <c r="K1616" s="3" t="str">
        <f t="shared" si="101"/>
        <v>₹/Kg</v>
      </c>
      <c r="L1616" s="3">
        <v>0.1321</v>
      </c>
      <c r="M1616" s="3"/>
      <c r="N1616" s="3">
        <f t="shared" si="102"/>
        <v>1998</v>
      </c>
      <c r="O1616" s="3" t="str">
        <f t="shared" si="103"/>
        <v>November</v>
      </c>
      <c r="P1616" s="3" t="s">
        <v>41</v>
      </c>
      <c r="Q1616" s="3"/>
    </row>
    <row r="1617" spans="1:17" hidden="1" x14ac:dyDescent="0.3">
      <c r="A1617" s="2">
        <v>36069</v>
      </c>
      <c r="B1617" s="3" t="s">
        <v>31</v>
      </c>
      <c r="C1617" s="3" t="s">
        <v>32</v>
      </c>
      <c r="D1617" s="3" t="s">
        <v>38</v>
      </c>
      <c r="E1617" s="3" t="s">
        <v>39</v>
      </c>
      <c r="F1617" s="3">
        <v>176.78</v>
      </c>
      <c r="G1617" s="3" t="s">
        <v>40</v>
      </c>
      <c r="H1617" s="3" t="s">
        <v>17</v>
      </c>
      <c r="I1617" s="3">
        <f>IF(C1617="India",1,IF(C1617="USA",INDEX('Currency Master'!B:B,MATCH(DATE(N1617,MONTH(DATEVALUE(O1617&amp;" 1")),1),'Currency Master'!A:A,0)),IF(C1617="Australia",INDEX('Currency Master'!T:T,MATCH(DATE(N1617,MONTH(DATEVALUE(O1617&amp;" 1")),1),'Currency Master'!A:A,0)),"")))</f>
        <v>25.946000000000002</v>
      </c>
      <c r="J1617" s="3">
        <f t="shared" si="100"/>
        <v>176.78</v>
      </c>
      <c r="K1617" s="3" t="str">
        <f t="shared" si="101"/>
        <v>₹/Kg</v>
      </c>
      <c r="L1617" s="3">
        <v>-0.1019</v>
      </c>
      <c r="M1617" s="3"/>
      <c r="N1617" s="3">
        <f t="shared" si="102"/>
        <v>1998</v>
      </c>
      <c r="O1617" s="3" t="str">
        <f t="shared" si="103"/>
        <v>October</v>
      </c>
      <c r="P1617" s="3" t="s">
        <v>41</v>
      </c>
      <c r="Q1617" s="3"/>
    </row>
    <row r="1618" spans="1:17" hidden="1" x14ac:dyDescent="0.3">
      <c r="A1618" s="2">
        <v>36039</v>
      </c>
      <c r="B1618" s="3" t="s">
        <v>31</v>
      </c>
      <c r="C1618" s="3" t="s">
        <v>32</v>
      </c>
      <c r="D1618" s="3" t="s">
        <v>38</v>
      </c>
      <c r="E1618" s="3" t="s">
        <v>39</v>
      </c>
      <c r="F1618" s="3">
        <v>196.83</v>
      </c>
      <c r="G1618" s="3" t="s">
        <v>40</v>
      </c>
      <c r="H1618" s="3" t="s">
        <v>17</v>
      </c>
      <c r="I1618" s="3">
        <f>IF(C1618="India",1,IF(C1618="USA",INDEX('Currency Master'!B:B,MATCH(DATE(N1618,MONTH(DATEVALUE(O1618&amp;" 1")),1),'Currency Master'!A:A,0)),IF(C1618="Australia",INDEX('Currency Master'!T:T,MATCH(DATE(N1618,MONTH(DATEVALUE(O1618&amp;" 1")),1),'Currency Master'!A:A,0)),"")))</f>
        <v>25.785</v>
      </c>
      <c r="J1618" s="3">
        <f t="shared" si="100"/>
        <v>196.83</v>
      </c>
      <c r="K1618" s="3" t="str">
        <f t="shared" si="101"/>
        <v>₹/Kg</v>
      </c>
      <c r="L1618" s="3">
        <v>-7.9299999999999995E-2</v>
      </c>
      <c r="M1618" s="3"/>
      <c r="N1618" s="3">
        <f t="shared" si="102"/>
        <v>1998</v>
      </c>
      <c r="O1618" s="3" t="str">
        <f t="shared" si="103"/>
        <v>September</v>
      </c>
      <c r="P1618" s="3" t="s">
        <v>41</v>
      </c>
      <c r="Q1618" s="3"/>
    </row>
    <row r="1619" spans="1:17" hidden="1" x14ac:dyDescent="0.3">
      <c r="A1619" s="2">
        <v>36008</v>
      </c>
      <c r="B1619" s="3" t="s">
        <v>31</v>
      </c>
      <c r="C1619" s="3" t="s">
        <v>32</v>
      </c>
      <c r="D1619" s="3" t="s">
        <v>38</v>
      </c>
      <c r="E1619" s="3" t="s">
        <v>39</v>
      </c>
      <c r="F1619" s="3">
        <v>213.78</v>
      </c>
      <c r="G1619" s="3" t="s">
        <v>40</v>
      </c>
      <c r="H1619" s="3" t="s">
        <v>17</v>
      </c>
      <c r="I1619" s="3">
        <f>IF(C1619="India",1,IF(C1619="USA",INDEX('Currency Master'!B:B,MATCH(DATE(N1619,MONTH(DATEVALUE(O1619&amp;" 1")),1),'Currency Master'!A:A,0)),IF(C1619="Australia",INDEX('Currency Master'!T:T,MATCH(DATE(N1619,MONTH(DATEVALUE(O1619&amp;" 1")),1),'Currency Master'!A:A,0)),"")))</f>
        <v>26.166</v>
      </c>
      <c r="J1619" s="3">
        <f t="shared" si="100"/>
        <v>213.78</v>
      </c>
      <c r="K1619" s="3" t="str">
        <f t="shared" si="101"/>
        <v>₹/Kg</v>
      </c>
      <c r="L1619" s="3">
        <v>-0.1376</v>
      </c>
      <c r="M1619" s="3"/>
      <c r="N1619" s="3">
        <f t="shared" si="102"/>
        <v>1998</v>
      </c>
      <c r="O1619" s="3" t="str">
        <f t="shared" si="103"/>
        <v>August</v>
      </c>
      <c r="P1619" s="3" t="s">
        <v>41</v>
      </c>
      <c r="Q1619" s="3"/>
    </row>
    <row r="1620" spans="1:17" hidden="1" x14ac:dyDescent="0.3">
      <c r="A1620" s="2">
        <v>35977</v>
      </c>
      <c r="B1620" s="3" t="s">
        <v>31</v>
      </c>
      <c r="C1620" s="3" t="s">
        <v>32</v>
      </c>
      <c r="D1620" s="3" t="s">
        <v>38</v>
      </c>
      <c r="E1620" s="3" t="s">
        <v>39</v>
      </c>
      <c r="F1620" s="3">
        <v>247.9</v>
      </c>
      <c r="G1620" s="3" t="s">
        <v>40</v>
      </c>
      <c r="H1620" s="3" t="s">
        <v>17</v>
      </c>
      <c r="I1620" s="3">
        <f>IF(C1620="India",1,IF(C1620="USA",INDEX('Currency Master'!B:B,MATCH(DATE(N1620,MONTH(DATEVALUE(O1620&amp;" 1")),1),'Currency Master'!A:A,0)),IF(C1620="Australia",INDEX('Currency Master'!T:T,MATCH(DATE(N1620,MONTH(DATEVALUE(O1620&amp;" 1")),1),'Currency Master'!A:A,0)),"")))</f>
        <v>26.709</v>
      </c>
      <c r="J1620" s="3">
        <f t="shared" si="100"/>
        <v>247.9</v>
      </c>
      <c r="K1620" s="3" t="str">
        <f t="shared" si="101"/>
        <v>₹/Kg</v>
      </c>
      <c r="L1620" s="3">
        <v>-1.43E-2</v>
      </c>
      <c r="M1620" s="3"/>
      <c r="N1620" s="3">
        <f t="shared" si="102"/>
        <v>1998</v>
      </c>
      <c r="O1620" s="3" t="str">
        <f t="shared" si="103"/>
        <v>July</v>
      </c>
      <c r="P1620" s="3" t="s">
        <v>41</v>
      </c>
      <c r="Q1620" s="3"/>
    </row>
    <row r="1621" spans="1:17" hidden="1" x14ac:dyDescent="0.3">
      <c r="A1621" s="2">
        <v>35947</v>
      </c>
      <c r="B1621" s="3" t="s">
        <v>31</v>
      </c>
      <c r="C1621" s="3" t="s">
        <v>32</v>
      </c>
      <c r="D1621" s="3" t="s">
        <v>38</v>
      </c>
      <c r="E1621" s="3" t="s">
        <v>39</v>
      </c>
      <c r="F1621" s="3">
        <v>251.5</v>
      </c>
      <c r="G1621" s="3" t="s">
        <v>40</v>
      </c>
      <c r="H1621" s="3" t="s">
        <v>17</v>
      </c>
      <c r="I1621" s="3">
        <f>IF(C1621="India",1,IF(C1621="USA",INDEX('Currency Master'!B:B,MATCH(DATE(N1621,MONTH(DATEVALUE(O1621&amp;" 1")),1),'Currency Master'!A:A,0)),IF(C1621="Australia",INDEX('Currency Master'!T:T,MATCH(DATE(N1621,MONTH(DATEVALUE(O1621&amp;" 1")),1),'Currency Master'!A:A,0)),"")))</f>
        <v>26.465</v>
      </c>
      <c r="J1621" s="3">
        <f t="shared" si="100"/>
        <v>251.5</v>
      </c>
      <c r="K1621" s="3" t="str">
        <f t="shared" si="101"/>
        <v>₹/Kg</v>
      </c>
      <c r="L1621" s="3">
        <v>2.7799999999999998E-2</v>
      </c>
      <c r="M1621" s="3"/>
      <c r="N1621" s="3">
        <f t="shared" si="102"/>
        <v>1998</v>
      </c>
      <c r="O1621" s="3" t="str">
        <f t="shared" si="103"/>
        <v>June</v>
      </c>
      <c r="P1621" s="3" t="s">
        <v>41</v>
      </c>
      <c r="Q1621" s="3"/>
    </row>
    <row r="1622" spans="1:17" hidden="1" x14ac:dyDescent="0.3">
      <c r="A1622" s="2">
        <v>35916</v>
      </c>
      <c r="B1622" s="3" t="s">
        <v>31</v>
      </c>
      <c r="C1622" s="3" t="s">
        <v>32</v>
      </c>
      <c r="D1622" s="3" t="s">
        <v>38</v>
      </c>
      <c r="E1622" s="3" t="s">
        <v>39</v>
      </c>
      <c r="F1622" s="3">
        <v>244.71</v>
      </c>
      <c r="G1622" s="3" t="s">
        <v>40</v>
      </c>
      <c r="H1622" s="3" t="s">
        <v>17</v>
      </c>
      <c r="I1622" s="3">
        <f>IF(C1622="India",1,IF(C1622="USA",INDEX('Currency Master'!B:B,MATCH(DATE(N1622,MONTH(DATEVALUE(O1622&amp;" 1")),1),'Currency Master'!A:A,0)),IF(C1622="Australia",INDEX('Currency Master'!T:T,MATCH(DATE(N1622,MONTH(DATEVALUE(O1622&amp;" 1")),1),'Currency Master'!A:A,0)),"")))</f>
        <v>25.52</v>
      </c>
      <c r="J1622" s="3">
        <f t="shared" si="100"/>
        <v>244.71</v>
      </c>
      <c r="K1622" s="3" t="str">
        <f t="shared" si="101"/>
        <v>₹/Kg</v>
      </c>
      <c r="L1622" s="3">
        <v>-1.7100000000000001E-2</v>
      </c>
      <c r="M1622" s="3"/>
      <c r="N1622" s="3">
        <f t="shared" si="102"/>
        <v>1998</v>
      </c>
      <c r="O1622" s="3" t="str">
        <f t="shared" si="103"/>
        <v>May</v>
      </c>
      <c r="P1622" s="3" t="s">
        <v>41</v>
      </c>
      <c r="Q1622" s="3"/>
    </row>
    <row r="1623" spans="1:17" hidden="1" x14ac:dyDescent="0.3">
      <c r="A1623" s="2">
        <v>35886</v>
      </c>
      <c r="B1623" s="3" t="s">
        <v>31</v>
      </c>
      <c r="C1623" s="3" t="s">
        <v>32</v>
      </c>
      <c r="D1623" s="3" t="s">
        <v>38</v>
      </c>
      <c r="E1623" s="3" t="s">
        <v>39</v>
      </c>
      <c r="F1623" s="3">
        <v>248.96</v>
      </c>
      <c r="G1623" s="3" t="s">
        <v>40</v>
      </c>
      <c r="H1623" s="3" t="s">
        <v>17</v>
      </c>
      <c r="I1623" s="3">
        <f>IF(C1623="India",1,IF(C1623="USA",INDEX('Currency Master'!B:B,MATCH(DATE(N1623,MONTH(DATEVALUE(O1623&amp;" 1")),1),'Currency Master'!A:A,0)),IF(C1623="Australia",INDEX('Currency Master'!T:T,MATCH(DATE(N1623,MONTH(DATEVALUE(O1623&amp;" 1")),1),'Currency Master'!A:A,0)),"")))</f>
        <v>26.422999999999998</v>
      </c>
      <c r="J1623" s="3">
        <f t="shared" si="100"/>
        <v>248.96</v>
      </c>
      <c r="K1623" s="3" t="str">
        <f t="shared" si="101"/>
        <v>₹/Kg</v>
      </c>
      <c r="L1623" s="3">
        <v>6.7999999999999996E-3</v>
      </c>
      <c r="M1623" s="3"/>
      <c r="N1623" s="3">
        <f t="shared" si="102"/>
        <v>1998</v>
      </c>
      <c r="O1623" s="3" t="str">
        <f t="shared" si="103"/>
        <v>April</v>
      </c>
      <c r="P1623" s="3" t="s">
        <v>41</v>
      </c>
      <c r="Q1623" s="3"/>
    </row>
    <row r="1624" spans="1:17" hidden="1" x14ac:dyDescent="0.3">
      <c r="A1624" s="2">
        <v>35855</v>
      </c>
      <c r="B1624" s="3" t="s">
        <v>31</v>
      </c>
      <c r="C1624" s="3" t="s">
        <v>32</v>
      </c>
      <c r="D1624" s="3" t="s">
        <v>38</v>
      </c>
      <c r="E1624" s="3" t="s">
        <v>39</v>
      </c>
      <c r="F1624" s="3">
        <v>247.26</v>
      </c>
      <c r="G1624" s="3" t="s">
        <v>40</v>
      </c>
      <c r="H1624" s="3" t="s">
        <v>17</v>
      </c>
      <c r="I1624" s="3">
        <f>IF(C1624="India",1,IF(C1624="USA",INDEX('Currency Master'!B:B,MATCH(DATE(N1624,MONTH(DATEVALUE(O1624&amp;" 1")),1),'Currency Master'!A:A,0)),IF(C1624="Australia",INDEX('Currency Master'!T:T,MATCH(DATE(N1624,MONTH(DATEVALUE(O1624&amp;" 1")),1),'Currency Master'!A:A,0)),"")))</f>
        <v>25.483000000000001</v>
      </c>
      <c r="J1624" s="3">
        <f t="shared" si="100"/>
        <v>247.26</v>
      </c>
      <c r="K1624" s="3" t="str">
        <f t="shared" si="101"/>
        <v>₹/Kg</v>
      </c>
      <c r="L1624" s="3">
        <v>5.8999999999999999E-3</v>
      </c>
      <c r="M1624" s="3"/>
      <c r="N1624" s="3">
        <f t="shared" si="102"/>
        <v>1998</v>
      </c>
      <c r="O1624" s="3" t="str">
        <f t="shared" si="103"/>
        <v>March</v>
      </c>
      <c r="P1624" s="3" t="s">
        <v>41</v>
      </c>
      <c r="Q1624" s="3"/>
    </row>
    <row r="1625" spans="1:17" hidden="1" x14ac:dyDescent="0.3">
      <c r="A1625" s="2">
        <v>35827</v>
      </c>
      <c r="B1625" s="3" t="s">
        <v>31</v>
      </c>
      <c r="C1625" s="3" t="s">
        <v>32</v>
      </c>
      <c r="D1625" s="3" t="s">
        <v>38</v>
      </c>
      <c r="E1625" s="3" t="s">
        <v>39</v>
      </c>
      <c r="F1625" s="3">
        <v>245.82</v>
      </c>
      <c r="G1625" s="3" t="s">
        <v>40</v>
      </c>
      <c r="H1625" s="3" t="s">
        <v>17</v>
      </c>
      <c r="I1625" s="3">
        <f>IF(C1625="India",1,IF(C1625="USA",INDEX('Currency Master'!B:B,MATCH(DATE(N1625,MONTH(DATEVALUE(O1625&amp;" 1")),1),'Currency Master'!A:A,0)),IF(C1625="Australia",INDEX('Currency Master'!T:T,MATCH(DATE(N1625,MONTH(DATEVALUE(O1625&amp;" 1")),1),'Currency Master'!A:A,0)),"")))</f>
        <v>26.254999999999999</v>
      </c>
      <c r="J1625" s="3">
        <f t="shared" si="100"/>
        <v>245.82</v>
      </c>
      <c r="K1625" s="3" t="str">
        <f t="shared" si="101"/>
        <v>₹/Kg</v>
      </c>
      <c r="L1625" s="3">
        <v>-1.8100000000000002E-2</v>
      </c>
      <c r="M1625" s="3"/>
      <c r="N1625" s="3">
        <f t="shared" si="102"/>
        <v>1998</v>
      </c>
      <c r="O1625" s="3" t="str">
        <f t="shared" si="103"/>
        <v>February</v>
      </c>
      <c r="P1625" s="3" t="s">
        <v>41</v>
      </c>
      <c r="Q1625" s="3"/>
    </row>
    <row r="1626" spans="1:17" hidden="1" x14ac:dyDescent="0.3">
      <c r="A1626" s="2">
        <v>35796</v>
      </c>
      <c r="B1626" s="3" t="s">
        <v>31</v>
      </c>
      <c r="C1626" s="3" t="s">
        <v>32</v>
      </c>
      <c r="D1626" s="3" t="s">
        <v>38</v>
      </c>
      <c r="E1626" s="3" t="s">
        <v>39</v>
      </c>
      <c r="F1626" s="3">
        <v>250.36</v>
      </c>
      <c r="G1626" s="3" t="s">
        <v>40</v>
      </c>
      <c r="H1626" s="3" t="s">
        <v>17</v>
      </c>
      <c r="I1626" s="3">
        <f>IF(C1626="India",1,IF(C1626="USA",INDEX('Currency Master'!B:B,MATCH(DATE(N1626,MONTH(DATEVALUE(O1626&amp;" 1")),1),'Currency Master'!A:A,0)),IF(C1626="Australia",INDEX('Currency Master'!T:T,MATCH(DATE(N1626,MONTH(DATEVALUE(O1626&amp;" 1")),1),'Currency Master'!A:A,0)),"")))</f>
        <v>26.658000000000001</v>
      </c>
      <c r="J1626" s="3">
        <f t="shared" si="100"/>
        <v>250.36</v>
      </c>
      <c r="K1626" s="3" t="str">
        <f t="shared" si="101"/>
        <v>₹/Kg</v>
      </c>
      <c r="L1626" s="3">
        <v>-7.2300000000000003E-2</v>
      </c>
      <c r="M1626" s="3"/>
      <c r="N1626" s="3">
        <f t="shared" si="102"/>
        <v>1998</v>
      </c>
      <c r="O1626" s="3" t="str">
        <f t="shared" si="103"/>
        <v>January</v>
      </c>
      <c r="P1626" s="3" t="s">
        <v>41</v>
      </c>
      <c r="Q1626" s="3"/>
    </row>
    <row r="1627" spans="1:17" hidden="1" x14ac:dyDescent="0.3">
      <c r="A1627" s="2">
        <v>35765</v>
      </c>
      <c r="B1627" s="3" t="s">
        <v>31</v>
      </c>
      <c r="C1627" s="3" t="s">
        <v>32</v>
      </c>
      <c r="D1627" s="3" t="s">
        <v>38</v>
      </c>
      <c r="E1627" s="3" t="s">
        <v>39</v>
      </c>
      <c r="F1627" s="3">
        <v>269.87</v>
      </c>
      <c r="G1627" s="3" t="s">
        <v>40</v>
      </c>
      <c r="H1627" s="3" t="s">
        <v>17</v>
      </c>
      <c r="I1627" s="3">
        <f>IF(C1627="India",1,IF(C1627="USA",INDEX('Currency Master'!B:B,MATCH(DATE(N1627,MONTH(DATEVALUE(O1627&amp;" 1")),1),'Currency Master'!A:A,0)),IF(C1627="Australia",INDEX('Currency Master'!T:T,MATCH(DATE(N1627,MONTH(DATEVALUE(O1627&amp;" 1")),1),'Currency Master'!A:A,0)),"")))</f>
        <v>26.712</v>
      </c>
      <c r="J1627" s="3">
        <f t="shared" si="100"/>
        <v>269.87</v>
      </c>
      <c r="K1627" s="3" t="str">
        <f t="shared" si="101"/>
        <v>₹/Kg</v>
      </c>
      <c r="L1627" s="3">
        <v>-1.83E-2</v>
      </c>
      <c r="M1627" s="3"/>
      <c r="N1627" s="3">
        <f t="shared" si="102"/>
        <v>1997</v>
      </c>
      <c r="O1627" s="3" t="str">
        <f t="shared" si="103"/>
        <v>December</v>
      </c>
      <c r="P1627" s="3" t="s">
        <v>41</v>
      </c>
      <c r="Q1627" s="3"/>
    </row>
    <row r="1628" spans="1:17" hidden="1" x14ac:dyDescent="0.3">
      <c r="A1628" s="2">
        <v>35735</v>
      </c>
      <c r="B1628" s="3" t="s">
        <v>31</v>
      </c>
      <c r="C1628" s="3" t="s">
        <v>32</v>
      </c>
      <c r="D1628" s="3" t="s">
        <v>38</v>
      </c>
      <c r="E1628" s="3" t="s">
        <v>39</v>
      </c>
      <c r="F1628" s="3">
        <v>274.89</v>
      </c>
      <c r="G1628" s="3" t="s">
        <v>40</v>
      </c>
      <c r="H1628" s="3" t="s">
        <v>17</v>
      </c>
      <c r="I1628" s="3">
        <f>IF(C1628="India",1,IF(C1628="USA",INDEX('Currency Master'!B:B,MATCH(DATE(N1628,MONTH(DATEVALUE(O1628&amp;" 1")),1),'Currency Master'!A:A,0)),IF(C1628="Australia",INDEX('Currency Master'!T:T,MATCH(DATE(N1628,MONTH(DATEVALUE(O1628&amp;" 1")),1),'Currency Master'!A:A,0)),"")))</f>
        <v>26.998000000000001</v>
      </c>
      <c r="J1628" s="3">
        <f t="shared" si="100"/>
        <v>274.89</v>
      </c>
      <c r="K1628" s="3" t="str">
        <f t="shared" si="101"/>
        <v>₹/Kg</v>
      </c>
      <c r="L1628" s="3">
        <v>-1.35E-2</v>
      </c>
      <c r="M1628" s="3"/>
      <c r="N1628" s="3">
        <f t="shared" si="102"/>
        <v>1997</v>
      </c>
      <c r="O1628" s="3" t="str">
        <f t="shared" si="103"/>
        <v>November</v>
      </c>
      <c r="P1628" s="3" t="s">
        <v>41</v>
      </c>
      <c r="Q1628" s="3"/>
    </row>
    <row r="1629" spans="1:17" hidden="1" x14ac:dyDescent="0.3">
      <c r="A1629" s="2">
        <v>35704</v>
      </c>
      <c r="B1629" s="3" t="s">
        <v>31</v>
      </c>
      <c r="C1629" s="3" t="s">
        <v>32</v>
      </c>
      <c r="D1629" s="3" t="s">
        <v>38</v>
      </c>
      <c r="E1629" s="3" t="s">
        <v>39</v>
      </c>
      <c r="F1629" s="3">
        <v>278.66000000000003</v>
      </c>
      <c r="G1629" s="3" t="s">
        <v>40</v>
      </c>
      <c r="H1629" s="3" t="s">
        <v>17</v>
      </c>
      <c r="I1629" s="3">
        <f>IF(C1629="India",1,IF(C1629="USA",INDEX('Currency Master'!B:B,MATCH(DATE(N1629,MONTH(DATEVALUE(O1629&amp;" 1")),1),'Currency Master'!A:A,0)),IF(C1629="Australia",INDEX('Currency Master'!T:T,MATCH(DATE(N1629,MONTH(DATEVALUE(O1629&amp;" 1")),1),'Currency Master'!A:A,0)),"")))</f>
        <v>27.193999999999999</v>
      </c>
      <c r="J1629" s="3">
        <f t="shared" si="100"/>
        <v>278.66000000000003</v>
      </c>
      <c r="K1629" s="3" t="str">
        <f t="shared" si="101"/>
        <v>₹/Kg</v>
      </c>
      <c r="L1629" s="3">
        <v>-4.5699999999999998E-2</v>
      </c>
      <c r="M1629" s="3"/>
      <c r="N1629" s="3">
        <f t="shared" si="102"/>
        <v>1997</v>
      </c>
      <c r="O1629" s="3" t="str">
        <f t="shared" si="103"/>
        <v>October</v>
      </c>
      <c r="P1629" s="3" t="s">
        <v>41</v>
      </c>
      <c r="Q1629" s="3"/>
    </row>
    <row r="1630" spans="1:17" hidden="1" x14ac:dyDescent="0.3">
      <c r="A1630" s="2">
        <v>35674</v>
      </c>
      <c r="B1630" s="3" t="s">
        <v>31</v>
      </c>
      <c r="C1630" s="3" t="s">
        <v>32</v>
      </c>
      <c r="D1630" s="3" t="s">
        <v>38</v>
      </c>
      <c r="E1630" s="3" t="s">
        <v>39</v>
      </c>
      <c r="F1630" s="3">
        <v>292.02</v>
      </c>
      <c r="G1630" s="3" t="s">
        <v>40</v>
      </c>
      <c r="H1630" s="3" t="s">
        <v>17</v>
      </c>
      <c r="I1630" s="3">
        <f>IF(C1630="India",1,IF(C1630="USA",INDEX('Currency Master'!B:B,MATCH(DATE(N1630,MONTH(DATEVALUE(O1630&amp;" 1")),1),'Currency Master'!A:A,0)),IF(C1630="Australia",INDEX('Currency Master'!T:T,MATCH(DATE(N1630,MONTH(DATEVALUE(O1630&amp;" 1")),1),'Currency Master'!A:A,0)),"")))</f>
        <v>27.916</v>
      </c>
      <c r="J1630" s="3">
        <f t="shared" si="100"/>
        <v>292.02</v>
      </c>
      <c r="K1630" s="3" t="str">
        <f t="shared" si="101"/>
        <v>₹/Kg</v>
      </c>
      <c r="L1630" s="3">
        <v>6.1199999999999997E-2</v>
      </c>
      <c r="M1630" s="3"/>
      <c r="N1630" s="3">
        <f t="shared" si="102"/>
        <v>1997</v>
      </c>
      <c r="O1630" s="3" t="str">
        <f t="shared" si="103"/>
        <v>September</v>
      </c>
      <c r="P1630" s="3" t="s">
        <v>41</v>
      </c>
      <c r="Q1630" s="3"/>
    </row>
    <row r="1631" spans="1:17" hidden="1" x14ac:dyDescent="0.3">
      <c r="A1631" s="2">
        <v>35643</v>
      </c>
      <c r="B1631" s="3" t="s">
        <v>31</v>
      </c>
      <c r="C1631" s="3" t="s">
        <v>32</v>
      </c>
      <c r="D1631" s="3" t="s">
        <v>38</v>
      </c>
      <c r="E1631" s="3" t="s">
        <v>39</v>
      </c>
      <c r="F1631" s="3">
        <v>275.17</v>
      </c>
      <c r="G1631" s="3" t="s">
        <v>40</v>
      </c>
      <c r="H1631" s="3" t="s">
        <v>17</v>
      </c>
      <c r="I1631" s="3">
        <f>IF(C1631="India",1,IF(C1631="USA",INDEX('Currency Master'!B:B,MATCH(DATE(N1631,MONTH(DATEVALUE(O1631&amp;" 1")),1),'Currency Master'!A:A,0)),IF(C1631="Australia",INDEX('Currency Master'!T:T,MATCH(DATE(N1631,MONTH(DATEVALUE(O1631&amp;" 1")),1),'Currency Master'!A:A,0)),"")))</f>
        <v>28.192</v>
      </c>
      <c r="J1631" s="3">
        <f t="shared" si="100"/>
        <v>275.17</v>
      </c>
      <c r="K1631" s="3" t="str">
        <f t="shared" si="101"/>
        <v>₹/Kg</v>
      </c>
      <c r="L1631" s="3">
        <v>-6.8099999999999994E-2</v>
      </c>
      <c r="M1631" s="3"/>
      <c r="N1631" s="3">
        <f t="shared" si="102"/>
        <v>1997</v>
      </c>
      <c r="O1631" s="3" t="str">
        <f t="shared" si="103"/>
        <v>August</v>
      </c>
      <c r="P1631" s="3" t="s">
        <v>41</v>
      </c>
      <c r="Q1631" s="3"/>
    </row>
    <row r="1632" spans="1:17" hidden="1" x14ac:dyDescent="0.3">
      <c r="A1632" s="2">
        <v>35612</v>
      </c>
      <c r="B1632" s="3" t="s">
        <v>31</v>
      </c>
      <c r="C1632" s="3" t="s">
        <v>32</v>
      </c>
      <c r="D1632" s="3" t="s">
        <v>38</v>
      </c>
      <c r="E1632" s="3" t="s">
        <v>39</v>
      </c>
      <c r="F1632" s="3">
        <v>295.27</v>
      </c>
      <c r="G1632" s="3" t="s">
        <v>40</v>
      </c>
      <c r="H1632" s="3" t="s">
        <v>17</v>
      </c>
      <c r="I1632" s="3">
        <f>IF(C1632="India",1,IF(C1632="USA",INDEX('Currency Master'!B:B,MATCH(DATE(N1632,MONTH(DATEVALUE(O1632&amp;" 1")),1),'Currency Master'!A:A,0)),IF(C1632="Australia",INDEX('Currency Master'!T:T,MATCH(DATE(N1632,MONTH(DATEVALUE(O1632&amp;" 1")),1),'Currency Master'!A:A,0)),"")))</f>
        <v>27.911999999999999</v>
      </c>
      <c r="J1632" s="3">
        <f t="shared" si="100"/>
        <v>295.27</v>
      </c>
      <c r="K1632" s="3" t="str">
        <f t="shared" si="101"/>
        <v>₹/Kg</v>
      </c>
      <c r="L1632" s="3">
        <v>-5.7999999999999996E-3</v>
      </c>
      <c r="M1632" s="3"/>
      <c r="N1632" s="3">
        <f t="shared" si="102"/>
        <v>1997</v>
      </c>
      <c r="O1632" s="3" t="str">
        <f t="shared" si="103"/>
        <v>July</v>
      </c>
      <c r="P1632" s="3" t="s">
        <v>41</v>
      </c>
      <c r="Q1632" s="3"/>
    </row>
    <row r="1633" spans="1:17" hidden="1" x14ac:dyDescent="0.3">
      <c r="A1633" s="2">
        <v>35582</v>
      </c>
      <c r="B1633" s="3" t="s">
        <v>31</v>
      </c>
      <c r="C1633" s="3" t="s">
        <v>32</v>
      </c>
      <c r="D1633" s="3" t="s">
        <v>38</v>
      </c>
      <c r="E1633" s="3" t="s">
        <v>39</v>
      </c>
      <c r="F1633" s="3">
        <v>296.99</v>
      </c>
      <c r="G1633" s="3" t="s">
        <v>40</v>
      </c>
      <c r="H1633" s="3" t="s">
        <v>17</v>
      </c>
      <c r="I1633" s="3">
        <f>IF(C1633="India",1,IF(C1633="USA",INDEX('Currency Master'!B:B,MATCH(DATE(N1633,MONTH(DATEVALUE(O1633&amp;" 1")),1),'Currency Master'!A:A,0)),IF(C1633="Australia",INDEX('Currency Master'!T:T,MATCH(DATE(N1633,MONTH(DATEVALUE(O1633&amp;" 1")),1),'Currency Master'!A:A,0)),"")))</f>
        <v>27.33</v>
      </c>
      <c r="J1633" s="3">
        <f t="shared" si="100"/>
        <v>296.99</v>
      </c>
      <c r="K1633" s="3" t="str">
        <f t="shared" si="101"/>
        <v>₹/Kg</v>
      </c>
      <c r="L1633" s="3">
        <v>3.0099999999999998E-2</v>
      </c>
      <c r="M1633" s="3"/>
      <c r="N1633" s="3">
        <f t="shared" si="102"/>
        <v>1997</v>
      </c>
      <c r="O1633" s="3" t="str">
        <f t="shared" si="103"/>
        <v>June</v>
      </c>
      <c r="P1633" s="3" t="s">
        <v>41</v>
      </c>
      <c r="Q1633" s="3"/>
    </row>
    <row r="1634" spans="1:17" hidden="1" x14ac:dyDescent="0.3">
      <c r="A1634" s="2">
        <v>35551</v>
      </c>
      <c r="B1634" s="3" t="s">
        <v>31</v>
      </c>
      <c r="C1634" s="3" t="s">
        <v>32</v>
      </c>
      <c r="D1634" s="3" t="s">
        <v>38</v>
      </c>
      <c r="E1634" s="3" t="s">
        <v>39</v>
      </c>
      <c r="F1634" s="3">
        <v>288.32</v>
      </c>
      <c r="G1634" s="3" t="s">
        <v>40</v>
      </c>
      <c r="H1634" s="3" t="s">
        <v>17</v>
      </c>
      <c r="I1634" s="3">
        <f>IF(C1634="India",1,IF(C1634="USA",INDEX('Currency Master'!B:B,MATCH(DATE(N1634,MONTH(DATEVALUE(O1634&amp;" 1")),1),'Currency Master'!A:A,0)),IF(C1634="Australia",INDEX('Currency Master'!T:T,MATCH(DATE(N1634,MONTH(DATEVALUE(O1634&amp;" 1")),1),'Currency Master'!A:A,0)),"")))</f>
        <v>28.495000000000001</v>
      </c>
      <c r="J1634" s="3">
        <f t="shared" si="100"/>
        <v>288.32</v>
      </c>
      <c r="K1634" s="3" t="str">
        <f t="shared" si="101"/>
        <v>₹/Kg</v>
      </c>
      <c r="L1634" s="3">
        <v>5.33E-2</v>
      </c>
      <c r="M1634" s="3"/>
      <c r="N1634" s="3">
        <f t="shared" si="102"/>
        <v>1997</v>
      </c>
      <c r="O1634" s="3" t="str">
        <f t="shared" si="103"/>
        <v>May</v>
      </c>
      <c r="P1634" s="3" t="s">
        <v>41</v>
      </c>
      <c r="Q1634" s="3"/>
    </row>
    <row r="1635" spans="1:17" hidden="1" x14ac:dyDescent="0.3">
      <c r="A1635" s="2">
        <v>35521</v>
      </c>
      <c r="B1635" s="3" t="s">
        <v>31</v>
      </c>
      <c r="C1635" s="3" t="s">
        <v>32</v>
      </c>
      <c r="D1635" s="3" t="s">
        <v>38</v>
      </c>
      <c r="E1635" s="3" t="s">
        <v>39</v>
      </c>
      <c r="F1635" s="3">
        <v>273.73</v>
      </c>
      <c r="G1635" s="3" t="s">
        <v>40</v>
      </c>
      <c r="H1635" s="3" t="s">
        <v>17</v>
      </c>
      <c r="I1635" s="3">
        <f>IF(C1635="India",1,IF(C1635="USA",INDEX('Currency Master'!B:B,MATCH(DATE(N1635,MONTH(DATEVALUE(O1635&amp;" 1")),1),'Currency Master'!A:A,0)),IF(C1635="Australia",INDEX('Currency Master'!T:T,MATCH(DATE(N1635,MONTH(DATEVALUE(O1635&amp;" 1")),1),'Currency Master'!A:A,0)),"")))</f>
        <v>29.161999999999999</v>
      </c>
      <c r="J1635" s="3">
        <f t="shared" si="100"/>
        <v>273.73</v>
      </c>
      <c r="K1635" s="3" t="str">
        <f t="shared" si="101"/>
        <v>₹/Kg</v>
      </c>
      <c r="L1635" s="3">
        <v>6.0400000000000002E-2</v>
      </c>
      <c r="M1635" s="3"/>
      <c r="N1635" s="3">
        <f t="shared" si="102"/>
        <v>1997</v>
      </c>
      <c r="O1635" s="3" t="str">
        <f t="shared" si="103"/>
        <v>April</v>
      </c>
      <c r="P1635" s="3" t="s">
        <v>41</v>
      </c>
      <c r="Q1635" s="3"/>
    </row>
    <row r="1636" spans="1:17" hidden="1" x14ac:dyDescent="0.3">
      <c r="A1636" s="2">
        <v>35490</v>
      </c>
      <c r="B1636" s="3" t="s">
        <v>31</v>
      </c>
      <c r="C1636" s="3" t="s">
        <v>32</v>
      </c>
      <c r="D1636" s="3" t="s">
        <v>38</v>
      </c>
      <c r="E1636" s="3" t="s">
        <v>39</v>
      </c>
      <c r="F1636" s="3">
        <v>258.14</v>
      </c>
      <c r="G1636" s="3" t="s">
        <v>40</v>
      </c>
      <c r="H1636" s="3" t="s">
        <v>17</v>
      </c>
      <c r="I1636" s="3">
        <f>IF(C1636="India",1,IF(C1636="USA",INDEX('Currency Master'!B:B,MATCH(DATE(N1636,MONTH(DATEVALUE(O1636&amp;" 1")),1),'Currency Master'!A:A,0)),IF(C1636="Australia",INDEX('Currency Master'!T:T,MATCH(DATE(N1636,MONTH(DATEVALUE(O1636&amp;" 1")),1),'Currency Master'!A:A,0)),"")))</f>
        <v>28.254999999999999</v>
      </c>
      <c r="J1636" s="3">
        <f t="shared" si="100"/>
        <v>258.14</v>
      </c>
      <c r="K1636" s="3" t="str">
        <f t="shared" si="101"/>
        <v>₹/Kg</v>
      </c>
      <c r="L1636" s="3">
        <v>-1.6E-2</v>
      </c>
      <c r="M1636" s="3"/>
      <c r="N1636" s="3">
        <f t="shared" si="102"/>
        <v>1997</v>
      </c>
      <c r="O1636" s="3" t="str">
        <f t="shared" si="103"/>
        <v>March</v>
      </c>
      <c r="P1636" s="3" t="s">
        <v>41</v>
      </c>
      <c r="Q1636" s="3"/>
    </row>
    <row r="1637" spans="1:17" hidden="1" x14ac:dyDescent="0.3">
      <c r="A1637" s="2">
        <v>35462</v>
      </c>
      <c r="B1637" s="3" t="s">
        <v>31</v>
      </c>
      <c r="C1637" s="3" t="s">
        <v>32</v>
      </c>
      <c r="D1637" s="3" t="s">
        <v>38</v>
      </c>
      <c r="E1637" s="3" t="s">
        <v>39</v>
      </c>
      <c r="F1637" s="3">
        <v>262.33</v>
      </c>
      <c r="G1637" s="3" t="s">
        <v>40</v>
      </c>
      <c r="H1637" s="3" t="s">
        <v>17</v>
      </c>
      <c r="I1637" s="3">
        <f>IF(C1637="India",1,IF(C1637="USA",INDEX('Currency Master'!B:B,MATCH(DATE(N1637,MONTH(DATEVALUE(O1637&amp;" 1")),1),'Currency Master'!A:A,0)),IF(C1637="Australia",INDEX('Currency Master'!T:T,MATCH(DATE(N1637,MONTH(DATEVALUE(O1637&amp;" 1")),1),'Currency Master'!A:A,0)),"")))</f>
        <v>28.219000000000001</v>
      </c>
      <c r="J1637" s="3">
        <f t="shared" si="100"/>
        <v>262.33</v>
      </c>
      <c r="K1637" s="3" t="str">
        <f t="shared" si="101"/>
        <v>₹/Kg</v>
      </c>
      <c r="L1637" s="3">
        <v>7.9000000000000001E-2</v>
      </c>
      <c r="M1637" s="3"/>
      <c r="N1637" s="3">
        <f t="shared" si="102"/>
        <v>1997</v>
      </c>
      <c r="O1637" s="3" t="str">
        <f t="shared" si="103"/>
        <v>February</v>
      </c>
      <c r="P1637" s="3" t="s">
        <v>41</v>
      </c>
      <c r="Q1637" s="3"/>
    </row>
    <row r="1638" spans="1:17" hidden="1" x14ac:dyDescent="0.3">
      <c r="A1638" s="2">
        <v>35431</v>
      </c>
      <c r="B1638" s="3" t="s">
        <v>31</v>
      </c>
      <c r="C1638" s="3" t="s">
        <v>32</v>
      </c>
      <c r="D1638" s="3" t="s">
        <v>38</v>
      </c>
      <c r="E1638" s="3" t="s">
        <v>39</v>
      </c>
      <c r="F1638" s="3">
        <v>243.12</v>
      </c>
      <c r="G1638" s="3" t="s">
        <v>40</v>
      </c>
      <c r="H1638" s="3" t="s">
        <v>17</v>
      </c>
      <c r="I1638" s="3">
        <f>IF(C1638="India",1,IF(C1638="USA",INDEX('Currency Master'!B:B,MATCH(DATE(N1638,MONTH(DATEVALUE(O1638&amp;" 1")),1),'Currency Master'!A:A,0)),IF(C1638="Australia",INDEX('Currency Master'!T:T,MATCH(DATE(N1638,MONTH(DATEVALUE(O1638&amp;" 1")),1),'Currency Master'!A:A,0)),"")))</f>
        <v>28.148</v>
      </c>
      <c r="J1638" s="3">
        <f t="shared" si="100"/>
        <v>243.12</v>
      </c>
      <c r="K1638" s="3" t="str">
        <f t="shared" si="101"/>
        <v>₹/Kg</v>
      </c>
      <c r="L1638" s="3">
        <v>7.1800000000000003E-2</v>
      </c>
      <c r="M1638" s="3"/>
      <c r="N1638" s="3">
        <f t="shared" si="102"/>
        <v>1997</v>
      </c>
      <c r="O1638" s="3" t="str">
        <f t="shared" si="103"/>
        <v>January</v>
      </c>
      <c r="P1638" s="3" t="s">
        <v>41</v>
      </c>
      <c r="Q1638" s="3"/>
    </row>
    <row r="1639" spans="1:17" hidden="1" x14ac:dyDescent="0.3">
      <c r="A1639" s="2">
        <v>35400</v>
      </c>
      <c r="B1639" s="3" t="s">
        <v>31</v>
      </c>
      <c r="C1639" s="3" t="s">
        <v>32</v>
      </c>
      <c r="D1639" s="3" t="s">
        <v>38</v>
      </c>
      <c r="E1639" s="3" t="s">
        <v>39</v>
      </c>
      <c r="F1639" s="3">
        <v>226.84</v>
      </c>
      <c r="G1639" s="3" t="s">
        <v>40</v>
      </c>
      <c r="H1639" s="3" t="s">
        <v>17</v>
      </c>
      <c r="I1639" s="3">
        <f>IF(C1639="India",1,IF(C1639="USA",INDEX('Currency Master'!B:B,MATCH(DATE(N1639,MONTH(DATEVALUE(O1639&amp;" 1")),1),'Currency Master'!A:A,0)),IF(C1639="Australia",INDEX('Currency Master'!T:T,MATCH(DATE(N1639,MONTH(DATEVALUE(O1639&amp;" 1")),1),'Currency Master'!A:A,0)),"")))</f>
        <v>27.471</v>
      </c>
      <c r="J1639" s="3">
        <f t="shared" si="100"/>
        <v>226.84</v>
      </c>
      <c r="K1639" s="3" t="str">
        <f t="shared" si="101"/>
        <v>₹/Kg</v>
      </c>
      <c r="L1639" s="3">
        <v>2.8799999999999999E-2</v>
      </c>
      <c r="M1639" s="3"/>
      <c r="N1639" s="3">
        <f t="shared" si="102"/>
        <v>1996</v>
      </c>
      <c r="O1639" s="3" t="str">
        <f t="shared" si="103"/>
        <v>December</v>
      </c>
      <c r="P1639" s="3" t="s">
        <v>41</v>
      </c>
      <c r="Q1639" s="3"/>
    </row>
    <row r="1640" spans="1:17" hidden="1" x14ac:dyDescent="0.3">
      <c r="A1640" s="2">
        <v>35370</v>
      </c>
      <c r="B1640" s="3" t="s">
        <v>31</v>
      </c>
      <c r="C1640" s="3" t="s">
        <v>32</v>
      </c>
      <c r="D1640" s="3" t="s">
        <v>38</v>
      </c>
      <c r="E1640" s="3" t="s">
        <v>39</v>
      </c>
      <c r="F1640" s="3">
        <v>220.48</v>
      </c>
      <c r="G1640" s="3" t="s">
        <v>40</v>
      </c>
      <c r="H1640" s="3" t="s">
        <v>17</v>
      </c>
      <c r="I1640" s="3">
        <f>IF(C1640="India",1,IF(C1640="USA",INDEX('Currency Master'!B:B,MATCH(DATE(N1640,MONTH(DATEVALUE(O1640&amp;" 1")),1),'Currency Master'!A:A,0)),IF(C1640="Australia",INDEX('Currency Master'!T:T,MATCH(DATE(N1640,MONTH(DATEVALUE(O1640&amp;" 1")),1),'Currency Master'!A:A,0)),"")))</f>
        <v>27.542999999999999</v>
      </c>
      <c r="J1640" s="3">
        <f t="shared" si="100"/>
        <v>220.48</v>
      </c>
      <c r="K1640" s="3" t="str">
        <f t="shared" si="101"/>
        <v>₹/Kg</v>
      </c>
      <c r="L1640" s="3">
        <v>-9.2499999999999999E-2</v>
      </c>
      <c r="M1640" s="3"/>
      <c r="N1640" s="3">
        <f t="shared" si="102"/>
        <v>1996</v>
      </c>
      <c r="O1640" s="3" t="str">
        <f t="shared" si="103"/>
        <v>November</v>
      </c>
      <c r="P1640" s="3" t="s">
        <v>41</v>
      </c>
      <c r="Q1640" s="3"/>
    </row>
    <row r="1641" spans="1:17" hidden="1" x14ac:dyDescent="0.3">
      <c r="A1641" s="2">
        <v>35339</v>
      </c>
      <c r="B1641" s="3" t="s">
        <v>31</v>
      </c>
      <c r="C1641" s="3" t="s">
        <v>32</v>
      </c>
      <c r="D1641" s="3" t="s">
        <v>38</v>
      </c>
      <c r="E1641" s="3" t="s">
        <v>39</v>
      </c>
      <c r="F1641" s="3">
        <v>242.94</v>
      </c>
      <c r="G1641" s="3" t="s">
        <v>40</v>
      </c>
      <c r="H1641" s="3" t="s">
        <v>17</v>
      </c>
      <c r="I1641" s="3">
        <f>IF(C1641="India",1,IF(C1641="USA",INDEX('Currency Master'!B:B,MATCH(DATE(N1641,MONTH(DATEVALUE(O1641&amp;" 1")),1),'Currency Master'!A:A,0)),IF(C1641="Australia",INDEX('Currency Master'!T:T,MATCH(DATE(N1641,MONTH(DATEVALUE(O1641&amp;" 1")),1),'Currency Master'!A:A,0)),"")))</f>
        <v>27.913</v>
      </c>
      <c r="J1641" s="3">
        <f t="shared" si="100"/>
        <v>242.94</v>
      </c>
      <c r="K1641" s="3" t="str">
        <f t="shared" si="101"/>
        <v>₹/Kg</v>
      </c>
      <c r="L1641" s="3">
        <v>-7.9100000000000004E-2</v>
      </c>
      <c r="M1641" s="3"/>
      <c r="N1641" s="3">
        <f t="shared" si="102"/>
        <v>1996</v>
      </c>
      <c r="O1641" s="3" t="str">
        <f t="shared" si="103"/>
        <v>October</v>
      </c>
      <c r="P1641" s="3" t="s">
        <v>41</v>
      </c>
      <c r="Q1641" s="3"/>
    </row>
    <row r="1642" spans="1:17" hidden="1" x14ac:dyDescent="0.3">
      <c r="A1642" s="2">
        <v>35309</v>
      </c>
      <c r="B1642" s="3" t="s">
        <v>31</v>
      </c>
      <c r="C1642" s="3" t="s">
        <v>32</v>
      </c>
      <c r="D1642" s="3" t="s">
        <v>38</v>
      </c>
      <c r="E1642" s="3" t="s">
        <v>39</v>
      </c>
      <c r="F1642" s="3">
        <v>263.81</v>
      </c>
      <c r="G1642" s="3" t="s">
        <v>40</v>
      </c>
      <c r="H1642" s="3" t="s">
        <v>17</v>
      </c>
      <c r="I1642" s="3">
        <f>IF(C1642="India",1,IF(C1642="USA",INDEX('Currency Master'!B:B,MATCH(DATE(N1642,MONTH(DATEVALUE(O1642&amp;" 1")),1),'Currency Master'!A:A,0)),IF(C1642="Australia",INDEX('Currency Master'!T:T,MATCH(DATE(N1642,MONTH(DATEVALUE(O1642&amp;" 1")),1),'Currency Master'!A:A,0)),"")))</f>
        <v>27.279</v>
      </c>
      <c r="J1642" s="3">
        <f t="shared" si="100"/>
        <v>263.81</v>
      </c>
      <c r="K1642" s="3" t="str">
        <f t="shared" si="101"/>
        <v>₹/Kg</v>
      </c>
      <c r="L1642" s="3">
        <v>-1.66E-2</v>
      </c>
      <c r="M1642" s="3"/>
      <c r="N1642" s="3">
        <f t="shared" si="102"/>
        <v>1996</v>
      </c>
      <c r="O1642" s="3" t="str">
        <f t="shared" si="103"/>
        <v>September</v>
      </c>
      <c r="P1642" s="3" t="s">
        <v>41</v>
      </c>
      <c r="Q1642" s="3"/>
    </row>
    <row r="1643" spans="1:17" hidden="1" x14ac:dyDescent="0.3">
      <c r="A1643" s="2">
        <v>35278</v>
      </c>
      <c r="B1643" s="3" t="s">
        <v>31</v>
      </c>
      <c r="C1643" s="3" t="s">
        <v>32</v>
      </c>
      <c r="D1643" s="3" t="s">
        <v>38</v>
      </c>
      <c r="E1643" s="3" t="s">
        <v>39</v>
      </c>
      <c r="F1643" s="3">
        <v>268.27999999999997</v>
      </c>
      <c r="G1643" s="3" t="s">
        <v>40</v>
      </c>
      <c r="H1643" s="3" t="s">
        <v>17</v>
      </c>
      <c r="I1643" s="3">
        <f>IF(C1643="India",1,IF(C1643="USA",INDEX('Currency Master'!B:B,MATCH(DATE(N1643,MONTH(DATEVALUE(O1643&amp;" 1")),1),'Currency Master'!A:A,0)),IF(C1643="Australia",INDEX('Currency Master'!T:T,MATCH(DATE(N1643,MONTH(DATEVALUE(O1643&amp;" 1")),1),'Currency Master'!A:A,0)),"")))</f>
        <v>26.677</v>
      </c>
      <c r="J1643" s="3">
        <f t="shared" si="100"/>
        <v>268.27999999999997</v>
      </c>
      <c r="K1643" s="3" t="str">
        <f t="shared" si="101"/>
        <v>₹/Kg</v>
      </c>
      <c r="L1643" s="3">
        <v>0.12470000000000001</v>
      </c>
      <c r="M1643" s="3"/>
      <c r="N1643" s="3">
        <f t="shared" si="102"/>
        <v>1996</v>
      </c>
      <c r="O1643" s="3" t="str">
        <f t="shared" si="103"/>
        <v>August</v>
      </c>
      <c r="P1643" s="3" t="s">
        <v>41</v>
      </c>
      <c r="Q1643" s="3"/>
    </row>
    <row r="1644" spans="1:17" hidden="1" x14ac:dyDescent="0.3">
      <c r="A1644" s="2">
        <v>35247</v>
      </c>
      <c r="B1644" s="3" t="s">
        <v>31</v>
      </c>
      <c r="C1644" s="3" t="s">
        <v>32</v>
      </c>
      <c r="D1644" s="3" t="s">
        <v>38</v>
      </c>
      <c r="E1644" s="3" t="s">
        <v>39</v>
      </c>
      <c r="F1644" s="3">
        <v>238.53</v>
      </c>
      <c r="G1644" s="3" t="s">
        <v>40</v>
      </c>
      <c r="H1644" s="3" t="s">
        <v>17</v>
      </c>
      <c r="I1644" s="3">
        <f>IF(C1644="India",1,IF(C1644="USA",INDEX('Currency Master'!B:B,MATCH(DATE(N1644,MONTH(DATEVALUE(O1644&amp;" 1")),1),'Currency Master'!A:A,0)),IF(C1644="Australia",INDEX('Currency Master'!T:T,MATCH(DATE(N1644,MONTH(DATEVALUE(O1644&amp;" 1")),1),'Currency Master'!A:A,0)),"")))</f>
        <v>26.507999999999999</v>
      </c>
      <c r="J1644" s="3">
        <f t="shared" si="100"/>
        <v>238.53</v>
      </c>
      <c r="K1644" s="3" t="str">
        <f t="shared" si="101"/>
        <v>₹/Kg</v>
      </c>
      <c r="L1644" s="3">
        <v>-2.8000000000000001E-2</v>
      </c>
      <c r="M1644" s="3"/>
      <c r="N1644" s="3">
        <f t="shared" si="102"/>
        <v>1996</v>
      </c>
      <c r="O1644" s="3" t="str">
        <f t="shared" si="103"/>
        <v>July</v>
      </c>
      <c r="P1644" s="3" t="s">
        <v>41</v>
      </c>
      <c r="Q1644" s="3"/>
    </row>
    <row r="1645" spans="1:17" hidden="1" x14ac:dyDescent="0.3">
      <c r="A1645" s="2">
        <v>35217</v>
      </c>
      <c r="B1645" s="3" t="s">
        <v>31</v>
      </c>
      <c r="C1645" s="3" t="s">
        <v>32</v>
      </c>
      <c r="D1645" s="3" t="s">
        <v>38</v>
      </c>
      <c r="E1645" s="3" t="s">
        <v>39</v>
      </c>
      <c r="F1645" s="3">
        <v>245.4</v>
      </c>
      <c r="G1645" s="3" t="s">
        <v>40</v>
      </c>
      <c r="H1645" s="3" t="s">
        <v>17</v>
      </c>
      <c r="I1645" s="3">
        <f>IF(C1645="India",1,IF(C1645="USA",INDEX('Currency Master'!B:B,MATCH(DATE(N1645,MONTH(DATEVALUE(O1645&amp;" 1")),1),'Currency Master'!A:A,0)),IF(C1645="Australia",INDEX('Currency Master'!T:T,MATCH(DATE(N1645,MONTH(DATEVALUE(O1645&amp;" 1")),1),'Currency Master'!A:A,0)),"")))</f>
        <v>27.193999999999999</v>
      </c>
      <c r="J1645" s="3">
        <f t="shared" si="100"/>
        <v>245.4</v>
      </c>
      <c r="K1645" s="3" t="str">
        <f t="shared" si="101"/>
        <v>₹/Kg</v>
      </c>
      <c r="L1645" s="3">
        <v>-5.6800000000000003E-2</v>
      </c>
      <c r="M1645" s="3"/>
      <c r="N1645" s="3">
        <f t="shared" si="102"/>
        <v>1996</v>
      </c>
      <c r="O1645" s="3" t="str">
        <f t="shared" si="103"/>
        <v>June</v>
      </c>
      <c r="P1645" s="3" t="s">
        <v>41</v>
      </c>
      <c r="Q1645" s="3"/>
    </row>
    <row r="1646" spans="1:17" hidden="1" x14ac:dyDescent="0.3">
      <c r="A1646" s="2">
        <v>35186</v>
      </c>
      <c r="B1646" s="3" t="s">
        <v>31</v>
      </c>
      <c r="C1646" s="3" t="s">
        <v>32</v>
      </c>
      <c r="D1646" s="3" t="s">
        <v>38</v>
      </c>
      <c r="E1646" s="3" t="s">
        <v>39</v>
      </c>
      <c r="F1646" s="3">
        <v>260.17</v>
      </c>
      <c r="G1646" s="3" t="s">
        <v>40</v>
      </c>
      <c r="H1646" s="3" t="s">
        <v>17</v>
      </c>
      <c r="I1646" s="3">
        <f>IF(C1646="India",1,IF(C1646="USA",INDEX('Currency Master'!B:B,MATCH(DATE(N1646,MONTH(DATEVALUE(O1646&amp;" 1")),1),'Currency Master'!A:A,0)),IF(C1646="Australia",INDEX('Currency Master'!T:T,MATCH(DATE(N1646,MONTH(DATEVALUE(O1646&amp;" 1")),1),'Currency Master'!A:A,0)),"")))</f>
        <v>26.119</v>
      </c>
      <c r="J1646" s="3">
        <f t="shared" si="100"/>
        <v>260.17</v>
      </c>
      <c r="K1646" s="3" t="str">
        <f t="shared" si="101"/>
        <v>₹/Kg</v>
      </c>
      <c r="L1646" s="3">
        <v>0.27139999999999997</v>
      </c>
      <c r="M1646" s="3"/>
      <c r="N1646" s="3">
        <f t="shared" si="102"/>
        <v>1996</v>
      </c>
      <c r="O1646" s="3" t="str">
        <f t="shared" si="103"/>
        <v>May</v>
      </c>
      <c r="P1646" s="3" t="s">
        <v>41</v>
      </c>
      <c r="Q1646" s="3"/>
    </row>
    <row r="1647" spans="1:17" hidden="1" x14ac:dyDescent="0.3">
      <c r="A1647" s="2">
        <v>35156</v>
      </c>
      <c r="B1647" s="3" t="s">
        <v>31</v>
      </c>
      <c r="C1647" s="3" t="s">
        <v>32</v>
      </c>
      <c r="D1647" s="3" t="s">
        <v>38</v>
      </c>
      <c r="E1647" s="3" t="s">
        <v>39</v>
      </c>
      <c r="F1647" s="3">
        <v>204.64</v>
      </c>
      <c r="G1647" s="3" t="s">
        <v>40</v>
      </c>
      <c r="H1647" s="3" t="s">
        <v>17</v>
      </c>
      <c r="I1647" s="3">
        <f>IF(C1647="India",1,IF(C1647="USA",INDEX('Currency Master'!B:B,MATCH(DATE(N1647,MONTH(DATEVALUE(O1647&amp;" 1")),1),'Currency Master'!A:A,0)),IF(C1647="Australia",INDEX('Currency Master'!T:T,MATCH(DATE(N1647,MONTH(DATEVALUE(O1647&amp;" 1")),1),'Currency Master'!A:A,0)),"")))</f>
        <v>25.95</v>
      </c>
      <c r="J1647" s="3">
        <f t="shared" si="100"/>
        <v>204.64</v>
      </c>
      <c r="K1647" s="3" t="str">
        <f t="shared" si="101"/>
        <v>₹/Kg</v>
      </c>
      <c r="L1647" s="3">
        <v>3.5299999999999998E-2</v>
      </c>
      <c r="M1647" s="3"/>
      <c r="N1647" s="3">
        <f t="shared" si="102"/>
        <v>1996</v>
      </c>
      <c r="O1647" s="3" t="str">
        <f t="shared" si="103"/>
        <v>April</v>
      </c>
      <c r="P1647" s="3" t="s">
        <v>41</v>
      </c>
      <c r="Q1647" s="3"/>
    </row>
    <row r="1648" spans="1:17" hidden="1" x14ac:dyDescent="0.3">
      <c r="A1648" s="2">
        <v>35125</v>
      </c>
      <c r="B1648" s="3" t="s">
        <v>31</v>
      </c>
      <c r="C1648" s="3" t="s">
        <v>32</v>
      </c>
      <c r="D1648" s="3" t="s">
        <v>38</v>
      </c>
      <c r="E1648" s="3" t="s">
        <v>39</v>
      </c>
      <c r="F1648" s="3">
        <v>197.66</v>
      </c>
      <c r="G1648" s="3" t="s">
        <v>40</v>
      </c>
      <c r="H1648" s="3" t="s">
        <v>17</v>
      </c>
      <c r="I1648" s="3">
        <f>IF(C1648="India",1,IF(C1648="USA",INDEX('Currency Master'!B:B,MATCH(DATE(N1648,MONTH(DATEVALUE(O1648&amp;" 1")),1),'Currency Master'!A:A,0)),IF(C1648="Australia",INDEX('Currency Master'!T:T,MATCH(DATE(N1648,MONTH(DATEVALUE(O1648&amp;" 1")),1),'Currency Master'!A:A,0)),"")))</f>
        <v>26.010999999999999</v>
      </c>
      <c r="J1648" s="3">
        <f t="shared" si="100"/>
        <v>197.66</v>
      </c>
      <c r="K1648" s="3" t="str">
        <f t="shared" si="101"/>
        <v>₹/Kg</v>
      </c>
      <c r="L1648" s="3">
        <v>2.7699999999999999E-2</v>
      </c>
      <c r="M1648" s="3"/>
      <c r="N1648" s="3">
        <f t="shared" si="102"/>
        <v>1996</v>
      </c>
      <c r="O1648" s="3" t="str">
        <f t="shared" si="103"/>
        <v>March</v>
      </c>
      <c r="P1648" s="3" t="s">
        <v>41</v>
      </c>
      <c r="Q1648" s="3"/>
    </row>
    <row r="1649" spans="1:17" hidden="1" x14ac:dyDescent="0.3">
      <c r="A1649" s="2">
        <v>35096</v>
      </c>
      <c r="B1649" s="3" t="s">
        <v>31</v>
      </c>
      <c r="C1649" s="3" t="s">
        <v>32</v>
      </c>
      <c r="D1649" s="3" t="s">
        <v>38</v>
      </c>
      <c r="E1649" s="3" t="s">
        <v>39</v>
      </c>
      <c r="F1649" s="3">
        <v>192.32</v>
      </c>
      <c r="G1649" s="3" t="s">
        <v>40</v>
      </c>
      <c r="H1649" s="3" t="s">
        <v>17</v>
      </c>
      <c r="I1649" s="3">
        <f>IF(C1649="India",1,IF(C1649="USA",INDEX('Currency Master'!B:B,MATCH(DATE(N1649,MONTH(DATEVALUE(O1649&amp;" 1")),1),'Currency Master'!A:A,0)),IF(C1649="Australia",INDEX('Currency Master'!T:T,MATCH(DATE(N1649,MONTH(DATEVALUE(O1649&amp;" 1")),1),'Currency Master'!A:A,0)),"")))</f>
        <v>25.625</v>
      </c>
      <c r="J1649" s="3">
        <f t="shared" si="100"/>
        <v>192.32</v>
      </c>
      <c r="K1649" s="3" t="str">
        <f t="shared" si="101"/>
        <v>₹/Kg</v>
      </c>
      <c r="L1649" s="3">
        <v>-7.9899999999999999E-2</v>
      </c>
      <c r="M1649" s="3"/>
      <c r="N1649" s="3">
        <f t="shared" si="102"/>
        <v>1996</v>
      </c>
      <c r="O1649" s="3" t="str">
        <f t="shared" si="103"/>
        <v>February</v>
      </c>
      <c r="P1649" s="3" t="s">
        <v>41</v>
      </c>
      <c r="Q1649" s="3"/>
    </row>
    <row r="1650" spans="1:17" hidden="1" x14ac:dyDescent="0.3">
      <c r="A1650" s="2">
        <v>35065</v>
      </c>
      <c r="B1650" s="3" t="s">
        <v>31</v>
      </c>
      <c r="C1650" s="3" t="s">
        <v>32</v>
      </c>
      <c r="D1650" s="3" t="s">
        <v>38</v>
      </c>
      <c r="E1650" s="3" t="s">
        <v>39</v>
      </c>
      <c r="F1650" s="3">
        <v>209.01</v>
      </c>
      <c r="G1650" s="3" t="s">
        <v>40</v>
      </c>
      <c r="H1650" s="3" t="s">
        <v>17</v>
      </c>
      <c r="I1650" s="3">
        <f>IF(C1650="India",1,IF(C1650="USA",INDEX('Currency Master'!B:B,MATCH(DATE(N1650,MONTH(DATEVALUE(O1650&amp;" 1")),1),'Currency Master'!A:A,0)),IF(C1650="Australia",INDEX('Currency Master'!T:T,MATCH(DATE(N1650,MONTH(DATEVALUE(O1650&amp;" 1")),1),'Currency Master'!A:A,0)),"")))</f>
        <v>23.925000000000001</v>
      </c>
      <c r="J1650" s="3">
        <f t="shared" si="100"/>
        <v>209.01</v>
      </c>
      <c r="K1650" s="3" t="str">
        <f t="shared" si="101"/>
        <v>₹/Kg</v>
      </c>
      <c r="L1650" s="3">
        <v>1.24E-2</v>
      </c>
      <c r="M1650" s="3"/>
      <c r="N1650" s="3">
        <f t="shared" si="102"/>
        <v>1996</v>
      </c>
      <c r="O1650" s="3" t="str">
        <f t="shared" si="103"/>
        <v>January</v>
      </c>
      <c r="P1650" s="3" t="s">
        <v>41</v>
      </c>
      <c r="Q1650" s="3"/>
    </row>
    <row r="1651" spans="1:17" hidden="1" x14ac:dyDescent="0.3">
      <c r="A1651" s="2">
        <v>35034</v>
      </c>
      <c r="B1651" s="3" t="s">
        <v>31</v>
      </c>
      <c r="C1651" s="3" t="s">
        <v>32</v>
      </c>
      <c r="D1651" s="3" t="s">
        <v>38</v>
      </c>
      <c r="E1651" s="3" t="s">
        <v>39</v>
      </c>
      <c r="F1651" s="3">
        <v>206.45</v>
      </c>
      <c r="G1651" s="3" t="s">
        <v>40</v>
      </c>
      <c r="H1651" s="3" t="s">
        <v>17</v>
      </c>
      <c r="I1651" s="3">
        <f>IF(C1651="India",1,IF(C1651="USA",INDEX('Currency Master'!B:B,MATCH(DATE(N1651,MONTH(DATEVALUE(O1651&amp;" 1")),1),'Currency Master'!A:A,0)),IF(C1651="Australia",INDEX('Currency Master'!T:T,MATCH(DATE(N1651,MONTH(DATEVALUE(O1651&amp;" 1")),1),'Currency Master'!A:A,0)),"")))</f>
        <v>23.201000000000001</v>
      </c>
      <c r="J1651" s="3">
        <f t="shared" si="100"/>
        <v>206.45</v>
      </c>
      <c r="K1651" s="3" t="str">
        <f t="shared" si="101"/>
        <v>₹/Kg</v>
      </c>
      <c r="L1651" s="3">
        <v>-1.1299999999999999E-2</v>
      </c>
      <c r="M1651" s="3"/>
      <c r="N1651" s="3">
        <f t="shared" si="102"/>
        <v>1995</v>
      </c>
      <c r="O1651" s="3" t="str">
        <f t="shared" si="103"/>
        <v>December</v>
      </c>
      <c r="P1651" s="3" t="s">
        <v>41</v>
      </c>
      <c r="Q1651" s="3"/>
    </row>
    <row r="1652" spans="1:17" hidden="1" x14ac:dyDescent="0.3">
      <c r="A1652" s="2">
        <v>35004</v>
      </c>
      <c r="B1652" s="3" t="s">
        <v>31</v>
      </c>
      <c r="C1652" s="3" t="s">
        <v>32</v>
      </c>
      <c r="D1652" s="3" t="s">
        <v>38</v>
      </c>
      <c r="E1652" s="3" t="s">
        <v>39</v>
      </c>
      <c r="F1652" s="3">
        <v>208.81</v>
      </c>
      <c r="G1652" s="3" t="s">
        <v>40</v>
      </c>
      <c r="H1652" s="3" t="s">
        <v>17</v>
      </c>
      <c r="I1652" s="3">
        <f>IF(C1652="India",1,IF(C1652="USA",INDEX('Currency Master'!B:B,MATCH(DATE(N1652,MONTH(DATEVALUE(O1652&amp;" 1")),1),'Currency Master'!A:A,0)),IF(C1652="Australia",INDEX('Currency Master'!T:T,MATCH(DATE(N1652,MONTH(DATEVALUE(O1652&amp;" 1")),1),'Currency Master'!A:A,0)),"")))</f>
        <v>22.276</v>
      </c>
      <c r="J1652" s="3">
        <f t="shared" si="100"/>
        <v>208.81</v>
      </c>
      <c r="K1652" s="3" t="str">
        <f t="shared" si="101"/>
        <v>₹/Kg</v>
      </c>
      <c r="L1652" s="3">
        <v>-2.87E-2</v>
      </c>
      <c r="M1652" s="3"/>
      <c r="N1652" s="3">
        <f t="shared" si="102"/>
        <v>1995</v>
      </c>
      <c r="O1652" s="3" t="str">
        <f t="shared" si="103"/>
        <v>November</v>
      </c>
      <c r="P1652" s="3" t="s">
        <v>41</v>
      </c>
      <c r="Q1652" s="3"/>
    </row>
    <row r="1653" spans="1:17" hidden="1" x14ac:dyDescent="0.3">
      <c r="A1653" s="2">
        <v>34973</v>
      </c>
      <c r="B1653" s="3" t="s">
        <v>31</v>
      </c>
      <c r="C1653" s="3" t="s">
        <v>32</v>
      </c>
      <c r="D1653" s="3" t="s">
        <v>38</v>
      </c>
      <c r="E1653" s="3" t="s">
        <v>39</v>
      </c>
      <c r="F1653" s="3">
        <v>214.99</v>
      </c>
      <c r="G1653" s="3" t="s">
        <v>40</v>
      </c>
      <c r="H1653" s="3" t="s">
        <v>17</v>
      </c>
      <c r="I1653" s="3">
        <f>IF(C1653="India",1,IF(C1653="USA",INDEX('Currency Master'!B:B,MATCH(DATE(N1653,MONTH(DATEVALUE(O1653&amp;" 1")),1),'Currency Master'!A:A,0)),IF(C1653="Australia",INDEX('Currency Master'!T:T,MATCH(DATE(N1653,MONTH(DATEVALUE(O1653&amp;" 1")),1),'Currency Master'!A:A,0)),"")))</f>
        <v>22.568000000000001</v>
      </c>
      <c r="J1653" s="3">
        <f t="shared" si="100"/>
        <v>214.99</v>
      </c>
      <c r="K1653" s="3" t="str">
        <f t="shared" si="101"/>
        <v>₹/Kg</v>
      </c>
      <c r="L1653" s="3">
        <v>-0.1182</v>
      </c>
      <c r="M1653" s="3"/>
      <c r="N1653" s="3">
        <f t="shared" si="102"/>
        <v>1995</v>
      </c>
      <c r="O1653" s="3" t="str">
        <f t="shared" si="103"/>
        <v>October</v>
      </c>
      <c r="P1653" s="3" t="s">
        <v>41</v>
      </c>
      <c r="Q1653" s="3"/>
    </row>
    <row r="1654" spans="1:17" hidden="1" x14ac:dyDescent="0.3">
      <c r="A1654" s="2">
        <v>34943</v>
      </c>
      <c r="B1654" s="3" t="s">
        <v>31</v>
      </c>
      <c r="C1654" s="3" t="s">
        <v>32</v>
      </c>
      <c r="D1654" s="3" t="s">
        <v>38</v>
      </c>
      <c r="E1654" s="3" t="s">
        <v>39</v>
      </c>
      <c r="F1654" s="3">
        <v>243.81</v>
      </c>
      <c r="G1654" s="3" t="s">
        <v>40</v>
      </c>
      <c r="H1654" s="3" t="s">
        <v>17</v>
      </c>
      <c r="I1654" s="3">
        <f>IF(C1654="India",1,IF(C1654="USA",INDEX('Currency Master'!B:B,MATCH(DATE(N1654,MONTH(DATEVALUE(O1654&amp;" 1")),1),'Currency Master'!A:A,0)),IF(C1654="Australia",INDEX('Currency Master'!T:T,MATCH(DATE(N1654,MONTH(DATEVALUE(O1654&amp;" 1")),1),'Currency Master'!A:A,0)),"")))</f>
        <v>22.875</v>
      </c>
      <c r="J1654" s="3">
        <f t="shared" si="100"/>
        <v>243.81</v>
      </c>
      <c r="K1654" s="3" t="str">
        <f t="shared" si="101"/>
        <v>₹/Kg</v>
      </c>
      <c r="L1654" s="3">
        <v>-2.2100000000000002E-2</v>
      </c>
      <c r="M1654" s="3"/>
      <c r="N1654" s="3">
        <f t="shared" si="102"/>
        <v>1995</v>
      </c>
      <c r="O1654" s="3" t="str">
        <f t="shared" si="103"/>
        <v>September</v>
      </c>
      <c r="P1654" s="3" t="s">
        <v>41</v>
      </c>
      <c r="Q1654" s="3"/>
    </row>
    <row r="1655" spans="1:17" hidden="1" x14ac:dyDescent="0.3">
      <c r="A1655" s="2">
        <v>34912</v>
      </c>
      <c r="B1655" s="3" t="s">
        <v>31</v>
      </c>
      <c r="C1655" s="3" t="s">
        <v>32</v>
      </c>
      <c r="D1655" s="3" t="s">
        <v>38</v>
      </c>
      <c r="E1655" s="3" t="s">
        <v>39</v>
      </c>
      <c r="F1655" s="3">
        <v>249.32</v>
      </c>
      <c r="G1655" s="3" t="s">
        <v>40</v>
      </c>
      <c r="H1655" s="3" t="s">
        <v>17</v>
      </c>
      <c r="I1655" s="3">
        <f>IF(C1655="India",1,IF(C1655="USA",INDEX('Currency Master'!B:B,MATCH(DATE(N1655,MONTH(DATEVALUE(O1655&amp;" 1")),1),'Currency Master'!A:A,0)),IF(C1655="Australia",INDEX('Currency Master'!T:T,MATCH(DATE(N1655,MONTH(DATEVALUE(O1655&amp;" 1")),1),'Currency Master'!A:A,0)),"")))</f>
        <v>23.065999999999999</v>
      </c>
      <c r="J1655" s="3">
        <f t="shared" si="100"/>
        <v>249.32</v>
      </c>
      <c r="K1655" s="3" t="str">
        <f t="shared" si="101"/>
        <v>₹/Kg</v>
      </c>
      <c r="L1655" s="3">
        <v>5.79E-2</v>
      </c>
      <c r="M1655" s="3"/>
      <c r="N1655" s="3">
        <f t="shared" si="102"/>
        <v>1995</v>
      </c>
      <c r="O1655" s="3" t="str">
        <f t="shared" si="103"/>
        <v>August</v>
      </c>
      <c r="P1655" s="3" t="s">
        <v>41</v>
      </c>
      <c r="Q1655" s="3"/>
    </row>
    <row r="1656" spans="1:17" hidden="1" x14ac:dyDescent="0.3">
      <c r="A1656" s="2">
        <v>34881</v>
      </c>
      <c r="B1656" s="3" t="s">
        <v>31</v>
      </c>
      <c r="C1656" s="3" t="s">
        <v>32</v>
      </c>
      <c r="D1656" s="3" t="s">
        <v>38</v>
      </c>
      <c r="E1656" s="3" t="s">
        <v>39</v>
      </c>
      <c r="F1656" s="3">
        <v>235.69</v>
      </c>
      <c r="G1656" s="3" t="s">
        <v>40</v>
      </c>
      <c r="H1656" s="3" t="s">
        <v>17</v>
      </c>
      <c r="I1656" s="3">
        <f>IF(C1656="India",1,IF(C1656="USA",INDEX('Currency Master'!B:B,MATCH(DATE(N1656,MONTH(DATEVALUE(O1656&amp;" 1")),1),'Currency Master'!A:A,0)),IF(C1656="Australia",INDEX('Currency Master'!T:T,MATCH(DATE(N1656,MONTH(DATEVALUE(O1656&amp;" 1")),1),'Currency Master'!A:A,0)),"")))</f>
        <v>23.225999999999999</v>
      </c>
      <c r="J1656" s="3">
        <f t="shared" si="100"/>
        <v>235.69</v>
      </c>
      <c r="K1656" s="3" t="str">
        <f t="shared" si="101"/>
        <v>₹/Kg</v>
      </c>
      <c r="L1656" s="3">
        <v>-9.1399999999999995E-2</v>
      </c>
      <c r="M1656" s="3"/>
      <c r="N1656" s="3">
        <f t="shared" si="102"/>
        <v>1995</v>
      </c>
      <c r="O1656" s="3" t="str">
        <f t="shared" si="103"/>
        <v>July</v>
      </c>
      <c r="P1656" s="3" t="s">
        <v>41</v>
      </c>
      <c r="Q1656" s="3"/>
    </row>
    <row r="1657" spans="1:17" hidden="1" x14ac:dyDescent="0.3">
      <c r="A1657" s="2">
        <v>34851</v>
      </c>
      <c r="B1657" s="3" t="s">
        <v>31</v>
      </c>
      <c r="C1657" s="3" t="s">
        <v>32</v>
      </c>
      <c r="D1657" s="3" t="s">
        <v>38</v>
      </c>
      <c r="E1657" s="3" t="s">
        <v>39</v>
      </c>
      <c r="F1657" s="3">
        <v>259.39999999999998</v>
      </c>
      <c r="G1657" s="3" t="s">
        <v>40</v>
      </c>
      <c r="H1657" s="3" t="s">
        <v>17</v>
      </c>
      <c r="I1657" s="3">
        <f>IF(C1657="India",1,IF(C1657="USA",INDEX('Currency Master'!B:B,MATCH(DATE(N1657,MONTH(DATEVALUE(O1657&amp;" 1")),1),'Currency Master'!A:A,0)),IF(C1657="Australia",INDEX('Currency Master'!T:T,MATCH(DATE(N1657,MONTH(DATEVALUE(O1657&amp;" 1")),1),'Currency Master'!A:A,0)),"")))</f>
        <v>23.736000000000001</v>
      </c>
      <c r="J1657" s="3">
        <f t="shared" si="100"/>
        <v>259.39999999999998</v>
      </c>
      <c r="K1657" s="3" t="str">
        <f t="shared" si="101"/>
        <v>₹/Kg</v>
      </c>
      <c r="L1657" s="3">
        <v>-1.6199999999999999E-2</v>
      </c>
      <c r="M1657" s="3"/>
      <c r="N1657" s="3">
        <f t="shared" si="102"/>
        <v>1995</v>
      </c>
      <c r="O1657" s="3" t="str">
        <f t="shared" si="103"/>
        <v>June</v>
      </c>
      <c r="P1657" s="3" t="s">
        <v>41</v>
      </c>
      <c r="Q1657" s="3"/>
    </row>
    <row r="1658" spans="1:17" hidden="1" x14ac:dyDescent="0.3">
      <c r="A1658" s="2">
        <v>34820</v>
      </c>
      <c r="B1658" s="3" t="s">
        <v>31</v>
      </c>
      <c r="C1658" s="3" t="s">
        <v>32</v>
      </c>
      <c r="D1658" s="3" t="s">
        <v>38</v>
      </c>
      <c r="E1658" s="3" t="s">
        <v>39</v>
      </c>
      <c r="F1658" s="3">
        <v>263.67</v>
      </c>
      <c r="G1658" s="3" t="s">
        <v>40</v>
      </c>
      <c r="H1658" s="3" t="s">
        <v>17</v>
      </c>
      <c r="I1658" s="3">
        <f>IF(C1658="India",1,IF(C1658="USA",INDEX('Currency Master'!B:B,MATCH(DATE(N1658,MONTH(DATEVALUE(O1658&amp;" 1")),1),'Currency Master'!A:A,0)),IF(C1658="Australia",INDEX('Currency Master'!T:T,MATCH(DATE(N1658,MONTH(DATEVALUE(O1658&amp;" 1")),1),'Currency Master'!A:A,0)),"")))</f>
        <v>24.318999999999999</v>
      </c>
      <c r="J1658" s="3">
        <f t="shared" si="100"/>
        <v>263.67</v>
      </c>
      <c r="K1658" s="3" t="str">
        <f t="shared" si="101"/>
        <v>₹/Kg</v>
      </c>
      <c r="L1658" s="3">
        <v>-3.2899999999999999E-2</v>
      </c>
      <c r="M1658" s="3"/>
      <c r="N1658" s="3">
        <f t="shared" si="102"/>
        <v>1995</v>
      </c>
      <c r="O1658" s="3" t="str">
        <f t="shared" si="103"/>
        <v>May</v>
      </c>
      <c r="P1658" s="3" t="s">
        <v>41</v>
      </c>
      <c r="Q1658" s="3"/>
    </row>
    <row r="1659" spans="1:17" hidden="1" x14ac:dyDescent="0.3">
      <c r="A1659" s="2">
        <v>34790</v>
      </c>
      <c r="B1659" s="3" t="s">
        <v>31</v>
      </c>
      <c r="C1659" s="3" t="s">
        <v>32</v>
      </c>
      <c r="D1659" s="3" t="s">
        <v>38</v>
      </c>
      <c r="E1659" s="3" t="s">
        <v>39</v>
      </c>
      <c r="F1659" s="3">
        <v>272.63</v>
      </c>
      <c r="G1659" s="3" t="s">
        <v>40</v>
      </c>
      <c r="H1659" s="3" t="s">
        <v>17</v>
      </c>
      <c r="I1659" s="3">
        <f>IF(C1659="India",1,IF(C1659="USA",INDEX('Currency Master'!B:B,MATCH(DATE(N1659,MONTH(DATEVALUE(O1659&amp;" 1")),1),'Currency Master'!A:A,0)),IF(C1659="Australia",INDEX('Currency Master'!T:T,MATCH(DATE(N1659,MONTH(DATEVALUE(O1659&amp;" 1")),1),'Currency Master'!A:A,0)),"")))</f>
        <v>24.135000000000002</v>
      </c>
      <c r="J1659" s="3">
        <f t="shared" si="100"/>
        <v>272.63</v>
      </c>
      <c r="K1659" s="3" t="str">
        <f t="shared" si="101"/>
        <v>₹/Kg</v>
      </c>
      <c r="L1659" s="3">
        <v>-2.9000000000000001E-2</v>
      </c>
      <c r="M1659" s="3"/>
      <c r="N1659" s="3">
        <f t="shared" si="102"/>
        <v>1995</v>
      </c>
      <c r="O1659" s="3" t="str">
        <f t="shared" si="103"/>
        <v>April</v>
      </c>
      <c r="P1659" s="3" t="s">
        <v>41</v>
      </c>
      <c r="Q1659" s="3"/>
    </row>
    <row r="1660" spans="1:17" hidden="1" x14ac:dyDescent="0.3">
      <c r="A1660" s="2">
        <v>34759</v>
      </c>
      <c r="B1660" s="3" t="s">
        <v>31</v>
      </c>
      <c r="C1660" s="3" t="s">
        <v>32</v>
      </c>
      <c r="D1660" s="3" t="s">
        <v>38</v>
      </c>
      <c r="E1660" s="3" t="s">
        <v>39</v>
      </c>
      <c r="F1660" s="3">
        <v>280.77</v>
      </c>
      <c r="G1660" s="3" t="s">
        <v>40</v>
      </c>
      <c r="H1660" s="3" t="s">
        <v>17</v>
      </c>
      <c r="I1660" s="3">
        <f>IF(C1660="India",1,IF(C1660="USA",INDEX('Currency Master'!B:B,MATCH(DATE(N1660,MONTH(DATEVALUE(O1660&amp;" 1")),1),'Currency Master'!A:A,0)),IF(C1660="Australia",INDEX('Currency Master'!T:T,MATCH(DATE(N1660,MONTH(DATEVALUE(O1660&amp;" 1")),1),'Currency Master'!A:A,0)),"")))</f>
        <v>23.302</v>
      </c>
      <c r="J1660" s="3">
        <f t="shared" si="100"/>
        <v>280.77</v>
      </c>
      <c r="K1660" s="3" t="str">
        <f t="shared" si="101"/>
        <v>₹/Kg</v>
      </c>
      <c r="L1660" s="3">
        <v>2.8E-3</v>
      </c>
      <c r="M1660" s="3"/>
      <c r="N1660" s="3">
        <f t="shared" si="102"/>
        <v>1995</v>
      </c>
      <c r="O1660" s="3" t="str">
        <f t="shared" si="103"/>
        <v>March</v>
      </c>
      <c r="P1660" s="3" t="s">
        <v>41</v>
      </c>
      <c r="Q1660" s="3"/>
    </row>
    <row r="1661" spans="1:17" hidden="1" x14ac:dyDescent="0.3">
      <c r="A1661" s="2">
        <v>34731</v>
      </c>
      <c r="B1661" s="3" t="s">
        <v>31</v>
      </c>
      <c r="C1661" s="3" t="s">
        <v>32</v>
      </c>
      <c r="D1661" s="3" t="s">
        <v>38</v>
      </c>
      <c r="E1661" s="3" t="s">
        <v>39</v>
      </c>
      <c r="F1661" s="3">
        <v>280</v>
      </c>
      <c r="G1661" s="3" t="s">
        <v>40</v>
      </c>
      <c r="H1661" s="3" t="s">
        <v>17</v>
      </c>
      <c r="I1661" s="3">
        <f>IF(C1661="India",1,IF(C1661="USA",INDEX('Currency Master'!B:B,MATCH(DATE(N1661,MONTH(DATEVALUE(O1661&amp;" 1")),1),'Currency Master'!A:A,0)),IF(C1661="Australia",INDEX('Currency Master'!T:T,MATCH(DATE(N1661,MONTH(DATEVALUE(O1661&amp;" 1")),1),'Currency Master'!A:A,0)),"")))</f>
        <v>23.206</v>
      </c>
      <c r="J1661" s="3">
        <f t="shared" si="100"/>
        <v>280</v>
      </c>
      <c r="K1661" s="3" t="str">
        <f t="shared" si="101"/>
        <v>₹/Kg</v>
      </c>
      <c r="L1661" s="3">
        <v>-1.2999999999999999E-2</v>
      </c>
      <c r="M1661" s="3"/>
      <c r="N1661" s="3">
        <f t="shared" si="102"/>
        <v>1995</v>
      </c>
      <c r="O1661" s="3" t="str">
        <f t="shared" si="103"/>
        <v>February</v>
      </c>
      <c r="P1661" s="3" t="s">
        <v>41</v>
      </c>
      <c r="Q1661" s="3"/>
    </row>
    <row r="1662" spans="1:17" hidden="1" x14ac:dyDescent="0.3">
      <c r="A1662" s="2">
        <v>34700</v>
      </c>
      <c r="B1662" s="3" t="s">
        <v>31</v>
      </c>
      <c r="C1662" s="3" t="s">
        <v>32</v>
      </c>
      <c r="D1662" s="3" t="s">
        <v>38</v>
      </c>
      <c r="E1662" s="3" t="s">
        <v>39</v>
      </c>
      <c r="F1662" s="3">
        <v>283.67</v>
      </c>
      <c r="G1662" s="3" t="s">
        <v>40</v>
      </c>
      <c r="H1662" s="3" t="s">
        <v>17</v>
      </c>
      <c r="I1662" s="3">
        <f>IF(C1662="India",1,IF(C1662="USA",INDEX('Currency Master'!B:B,MATCH(DATE(N1662,MONTH(DATEVALUE(O1662&amp;" 1")),1),'Currency Master'!A:A,0)),IF(C1662="Australia",INDEX('Currency Master'!T:T,MATCH(DATE(N1662,MONTH(DATEVALUE(O1662&amp;" 1")),1),'Currency Master'!A:A,0)),"")))</f>
        <v>23.3</v>
      </c>
      <c r="J1662" s="3">
        <f t="shared" si="100"/>
        <v>283.67</v>
      </c>
      <c r="K1662" s="3" t="str">
        <f t="shared" si="101"/>
        <v>₹/Kg</v>
      </c>
      <c r="L1662" s="3" t="s">
        <v>23</v>
      </c>
      <c r="M1662" s="3"/>
      <c r="N1662" s="3">
        <f t="shared" si="102"/>
        <v>1995</v>
      </c>
      <c r="O1662" s="3" t="str">
        <f t="shared" si="103"/>
        <v>January</v>
      </c>
      <c r="P1662" s="3" t="s">
        <v>41</v>
      </c>
      <c r="Q1662" s="3"/>
    </row>
    <row r="1663" spans="1:17" hidden="1" x14ac:dyDescent="0.3">
      <c r="A1663" s="2">
        <v>45292</v>
      </c>
      <c r="B1663" s="3" t="s">
        <v>12</v>
      </c>
      <c r="C1663" s="3" t="s">
        <v>19</v>
      </c>
      <c r="D1663" s="3" t="s">
        <v>84</v>
      </c>
      <c r="E1663" s="3" t="s">
        <v>15</v>
      </c>
      <c r="F1663" s="37">
        <v>1.84</v>
      </c>
      <c r="G1663" s="3" t="s">
        <v>77</v>
      </c>
      <c r="H1663" s="3" t="s">
        <v>29</v>
      </c>
      <c r="I1663" s="37">
        <f>INDEX('Currency Master'!B:B,MATCH(A1663,'Currency Master'!A:A,0))</f>
        <v>83.09</v>
      </c>
      <c r="J1663" s="37">
        <f>ROUND(F1663*I1663*(355.62/0.453592),2)</f>
        <v>119863.62</v>
      </c>
      <c r="K1663" s="3" t="s">
        <v>16</v>
      </c>
      <c r="L1663" s="38">
        <v>0</v>
      </c>
      <c r="M1663" s="3"/>
      <c r="N1663" s="3">
        <v>2024</v>
      </c>
      <c r="O1663" s="3" t="s">
        <v>85</v>
      </c>
      <c r="P1663" s="3" t="s">
        <v>78</v>
      </c>
      <c r="Q1663" s="3" t="s">
        <v>86</v>
      </c>
    </row>
    <row r="1664" spans="1:17" hidden="1" x14ac:dyDescent="0.3">
      <c r="A1664" s="2">
        <v>45261</v>
      </c>
      <c r="B1664" s="3" t="s">
        <v>12</v>
      </c>
      <c r="C1664" s="3" t="s">
        <v>19</v>
      </c>
      <c r="D1664" s="3" t="s">
        <v>84</v>
      </c>
      <c r="E1664" s="3" t="s">
        <v>15</v>
      </c>
      <c r="F1664" s="37">
        <v>1.84</v>
      </c>
      <c r="G1664" s="3" t="s">
        <v>77</v>
      </c>
      <c r="H1664" s="3" t="s">
        <v>29</v>
      </c>
      <c r="I1664" s="37">
        <f>INDEX('Currency Master'!B:B,MATCH(A1664,'Currency Master'!A:A,0))</f>
        <v>83.1</v>
      </c>
      <c r="J1664" s="37">
        <f t="shared" ref="J1664:J1727" si="104">ROUND(F1664*I1664*(355.62/0.453592),2)</f>
        <v>119878.04</v>
      </c>
      <c r="K1664" s="3" t="s">
        <v>16</v>
      </c>
      <c r="L1664" s="38">
        <v>0</v>
      </c>
      <c r="M1664" s="3"/>
      <c r="N1664" s="3">
        <v>2023</v>
      </c>
      <c r="O1664" s="3" t="s">
        <v>87</v>
      </c>
      <c r="P1664" s="3" t="s">
        <v>78</v>
      </c>
      <c r="Q1664" s="3" t="s">
        <v>86</v>
      </c>
    </row>
    <row r="1665" spans="1:17" hidden="1" x14ac:dyDescent="0.3">
      <c r="A1665" s="2">
        <v>45231</v>
      </c>
      <c r="B1665" s="3" t="s">
        <v>12</v>
      </c>
      <c r="C1665" s="3" t="s">
        <v>19</v>
      </c>
      <c r="D1665" s="3" t="s">
        <v>84</v>
      </c>
      <c r="E1665" s="3" t="s">
        <v>15</v>
      </c>
      <c r="F1665" s="37">
        <v>1.84</v>
      </c>
      <c r="G1665" s="3" t="s">
        <v>77</v>
      </c>
      <c r="H1665" s="3" t="s">
        <v>29</v>
      </c>
      <c r="I1665" s="37">
        <f>INDEX('Currency Master'!B:B,MATCH(A1665,'Currency Master'!A:A,0))</f>
        <v>83.35</v>
      </c>
      <c r="J1665" s="37">
        <f t="shared" si="104"/>
        <v>120238.69</v>
      </c>
      <c r="K1665" s="3" t="s">
        <v>16</v>
      </c>
      <c r="L1665" s="38">
        <v>0</v>
      </c>
      <c r="M1665" s="3"/>
      <c r="N1665" s="3">
        <v>2023</v>
      </c>
      <c r="O1665" s="3" t="s">
        <v>88</v>
      </c>
      <c r="P1665" s="3" t="s">
        <v>78</v>
      </c>
      <c r="Q1665" s="3" t="s">
        <v>86</v>
      </c>
    </row>
    <row r="1666" spans="1:17" hidden="1" x14ac:dyDescent="0.3">
      <c r="A1666" s="2">
        <v>45200</v>
      </c>
      <c r="B1666" s="3" t="s">
        <v>12</v>
      </c>
      <c r="C1666" s="3" t="s">
        <v>19</v>
      </c>
      <c r="D1666" s="3" t="s">
        <v>84</v>
      </c>
      <c r="E1666" s="3" t="s">
        <v>15</v>
      </c>
      <c r="F1666" s="37">
        <v>1.84</v>
      </c>
      <c r="G1666" s="3" t="s">
        <v>77</v>
      </c>
      <c r="H1666" s="3" t="s">
        <v>29</v>
      </c>
      <c r="I1666" s="37">
        <f>INDEX('Currency Master'!B:B,MATCH(A1666,'Currency Master'!A:A,0))</f>
        <v>83.25</v>
      </c>
      <c r="J1666" s="37">
        <f t="shared" si="104"/>
        <v>120094.43</v>
      </c>
      <c r="K1666" s="3" t="s">
        <v>16</v>
      </c>
      <c r="L1666" s="38">
        <v>0</v>
      </c>
      <c r="M1666" s="3"/>
      <c r="N1666" s="3">
        <v>2023</v>
      </c>
      <c r="O1666" s="3" t="s">
        <v>89</v>
      </c>
      <c r="P1666" s="3" t="s">
        <v>78</v>
      </c>
      <c r="Q1666" s="3" t="s">
        <v>86</v>
      </c>
    </row>
    <row r="1667" spans="1:17" hidden="1" x14ac:dyDescent="0.3">
      <c r="A1667" s="2">
        <v>45170</v>
      </c>
      <c r="B1667" s="3" t="s">
        <v>12</v>
      </c>
      <c r="C1667" s="3" t="s">
        <v>19</v>
      </c>
      <c r="D1667" s="3" t="s">
        <v>84</v>
      </c>
      <c r="E1667" s="3" t="s">
        <v>15</v>
      </c>
      <c r="F1667" s="37">
        <v>1.84</v>
      </c>
      <c r="G1667" s="3" t="s">
        <v>77</v>
      </c>
      <c r="H1667" s="3" t="s">
        <v>29</v>
      </c>
      <c r="I1667" s="37">
        <f>INDEX('Currency Master'!B:B,MATCH(A1667,'Currency Master'!A:A,0))</f>
        <v>83.03</v>
      </c>
      <c r="J1667" s="37">
        <f t="shared" si="104"/>
        <v>119777.06</v>
      </c>
      <c r="K1667" s="3" t="s">
        <v>16</v>
      </c>
      <c r="L1667" s="38">
        <v>0</v>
      </c>
      <c r="M1667" s="3"/>
      <c r="N1667" s="3">
        <v>2023</v>
      </c>
      <c r="O1667" s="3" t="s">
        <v>90</v>
      </c>
      <c r="P1667" s="3" t="s">
        <v>78</v>
      </c>
      <c r="Q1667" s="3" t="s">
        <v>86</v>
      </c>
    </row>
    <row r="1668" spans="1:17" hidden="1" x14ac:dyDescent="0.3">
      <c r="A1668" s="2">
        <v>45139</v>
      </c>
      <c r="B1668" s="3" t="s">
        <v>12</v>
      </c>
      <c r="C1668" s="3" t="s">
        <v>19</v>
      </c>
      <c r="D1668" s="3" t="s">
        <v>84</v>
      </c>
      <c r="E1668" s="3" t="s">
        <v>15</v>
      </c>
      <c r="F1668" s="37">
        <v>1.84</v>
      </c>
      <c r="G1668" s="3" t="s">
        <v>77</v>
      </c>
      <c r="H1668" s="3" t="s">
        <v>29</v>
      </c>
      <c r="I1668" s="37">
        <f>INDEX('Currency Master'!B:B,MATCH(A1668,'Currency Master'!A:A,0))</f>
        <v>82.7</v>
      </c>
      <c r="J1668" s="37">
        <f t="shared" si="104"/>
        <v>119301.01</v>
      </c>
      <c r="K1668" s="3" t="s">
        <v>16</v>
      </c>
      <c r="L1668" s="38">
        <v>5.14285714285714E-2</v>
      </c>
      <c r="M1668" s="3"/>
      <c r="N1668" s="3">
        <v>2023</v>
      </c>
      <c r="O1668" s="3" t="s">
        <v>91</v>
      </c>
      <c r="P1668" s="3" t="s">
        <v>78</v>
      </c>
      <c r="Q1668" s="3" t="s">
        <v>86</v>
      </c>
    </row>
    <row r="1669" spans="1:17" hidden="1" x14ac:dyDescent="0.3">
      <c r="A1669" s="2">
        <v>45108</v>
      </c>
      <c r="B1669" s="3" t="s">
        <v>12</v>
      </c>
      <c r="C1669" s="3" t="s">
        <v>19</v>
      </c>
      <c r="D1669" s="3" t="s">
        <v>84</v>
      </c>
      <c r="E1669" s="3" t="s">
        <v>15</v>
      </c>
      <c r="F1669" s="37">
        <v>1.7464999999999999</v>
      </c>
      <c r="G1669" s="3" t="s">
        <v>77</v>
      </c>
      <c r="H1669" s="3" t="s">
        <v>29</v>
      </c>
      <c r="I1669" s="37">
        <f>INDEX('Currency Master'!B:B,MATCH(A1669,'Currency Master'!A:A,0))</f>
        <v>82.24</v>
      </c>
      <c r="J1669" s="37">
        <f t="shared" si="104"/>
        <v>112608.84</v>
      </c>
      <c r="K1669" s="3" t="s">
        <v>16</v>
      </c>
      <c r="L1669" s="38">
        <v>4.7904191616766498E-2</v>
      </c>
      <c r="M1669" s="3"/>
      <c r="N1669" s="3">
        <v>2023</v>
      </c>
      <c r="O1669" s="3" t="s">
        <v>92</v>
      </c>
      <c r="P1669" s="3" t="s">
        <v>78</v>
      </c>
      <c r="Q1669" s="3" t="s">
        <v>86</v>
      </c>
    </row>
    <row r="1670" spans="1:17" hidden="1" x14ac:dyDescent="0.3">
      <c r="A1670" s="2">
        <v>45078</v>
      </c>
      <c r="B1670" s="3" t="s">
        <v>12</v>
      </c>
      <c r="C1670" s="3" t="s">
        <v>19</v>
      </c>
      <c r="D1670" s="3" t="s">
        <v>84</v>
      </c>
      <c r="E1670" s="3" t="s">
        <v>15</v>
      </c>
      <c r="F1670" s="37">
        <v>1.67</v>
      </c>
      <c r="G1670" s="3" t="s">
        <v>77</v>
      </c>
      <c r="H1670" s="3" t="s">
        <v>29</v>
      </c>
      <c r="I1670" s="37">
        <f>INDEX('Currency Master'!B:B,MATCH(A1670,'Currency Master'!A:A,0))</f>
        <v>82.09</v>
      </c>
      <c r="J1670" s="37">
        <f t="shared" si="104"/>
        <v>107479.97</v>
      </c>
      <c r="K1670" s="3" t="s">
        <v>16</v>
      </c>
      <c r="L1670" s="38">
        <v>0</v>
      </c>
      <c r="M1670" s="3"/>
      <c r="N1670" s="3">
        <v>2023</v>
      </c>
      <c r="O1670" s="3" t="s">
        <v>93</v>
      </c>
      <c r="P1670" s="3" t="s">
        <v>78</v>
      </c>
      <c r="Q1670" s="3" t="s">
        <v>86</v>
      </c>
    </row>
    <row r="1671" spans="1:17" hidden="1" x14ac:dyDescent="0.3">
      <c r="A1671" s="2">
        <v>45047</v>
      </c>
      <c r="B1671" s="3" t="s">
        <v>12</v>
      </c>
      <c r="C1671" s="3" t="s">
        <v>19</v>
      </c>
      <c r="D1671" s="3" t="s">
        <v>84</v>
      </c>
      <c r="E1671" s="3" t="s">
        <v>15</v>
      </c>
      <c r="F1671" s="37">
        <v>1.67</v>
      </c>
      <c r="G1671" s="3" t="s">
        <v>77</v>
      </c>
      <c r="H1671" s="3" t="s">
        <v>29</v>
      </c>
      <c r="I1671" s="37">
        <f>INDEX('Currency Master'!B:B,MATCH(A1671,'Currency Master'!A:A,0))</f>
        <v>82.68</v>
      </c>
      <c r="J1671" s="37">
        <f t="shared" si="104"/>
        <v>108252.45</v>
      </c>
      <c r="K1671" s="3" t="s">
        <v>16</v>
      </c>
      <c r="L1671" s="38">
        <v>-1.18343195266272E-2</v>
      </c>
      <c r="M1671" s="3"/>
      <c r="N1671" s="3">
        <v>2023</v>
      </c>
      <c r="O1671" s="3" t="s">
        <v>94</v>
      </c>
      <c r="P1671" s="3" t="s">
        <v>78</v>
      </c>
      <c r="Q1671" s="3" t="s">
        <v>86</v>
      </c>
    </row>
    <row r="1672" spans="1:17" hidden="1" x14ac:dyDescent="0.3">
      <c r="A1672" s="2">
        <v>45017</v>
      </c>
      <c r="B1672" s="3" t="s">
        <v>12</v>
      </c>
      <c r="C1672" s="3" t="s">
        <v>19</v>
      </c>
      <c r="D1672" s="3" t="s">
        <v>84</v>
      </c>
      <c r="E1672" s="3" t="s">
        <v>15</v>
      </c>
      <c r="F1672" s="37">
        <v>1.68666666</v>
      </c>
      <c r="G1672" s="3" t="s">
        <v>77</v>
      </c>
      <c r="H1672" s="3" t="s">
        <v>29</v>
      </c>
      <c r="I1672" s="37">
        <f>INDEX('Currency Master'!B:B,MATCH(A1672,'Currency Master'!A:A,0))</f>
        <v>82.72</v>
      </c>
      <c r="J1672" s="37">
        <f t="shared" si="104"/>
        <v>109385.71</v>
      </c>
      <c r="K1672" s="3" t="s">
        <v>16</v>
      </c>
      <c r="L1672" s="38">
        <v>-0.155</v>
      </c>
      <c r="M1672" s="3"/>
      <c r="N1672" s="3">
        <v>2023</v>
      </c>
      <c r="O1672" s="3" t="s">
        <v>95</v>
      </c>
      <c r="P1672" s="3" t="s">
        <v>78</v>
      </c>
      <c r="Q1672" s="3" t="s">
        <v>86</v>
      </c>
    </row>
    <row r="1673" spans="1:17" hidden="1" x14ac:dyDescent="0.3">
      <c r="A1673" s="2">
        <v>44986</v>
      </c>
      <c r="B1673" s="3" t="s">
        <v>12</v>
      </c>
      <c r="C1673" s="3" t="s">
        <v>19</v>
      </c>
      <c r="D1673" s="3" t="s">
        <v>84</v>
      </c>
      <c r="E1673" s="3" t="s">
        <v>15</v>
      </c>
      <c r="F1673" s="37">
        <v>2.0021739099999998</v>
      </c>
      <c r="G1673" s="3" t="s">
        <v>77</v>
      </c>
      <c r="H1673" s="3" t="s">
        <v>29</v>
      </c>
      <c r="I1673" s="37">
        <f>INDEX('Currency Master'!B:B,MATCH(A1673,'Currency Master'!A:A,0))</f>
        <v>82.16</v>
      </c>
      <c r="J1673" s="37">
        <f t="shared" si="104"/>
        <v>128968.31</v>
      </c>
      <c r="K1673" s="3" t="s">
        <v>16</v>
      </c>
      <c r="L1673" s="38">
        <v>-0.107142857142857</v>
      </c>
      <c r="M1673" s="3"/>
      <c r="N1673" s="3">
        <v>2023</v>
      </c>
      <c r="O1673" s="3" t="s">
        <v>96</v>
      </c>
      <c r="P1673" s="3" t="s">
        <v>78</v>
      </c>
      <c r="Q1673" s="3" t="s">
        <v>86</v>
      </c>
    </row>
    <row r="1674" spans="1:17" hidden="1" x14ac:dyDescent="0.3">
      <c r="A1674" s="2">
        <v>44958</v>
      </c>
      <c r="B1674" s="3" t="s">
        <v>12</v>
      </c>
      <c r="C1674" s="3" t="s">
        <v>19</v>
      </c>
      <c r="D1674" s="3" t="s">
        <v>84</v>
      </c>
      <c r="E1674" s="3" t="s">
        <v>15</v>
      </c>
      <c r="F1674" s="37">
        <v>2.2421052600000002</v>
      </c>
      <c r="G1674" s="3" t="s">
        <v>77</v>
      </c>
      <c r="H1674" s="3" t="s">
        <v>29</v>
      </c>
      <c r="I1674" s="37">
        <f>INDEX('Currency Master'!B:B,MATCH(A1674,'Currency Master'!A:A,0))</f>
        <v>82.64</v>
      </c>
      <c r="J1674" s="37">
        <f t="shared" si="104"/>
        <v>145267.04</v>
      </c>
      <c r="K1674" s="3" t="s">
        <v>16</v>
      </c>
      <c r="L1674" s="38">
        <v>-0.157894736842105</v>
      </c>
      <c r="M1674" s="3"/>
      <c r="N1674" s="3">
        <v>2023</v>
      </c>
      <c r="O1674" s="3" t="s">
        <v>97</v>
      </c>
      <c r="P1674" s="3" t="s">
        <v>78</v>
      </c>
      <c r="Q1674" s="3" t="s">
        <v>86</v>
      </c>
    </row>
    <row r="1675" spans="1:17" hidden="1" x14ac:dyDescent="0.3">
      <c r="A1675" s="2">
        <v>44927</v>
      </c>
      <c r="B1675" s="3" t="s">
        <v>12</v>
      </c>
      <c r="C1675" s="3" t="s">
        <v>19</v>
      </c>
      <c r="D1675" s="3" t="s">
        <v>84</v>
      </c>
      <c r="E1675" s="3" t="s">
        <v>15</v>
      </c>
      <c r="F1675" s="37">
        <v>2.6636363599999999</v>
      </c>
      <c r="G1675" s="3" t="s">
        <v>77</v>
      </c>
      <c r="H1675" s="3" t="s">
        <v>29</v>
      </c>
      <c r="I1675" s="37">
        <f>INDEX('Currency Master'!B:B,MATCH(A1675,'Currency Master'!A:A,0))</f>
        <v>81.73</v>
      </c>
      <c r="J1675" s="37">
        <f t="shared" si="104"/>
        <v>170677.87</v>
      </c>
      <c r="K1675" s="3" t="s">
        <v>16</v>
      </c>
      <c r="L1675" s="38">
        <v>-0.05</v>
      </c>
      <c r="M1675" s="3"/>
      <c r="N1675" s="3">
        <v>2023</v>
      </c>
      <c r="O1675" s="3" t="s">
        <v>85</v>
      </c>
      <c r="P1675" s="3" t="s">
        <v>78</v>
      </c>
      <c r="Q1675" s="3" t="s">
        <v>86</v>
      </c>
    </row>
    <row r="1676" spans="1:17" hidden="1" x14ac:dyDescent="0.3">
      <c r="A1676" s="2">
        <v>44896</v>
      </c>
      <c r="B1676" s="3" t="s">
        <v>12</v>
      </c>
      <c r="C1676" s="3" t="s">
        <v>19</v>
      </c>
      <c r="D1676" s="3" t="s">
        <v>84</v>
      </c>
      <c r="E1676" s="3" t="s">
        <v>15</v>
      </c>
      <c r="F1676" s="37">
        <v>2.8</v>
      </c>
      <c r="G1676" s="3" t="s">
        <v>77</v>
      </c>
      <c r="H1676" s="3" t="s">
        <v>29</v>
      </c>
      <c r="I1676" s="37">
        <f>INDEX('Currency Master'!B:B,MATCH(A1676,'Currency Master'!A:A,0))</f>
        <v>82.479831000000004</v>
      </c>
      <c r="J1676" s="37">
        <f t="shared" si="104"/>
        <v>181061.7</v>
      </c>
      <c r="K1676" s="3" t="s">
        <v>16</v>
      </c>
      <c r="L1676" s="38">
        <v>-3.4482758620689599E-2</v>
      </c>
      <c r="M1676" s="3"/>
      <c r="N1676" s="3">
        <v>2022</v>
      </c>
      <c r="O1676" s="3" t="s">
        <v>87</v>
      </c>
      <c r="P1676" s="3" t="s">
        <v>78</v>
      </c>
      <c r="Q1676" s="3" t="s">
        <v>86</v>
      </c>
    </row>
    <row r="1677" spans="1:17" hidden="1" x14ac:dyDescent="0.3">
      <c r="A1677" s="2">
        <v>44866</v>
      </c>
      <c r="B1677" s="3" t="s">
        <v>12</v>
      </c>
      <c r="C1677" s="3" t="s">
        <v>19</v>
      </c>
      <c r="D1677" s="3" t="s">
        <v>84</v>
      </c>
      <c r="E1677" s="3" t="s">
        <v>15</v>
      </c>
      <c r="F1677" s="37">
        <v>2.9</v>
      </c>
      <c r="G1677" s="3" t="s">
        <v>77</v>
      </c>
      <c r="H1677" s="3" t="s">
        <v>29</v>
      </c>
      <c r="I1677" s="37">
        <f>INDEX('Currency Master'!B:B,MATCH(A1677,'Currency Master'!A:A,0))</f>
        <v>81.701479000000006</v>
      </c>
      <c r="J1677" s="37">
        <f t="shared" si="104"/>
        <v>185758.51</v>
      </c>
      <c r="K1677" s="3" t="s">
        <v>16</v>
      </c>
      <c r="L1677" s="38">
        <v>-3.3333333333333298E-2</v>
      </c>
      <c r="M1677" s="3"/>
      <c r="N1677" s="3">
        <v>2022</v>
      </c>
      <c r="O1677" s="3" t="s">
        <v>88</v>
      </c>
      <c r="P1677" s="3" t="s">
        <v>78</v>
      </c>
      <c r="Q1677" s="3" t="s">
        <v>86</v>
      </c>
    </row>
    <row r="1678" spans="1:17" hidden="1" x14ac:dyDescent="0.3">
      <c r="A1678" s="2">
        <v>44835</v>
      </c>
      <c r="B1678" s="3" t="s">
        <v>12</v>
      </c>
      <c r="C1678" s="3" t="s">
        <v>19</v>
      </c>
      <c r="D1678" s="3" t="s">
        <v>84</v>
      </c>
      <c r="E1678" s="3" t="s">
        <v>15</v>
      </c>
      <c r="F1678" s="37">
        <v>3</v>
      </c>
      <c r="G1678" s="3" t="s">
        <v>77</v>
      </c>
      <c r="H1678" s="3" t="s">
        <v>29</v>
      </c>
      <c r="I1678" s="37">
        <f>INDEX('Currency Master'!B:B,MATCH(A1678,'Currency Master'!A:A,0))</f>
        <v>82.354363000000006</v>
      </c>
      <c r="J1678" s="37">
        <f t="shared" si="104"/>
        <v>193699.57</v>
      </c>
      <c r="K1678" s="3" t="s">
        <v>16</v>
      </c>
      <c r="L1678" s="38">
        <v>0</v>
      </c>
      <c r="M1678" s="3"/>
      <c r="N1678" s="3">
        <v>2022</v>
      </c>
      <c r="O1678" s="3" t="s">
        <v>89</v>
      </c>
      <c r="P1678" s="3" t="s">
        <v>78</v>
      </c>
      <c r="Q1678" s="3" t="s">
        <v>86</v>
      </c>
    </row>
    <row r="1679" spans="1:17" hidden="1" x14ac:dyDescent="0.3">
      <c r="A1679" s="2">
        <v>44805</v>
      </c>
      <c r="B1679" s="3" t="s">
        <v>12</v>
      </c>
      <c r="C1679" s="3" t="s">
        <v>19</v>
      </c>
      <c r="D1679" s="3" t="s">
        <v>84</v>
      </c>
      <c r="E1679" s="3" t="s">
        <v>15</v>
      </c>
      <c r="F1679" s="37">
        <v>3</v>
      </c>
      <c r="G1679" s="3" t="s">
        <v>77</v>
      </c>
      <c r="H1679" s="3" t="s">
        <v>29</v>
      </c>
      <c r="I1679" s="37">
        <f>INDEX('Currency Master'!B:B,MATCH(A1679,'Currency Master'!A:A,0))</f>
        <v>80.240606</v>
      </c>
      <c r="J1679" s="37">
        <f t="shared" si="104"/>
        <v>188727.96</v>
      </c>
      <c r="K1679" s="3" t="s">
        <v>16</v>
      </c>
      <c r="L1679" s="38">
        <v>0</v>
      </c>
      <c r="M1679" s="3"/>
      <c r="N1679" s="3">
        <v>2022</v>
      </c>
      <c r="O1679" s="3" t="s">
        <v>90</v>
      </c>
      <c r="P1679" s="3" t="s">
        <v>78</v>
      </c>
      <c r="Q1679" s="3" t="s">
        <v>86</v>
      </c>
    </row>
    <row r="1680" spans="1:17" hidden="1" x14ac:dyDescent="0.3">
      <c r="A1680" s="2">
        <v>44774</v>
      </c>
      <c r="B1680" s="3" t="s">
        <v>12</v>
      </c>
      <c r="C1680" s="3" t="s">
        <v>19</v>
      </c>
      <c r="D1680" s="3" t="s">
        <v>84</v>
      </c>
      <c r="E1680" s="3" t="s">
        <v>15</v>
      </c>
      <c r="F1680" s="37">
        <v>3</v>
      </c>
      <c r="G1680" s="3" t="s">
        <v>77</v>
      </c>
      <c r="H1680" s="3" t="s">
        <v>29</v>
      </c>
      <c r="I1680" s="37">
        <f>INDEX('Currency Master'!B:B,MATCH(A1680,'Currency Master'!A:A,0))</f>
        <v>79.536995000000005</v>
      </c>
      <c r="J1680" s="37">
        <f t="shared" si="104"/>
        <v>187073.05</v>
      </c>
      <c r="K1680" s="3" t="s">
        <v>16</v>
      </c>
      <c r="L1680" s="38">
        <v>0</v>
      </c>
      <c r="M1680" s="3"/>
      <c r="N1680" s="3">
        <v>2022</v>
      </c>
      <c r="O1680" s="3" t="s">
        <v>91</v>
      </c>
      <c r="P1680" s="3" t="s">
        <v>78</v>
      </c>
      <c r="Q1680" s="3" t="s">
        <v>86</v>
      </c>
    </row>
    <row r="1681" spans="1:17" hidden="1" x14ac:dyDescent="0.3">
      <c r="A1681" s="2">
        <v>44743</v>
      </c>
      <c r="B1681" s="3" t="s">
        <v>12</v>
      </c>
      <c r="C1681" s="3" t="s">
        <v>19</v>
      </c>
      <c r="D1681" s="3" t="s">
        <v>84</v>
      </c>
      <c r="E1681" s="3" t="s">
        <v>15</v>
      </c>
      <c r="F1681" s="37">
        <v>3</v>
      </c>
      <c r="G1681" s="3" t="s">
        <v>77</v>
      </c>
      <c r="H1681" s="3" t="s">
        <v>29</v>
      </c>
      <c r="I1681" s="37">
        <f>INDEX('Currency Master'!B:B,MATCH(A1681,'Currency Master'!A:A,0))</f>
        <v>79.596326000000005</v>
      </c>
      <c r="J1681" s="37">
        <f t="shared" si="104"/>
        <v>187212.6</v>
      </c>
      <c r="K1681" s="3" t="s">
        <v>16</v>
      </c>
      <c r="L1681" s="38">
        <v>0</v>
      </c>
      <c r="M1681" s="3"/>
      <c r="N1681" s="3">
        <v>2022</v>
      </c>
      <c r="O1681" s="3" t="s">
        <v>92</v>
      </c>
      <c r="P1681" s="3" t="s">
        <v>78</v>
      </c>
      <c r="Q1681" s="3" t="s">
        <v>86</v>
      </c>
    </row>
    <row r="1682" spans="1:17" hidden="1" x14ac:dyDescent="0.3">
      <c r="A1682" s="2">
        <v>44713</v>
      </c>
      <c r="B1682" s="3" t="s">
        <v>12</v>
      </c>
      <c r="C1682" s="3" t="s">
        <v>19</v>
      </c>
      <c r="D1682" s="3" t="s">
        <v>84</v>
      </c>
      <c r="E1682" s="3" t="s">
        <v>15</v>
      </c>
      <c r="F1682" s="37">
        <v>3</v>
      </c>
      <c r="G1682" s="3" t="s">
        <v>77</v>
      </c>
      <c r="H1682" s="3" t="s">
        <v>29</v>
      </c>
      <c r="I1682" s="37">
        <f>INDEX('Currency Master'!B:B,MATCH(A1682,'Currency Master'!A:A,0))</f>
        <v>78.095657000000003</v>
      </c>
      <c r="J1682" s="37">
        <f t="shared" si="104"/>
        <v>183682.99</v>
      </c>
      <c r="K1682" s="3" t="s">
        <v>16</v>
      </c>
      <c r="L1682" s="38">
        <v>0</v>
      </c>
      <c r="M1682" s="3"/>
      <c r="N1682" s="3">
        <v>2022</v>
      </c>
      <c r="O1682" s="3" t="s">
        <v>93</v>
      </c>
      <c r="P1682" s="3" t="s">
        <v>78</v>
      </c>
      <c r="Q1682" s="3" t="s">
        <v>86</v>
      </c>
    </row>
    <row r="1683" spans="1:17" hidden="1" x14ac:dyDescent="0.3">
      <c r="A1683" s="2">
        <v>44682</v>
      </c>
      <c r="B1683" s="3" t="s">
        <v>12</v>
      </c>
      <c r="C1683" s="3" t="s">
        <v>19</v>
      </c>
      <c r="D1683" s="3" t="s">
        <v>84</v>
      </c>
      <c r="E1683" s="3" t="s">
        <v>15</v>
      </c>
      <c r="F1683" s="37">
        <v>3</v>
      </c>
      <c r="G1683" s="3" t="s">
        <v>77</v>
      </c>
      <c r="H1683" s="3" t="s">
        <v>29</v>
      </c>
      <c r="I1683" s="37">
        <f>INDEX('Currency Master'!B:B,MATCH(A1683,'Currency Master'!A:A,0))</f>
        <v>77.309526000000005</v>
      </c>
      <c r="J1683" s="37">
        <f t="shared" si="104"/>
        <v>181833.98</v>
      </c>
      <c r="K1683" s="3" t="s">
        <v>16</v>
      </c>
      <c r="L1683" s="38">
        <v>0</v>
      </c>
      <c r="M1683" s="3"/>
      <c r="N1683" s="3">
        <v>2022</v>
      </c>
      <c r="O1683" s="3" t="s">
        <v>94</v>
      </c>
      <c r="P1683" s="3" t="s">
        <v>78</v>
      </c>
      <c r="Q1683" s="3" t="s">
        <v>86</v>
      </c>
    </row>
    <row r="1684" spans="1:17" hidden="1" x14ac:dyDescent="0.3">
      <c r="A1684" s="2">
        <v>44652</v>
      </c>
      <c r="B1684" s="3" t="s">
        <v>12</v>
      </c>
      <c r="C1684" s="3" t="s">
        <v>19</v>
      </c>
      <c r="D1684" s="3" t="s">
        <v>84</v>
      </c>
      <c r="E1684" s="3" t="s">
        <v>15</v>
      </c>
      <c r="F1684" s="37">
        <v>3</v>
      </c>
      <c r="G1684" s="3" t="s">
        <v>77</v>
      </c>
      <c r="H1684" s="3" t="s">
        <v>29</v>
      </c>
      <c r="I1684" s="37">
        <f>INDEX('Currency Master'!B:B,MATCH(A1684,'Currency Master'!A:A,0))</f>
        <v>76.171184999999994</v>
      </c>
      <c r="J1684" s="37">
        <f t="shared" si="104"/>
        <v>179156.58</v>
      </c>
      <c r="K1684" s="3" t="s">
        <v>16</v>
      </c>
      <c r="L1684" s="38">
        <v>0</v>
      </c>
      <c r="M1684" s="3"/>
      <c r="N1684" s="3">
        <v>2022</v>
      </c>
      <c r="O1684" s="3" t="s">
        <v>95</v>
      </c>
      <c r="P1684" s="3" t="s">
        <v>78</v>
      </c>
      <c r="Q1684" s="3" t="s">
        <v>86</v>
      </c>
    </row>
    <row r="1685" spans="1:17" hidden="1" x14ac:dyDescent="0.3">
      <c r="A1685" s="2">
        <v>44621</v>
      </c>
      <c r="B1685" s="3" t="s">
        <v>12</v>
      </c>
      <c r="C1685" s="3" t="s">
        <v>19</v>
      </c>
      <c r="D1685" s="3" t="s">
        <v>84</v>
      </c>
      <c r="E1685" s="3" t="s">
        <v>15</v>
      </c>
      <c r="F1685" s="37">
        <v>3</v>
      </c>
      <c r="G1685" s="3" t="s">
        <v>77</v>
      </c>
      <c r="H1685" s="3" t="s">
        <v>29</v>
      </c>
      <c r="I1685" s="37">
        <f>INDEX('Currency Master'!B:B,MATCH(A1685,'Currency Master'!A:A,0))</f>
        <v>76.228148000000004</v>
      </c>
      <c r="J1685" s="37">
        <f t="shared" si="104"/>
        <v>179290.56</v>
      </c>
      <c r="K1685" s="3" t="s">
        <v>16</v>
      </c>
      <c r="L1685" s="38">
        <v>0</v>
      </c>
      <c r="M1685" s="3"/>
      <c r="N1685" s="3">
        <v>2022</v>
      </c>
      <c r="O1685" s="3" t="s">
        <v>96</v>
      </c>
      <c r="P1685" s="3" t="s">
        <v>78</v>
      </c>
      <c r="Q1685" s="3" t="s">
        <v>86</v>
      </c>
    </row>
    <row r="1686" spans="1:17" hidden="1" x14ac:dyDescent="0.3">
      <c r="A1686" s="2">
        <v>44593</v>
      </c>
      <c r="B1686" s="3" t="s">
        <v>12</v>
      </c>
      <c r="C1686" s="3" t="s">
        <v>19</v>
      </c>
      <c r="D1686" s="3" t="s">
        <v>84</v>
      </c>
      <c r="E1686" s="3" t="s">
        <v>15</v>
      </c>
      <c r="F1686" s="37">
        <v>3</v>
      </c>
      <c r="G1686" s="3" t="s">
        <v>77</v>
      </c>
      <c r="H1686" s="3" t="s">
        <v>29</v>
      </c>
      <c r="I1686" s="37">
        <f>INDEX('Currency Master'!B:B,MATCH(A1686,'Currency Master'!A:A,0))</f>
        <v>74.971907000000002</v>
      </c>
      <c r="J1686" s="37">
        <f t="shared" si="104"/>
        <v>176335.85</v>
      </c>
      <c r="K1686" s="3" t="s">
        <v>16</v>
      </c>
      <c r="L1686" s="38">
        <v>1.6949152542372902E-2</v>
      </c>
      <c r="M1686" s="3"/>
      <c r="N1686" s="3">
        <v>2022</v>
      </c>
      <c r="O1686" s="3" t="s">
        <v>97</v>
      </c>
      <c r="P1686" s="3" t="s">
        <v>78</v>
      </c>
      <c r="Q1686" s="3" t="s">
        <v>86</v>
      </c>
    </row>
    <row r="1687" spans="1:17" hidden="1" x14ac:dyDescent="0.3">
      <c r="A1687" s="2">
        <v>44562</v>
      </c>
      <c r="B1687" s="3" t="s">
        <v>12</v>
      </c>
      <c r="C1687" s="3" t="s">
        <v>19</v>
      </c>
      <c r="D1687" s="3" t="s">
        <v>84</v>
      </c>
      <c r="E1687" s="3" t="s">
        <v>15</v>
      </c>
      <c r="F1687" s="37">
        <v>2.9476190400000002</v>
      </c>
      <c r="G1687" s="3" t="s">
        <v>77</v>
      </c>
      <c r="H1687" s="3" t="s">
        <v>29</v>
      </c>
      <c r="I1687" s="37">
        <f>INDEX('Currency Master'!B:B,MATCH(A1687,'Currency Master'!A:A,0))</f>
        <v>74.444012000000001</v>
      </c>
      <c r="J1687" s="37">
        <f t="shared" si="104"/>
        <v>172037.02</v>
      </c>
      <c r="K1687" s="3" t="s">
        <v>16</v>
      </c>
      <c r="L1687" s="38">
        <v>2.43055555555555E-2</v>
      </c>
      <c r="M1687" s="3"/>
      <c r="N1687" s="3">
        <v>2022</v>
      </c>
      <c r="O1687" s="3" t="s">
        <v>85</v>
      </c>
      <c r="P1687" s="3" t="s">
        <v>78</v>
      </c>
      <c r="Q1687" s="3" t="s">
        <v>86</v>
      </c>
    </row>
    <row r="1688" spans="1:17" hidden="1" x14ac:dyDescent="0.3">
      <c r="A1688" s="2">
        <v>44531</v>
      </c>
      <c r="B1688" s="3" t="s">
        <v>12</v>
      </c>
      <c r="C1688" s="3" t="s">
        <v>19</v>
      </c>
      <c r="D1688" s="3" t="s">
        <v>84</v>
      </c>
      <c r="E1688" s="3" t="s">
        <v>15</v>
      </c>
      <c r="F1688" s="37">
        <v>2.8782608600000001</v>
      </c>
      <c r="G1688" s="3" t="s">
        <v>77</v>
      </c>
      <c r="H1688" s="3" t="s">
        <v>29</v>
      </c>
      <c r="I1688" s="37">
        <f>INDEX('Currency Master'!B:B,MATCH(A1688,'Currency Master'!A:A,0))</f>
        <v>75.352399000000005</v>
      </c>
      <c r="J1688" s="37">
        <f t="shared" si="104"/>
        <v>170038.8</v>
      </c>
      <c r="K1688" s="3" t="s">
        <v>16</v>
      </c>
      <c r="L1688" s="38">
        <v>0.21008403361344499</v>
      </c>
      <c r="M1688" s="3"/>
      <c r="N1688" s="3">
        <v>2021</v>
      </c>
      <c r="O1688" s="3" t="s">
        <v>87</v>
      </c>
      <c r="P1688" s="3" t="s">
        <v>78</v>
      </c>
      <c r="Q1688" s="3" t="s">
        <v>86</v>
      </c>
    </row>
    <row r="1689" spans="1:17" hidden="1" x14ac:dyDescent="0.3">
      <c r="A1689" s="2">
        <v>44501</v>
      </c>
      <c r="B1689" s="3" t="s">
        <v>12</v>
      </c>
      <c r="C1689" s="3" t="s">
        <v>19</v>
      </c>
      <c r="D1689" s="3" t="s">
        <v>84</v>
      </c>
      <c r="E1689" s="3" t="s">
        <v>15</v>
      </c>
      <c r="F1689" s="37">
        <v>2.3818181799999998</v>
      </c>
      <c r="G1689" s="3" t="s">
        <v>77</v>
      </c>
      <c r="H1689" s="3" t="s">
        <v>29</v>
      </c>
      <c r="I1689" s="37">
        <f>INDEX('Currency Master'!B:B,MATCH(A1689,'Currency Master'!A:A,0))</f>
        <v>74.473561000000004</v>
      </c>
      <c r="J1689" s="37">
        <f t="shared" si="104"/>
        <v>139069.38</v>
      </c>
      <c r="K1689" s="3" t="s">
        <v>16</v>
      </c>
      <c r="L1689" s="38">
        <v>0.27956989247311798</v>
      </c>
      <c r="M1689" s="3"/>
      <c r="N1689" s="3">
        <v>2021</v>
      </c>
      <c r="O1689" s="3" t="s">
        <v>88</v>
      </c>
      <c r="P1689" s="3" t="s">
        <v>78</v>
      </c>
      <c r="Q1689" s="3" t="s">
        <v>86</v>
      </c>
    </row>
    <row r="1690" spans="1:17" hidden="1" x14ac:dyDescent="0.3">
      <c r="A1690" s="2">
        <v>44470</v>
      </c>
      <c r="B1690" s="3" t="s">
        <v>12</v>
      </c>
      <c r="C1690" s="3" t="s">
        <v>19</v>
      </c>
      <c r="D1690" s="3" t="s">
        <v>84</v>
      </c>
      <c r="E1690" s="3" t="s">
        <v>15</v>
      </c>
      <c r="F1690" s="37">
        <v>1.86047619</v>
      </c>
      <c r="G1690" s="3" t="s">
        <v>77</v>
      </c>
      <c r="H1690" s="3" t="s">
        <v>29</v>
      </c>
      <c r="I1690" s="37">
        <f>INDEX('Currency Master'!B:B,MATCH(A1690,'Currency Master'!A:A,0))</f>
        <v>74.953777000000002</v>
      </c>
      <c r="J1690" s="37">
        <f t="shared" si="104"/>
        <v>109329.77</v>
      </c>
      <c r="K1690" s="3" t="s">
        <v>16</v>
      </c>
      <c r="L1690" s="38">
        <v>0.12727272727272701</v>
      </c>
      <c r="M1690" s="3"/>
      <c r="N1690" s="3">
        <v>2021</v>
      </c>
      <c r="O1690" s="3" t="s">
        <v>89</v>
      </c>
      <c r="P1690" s="3" t="s">
        <v>78</v>
      </c>
      <c r="Q1690" s="3" t="s">
        <v>86</v>
      </c>
    </row>
    <row r="1691" spans="1:17" hidden="1" x14ac:dyDescent="0.3">
      <c r="A1691" s="2">
        <v>44440</v>
      </c>
      <c r="B1691" s="3" t="s">
        <v>12</v>
      </c>
      <c r="C1691" s="3" t="s">
        <v>19</v>
      </c>
      <c r="D1691" s="3" t="s">
        <v>84</v>
      </c>
      <c r="E1691" s="3" t="s">
        <v>15</v>
      </c>
      <c r="F1691" s="37">
        <v>1.65272727</v>
      </c>
      <c r="G1691" s="3" t="s">
        <v>77</v>
      </c>
      <c r="H1691" s="3" t="s">
        <v>29</v>
      </c>
      <c r="I1691" s="37">
        <f>INDEX('Currency Master'!B:B,MATCH(A1691,'Currency Master'!A:A,0))</f>
        <v>73.604971000000006</v>
      </c>
      <c r="J1691" s="37">
        <f t="shared" si="104"/>
        <v>95373.81</v>
      </c>
      <c r="K1691" s="3" t="s">
        <v>16</v>
      </c>
      <c r="L1691" s="38">
        <v>7.8431372549019593E-2</v>
      </c>
      <c r="M1691" s="3"/>
      <c r="N1691" s="3">
        <v>2021</v>
      </c>
      <c r="O1691" s="3" t="s">
        <v>90</v>
      </c>
      <c r="P1691" s="3" t="s">
        <v>78</v>
      </c>
      <c r="Q1691" s="3" t="s">
        <v>86</v>
      </c>
    </row>
    <row r="1692" spans="1:17" hidden="1" x14ac:dyDescent="0.3">
      <c r="A1692" s="2">
        <v>44409</v>
      </c>
      <c r="B1692" s="3" t="s">
        <v>12</v>
      </c>
      <c r="C1692" s="3" t="s">
        <v>19</v>
      </c>
      <c r="D1692" s="3" t="s">
        <v>84</v>
      </c>
      <c r="E1692" s="3" t="s">
        <v>15</v>
      </c>
      <c r="F1692" s="37">
        <v>1.53</v>
      </c>
      <c r="G1692" s="3" t="s">
        <v>77</v>
      </c>
      <c r="H1692" s="3" t="s">
        <v>29</v>
      </c>
      <c r="I1692" s="37">
        <f>INDEX('Currency Master'!B:B,MATCH(A1692,'Currency Master'!A:A,0))</f>
        <v>74.124448999999998</v>
      </c>
      <c r="J1692" s="37">
        <f t="shared" si="104"/>
        <v>88914.73</v>
      </c>
      <c r="K1692" s="3" t="s">
        <v>16</v>
      </c>
      <c r="L1692" s="38">
        <v>2.68456375838926E-2</v>
      </c>
      <c r="M1692" s="3"/>
      <c r="N1692" s="3">
        <v>2021</v>
      </c>
      <c r="O1692" s="3" t="s">
        <v>91</v>
      </c>
      <c r="P1692" s="3" t="s">
        <v>78</v>
      </c>
      <c r="Q1692" s="3" t="s">
        <v>86</v>
      </c>
    </row>
    <row r="1693" spans="1:17" hidden="1" x14ac:dyDescent="0.3">
      <c r="A1693" s="2">
        <v>44378</v>
      </c>
      <c r="B1693" s="3" t="s">
        <v>12</v>
      </c>
      <c r="C1693" s="3" t="s">
        <v>19</v>
      </c>
      <c r="D1693" s="3" t="s">
        <v>84</v>
      </c>
      <c r="E1693" s="3" t="s">
        <v>15</v>
      </c>
      <c r="F1693" s="37">
        <v>1.4890909000000001</v>
      </c>
      <c r="G1693" s="3" t="s">
        <v>77</v>
      </c>
      <c r="H1693" s="3" t="s">
        <v>29</v>
      </c>
      <c r="I1693" s="37">
        <f>INDEX('Currency Master'!B:B,MATCH(A1693,'Currency Master'!A:A,0))</f>
        <v>74.534734999999998</v>
      </c>
      <c r="J1693" s="37">
        <f t="shared" si="104"/>
        <v>87016.320000000007</v>
      </c>
      <c r="K1693" s="3" t="s">
        <v>16</v>
      </c>
      <c r="L1693" s="38">
        <v>4.1958041958041897E-2</v>
      </c>
      <c r="M1693" s="3"/>
      <c r="N1693" s="3">
        <v>2021</v>
      </c>
      <c r="O1693" s="3" t="s">
        <v>92</v>
      </c>
      <c r="P1693" s="3" t="s">
        <v>78</v>
      </c>
      <c r="Q1693" s="3" t="s">
        <v>86</v>
      </c>
    </row>
    <row r="1694" spans="1:17" hidden="1" x14ac:dyDescent="0.3">
      <c r="A1694" s="2">
        <v>44348</v>
      </c>
      <c r="B1694" s="3" t="s">
        <v>12</v>
      </c>
      <c r="C1694" s="3" t="s">
        <v>19</v>
      </c>
      <c r="D1694" s="3" t="s">
        <v>84</v>
      </c>
      <c r="E1694" s="3" t="s">
        <v>15</v>
      </c>
      <c r="F1694" s="37">
        <v>1.43</v>
      </c>
      <c r="G1694" s="3" t="s">
        <v>77</v>
      </c>
      <c r="H1694" s="3" t="s">
        <v>29</v>
      </c>
      <c r="I1694" s="37">
        <f>INDEX('Currency Master'!B:B,MATCH(A1694,'Currency Master'!A:A,0))</f>
        <v>73.575495000000004</v>
      </c>
      <c r="J1694" s="37">
        <f t="shared" si="104"/>
        <v>82487.86</v>
      </c>
      <c r="K1694" s="3" t="s">
        <v>16</v>
      </c>
      <c r="L1694" s="38">
        <v>0</v>
      </c>
      <c r="M1694" s="3"/>
      <c r="N1694" s="3">
        <v>2021</v>
      </c>
      <c r="O1694" s="3" t="s">
        <v>93</v>
      </c>
      <c r="P1694" s="3" t="s">
        <v>78</v>
      </c>
      <c r="Q1694" s="3" t="s">
        <v>86</v>
      </c>
    </row>
    <row r="1695" spans="1:17" hidden="1" x14ac:dyDescent="0.3">
      <c r="A1695" s="2">
        <v>44317</v>
      </c>
      <c r="B1695" s="3" t="s">
        <v>12</v>
      </c>
      <c r="C1695" s="3" t="s">
        <v>19</v>
      </c>
      <c r="D1695" s="3" t="s">
        <v>84</v>
      </c>
      <c r="E1695" s="3" t="s">
        <v>15</v>
      </c>
      <c r="F1695" s="37">
        <v>1.43</v>
      </c>
      <c r="G1695" s="3" t="s">
        <v>77</v>
      </c>
      <c r="H1695" s="3" t="s">
        <v>29</v>
      </c>
      <c r="I1695" s="37">
        <f>INDEX('Currency Master'!B:B,MATCH(A1695,'Currency Master'!A:A,0))</f>
        <v>73.209689999999995</v>
      </c>
      <c r="J1695" s="37">
        <f t="shared" si="104"/>
        <v>82077.740000000005</v>
      </c>
      <c r="K1695" s="3" t="s">
        <v>16</v>
      </c>
      <c r="L1695" s="38">
        <v>2.8776978417266199E-2</v>
      </c>
      <c r="M1695" s="3"/>
      <c r="N1695" s="3">
        <v>2021</v>
      </c>
      <c r="O1695" s="3" t="s">
        <v>94</v>
      </c>
      <c r="P1695" s="3" t="s">
        <v>78</v>
      </c>
      <c r="Q1695" s="3" t="s">
        <v>86</v>
      </c>
    </row>
    <row r="1696" spans="1:17" hidden="1" x14ac:dyDescent="0.3">
      <c r="A1696" s="2">
        <v>44287</v>
      </c>
      <c r="B1696" s="3" t="s">
        <v>12</v>
      </c>
      <c r="C1696" s="3" t="s">
        <v>19</v>
      </c>
      <c r="D1696" s="3" t="s">
        <v>84</v>
      </c>
      <c r="E1696" s="3" t="s">
        <v>15</v>
      </c>
      <c r="F1696" s="37">
        <v>1.39</v>
      </c>
      <c r="G1696" s="3" t="s">
        <v>77</v>
      </c>
      <c r="H1696" s="3" t="s">
        <v>29</v>
      </c>
      <c r="I1696" s="37">
        <f>INDEX('Currency Master'!B:B,MATCH(A1696,'Currency Master'!A:A,0))</f>
        <v>74.645910000000001</v>
      </c>
      <c r="J1696" s="37">
        <f t="shared" si="104"/>
        <v>81347.009999999995</v>
      </c>
      <c r="K1696" s="3" t="s">
        <v>16</v>
      </c>
      <c r="L1696" s="38">
        <v>0</v>
      </c>
      <c r="M1696" s="3"/>
      <c r="N1696" s="3">
        <v>2021</v>
      </c>
      <c r="O1696" s="3" t="s">
        <v>95</v>
      </c>
      <c r="P1696" s="3" t="s">
        <v>78</v>
      </c>
      <c r="Q1696" s="3" t="s">
        <v>86</v>
      </c>
    </row>
    <row r="1697" spans="1:17" hidden="1" x14ac:dyDescent="0.3">
      <c r="A1697" s="2">
        <v>44256</v>
      </c>
      <c r="B1697" s="3" t="s">
        <v>12</v>
      </c>
      <c r="C1697" s="3" t="s">
        <v>19</v>
      </c>
      <c r="D1697" s="3" t="s">
        <v>84</v>
      </c>
      <c r="E1697" s="3" t="s">
        <v>15</v>
      </c>
      <c r="F1697" s="37">
        <v>1.39</v>
      </c>
      <c r="G1697" s="3" t="s">
        <v>77</v>
      </c>
      <c r="H1697" s="3" t="s">
        <v>29</v>
      </c>
      <c r="I1697" s="37">
        <f>INDEX('Currency Master'!B:B,MATCH(A1697,'Currency Master'!A:A,0))</f>
        <v>72.824742000000001</v>
      </c>
      <c r="J1697" s="37">
        <f t="shared" si="104"/>
        <v>79362.350000000006</v>
      </c>
      <c r="K1697" s="3" t="s">
        <v>16</v>
      </c>
      <c r="L1697" s="38">
        <v>5.3030303030303004E-2</v>
      </c>
      <c r="M1697" s="3"/>
      <c r="N1697" s="3">
        <v>2021</v>
      </c>
      <c r="O1697" s="3" t="s">
        <v>96</v>
      </c>
      <c r="P1697" s="3" t="s">
        <v>78</v>
      </c>
      <c r="Q1697" s="3" t="s">
        <v>86</v>
      </c>
    </row>
    <row r="1698" spans="1:17" hidden="1" x14ac:dyDescent="0.3">
      <c r="A1698" s="2">
        <v>44228</v>
      </c>
      <c r="B1698" s="3" t="s">
        <v>12</v>
      </c>
      <c r="C1698" s="3" t="s">
        <v>19</v>
      </c>
      <c r="D1698" s="3" t="s">
        <v>84</v>
      </c>
      <c r="E1698" s="3" t="s">
        <v>15</v>
      </c>
      <c r="F1698" s="37">
        <v>1.319</v>
      </c>
      <c r="G1698" s="3" t="s">
        <v>77</v>
      </c>
      <c r="H1698" s="3" t="s">
        <v>29</v>
      </c>
      <c r="I1698" s="37">
        <f>INDEX('Currency Master'!B:B,MATCH(A1698,'Currency Master'!A:A,0))</f>
        <v>72.802874000000003</v>
      </c>
      <c r="J1698" s="37">
        <f t="shared" si="104"/>
        <v>75285.98</v>
      </c>
      <c r="K1698" s="3" t="s">
        <v>16</v>
      </c>
      <c r="L1698" s="38">
        <v>0.147826086956522</v>
      </c>
      <c r="M1698" s="3"/>
      <c r="N1698" s="3">
        <v>2021</v>
      </c>
      <c r="O1698" s="3" t="s">
        <v>97</v>
      </c>
      <c r="P1698" s="3" t="s">
        <v>78</v>
      </c>
      <c r="Q1698" s="3" t="s">
        <v>86</v>
      </c>
    </row>
    <row r="1699" spans="1:17" hidden="1" x14ac:dyDescent="0.3">
      <c r="A1699" s="2">
        <v>44197</v>
      </c>
      <c r="B1699" s="3" t="s">
        <v>12</v>
      </c>
      <c r="C1699" s="3" t="s">
        <v>19</v>
      </c>
      <c r="D1699" s="3" t="s">
        <v>84</v>
      </c>
      <c r="E1699" s="3" t="s">
        <v>15</v>
      </c>
      <c r="F1699" s="37">
        <v>1.1542857099999999</v>
      </c>
      <c r="G1699" s="3" t="s">
        <v>77</v>
      </c>
      <c r="H1699" s="3" t="s">
        <v>29</v>
      </c>
      <c r="I1699" s="37">
        <f>INDEX('Currency Master'!B:B,MATCH(A1699,'Currency Master'!A:A,0))</f>
        <v>73.120053999999996</v>
      </c>
      <c r="J1699" s="37">
        <f t="shared" si="104"/>
        <v>66171.44</v>
      </c>
      <c r="K1699" s="3" t="s">
        <v>16</v>
      </c>
      <c r="L1699" s="38">
        <v>2.6785714285714302E-2</v>
      </c>
      <c r="M1699" s="3"/>
      <c r="N1699" s="3">
        <v>2021</v>
      </c>
      <c r="O1699" s="3" t="s">
        <v>85</v>
      </c>
      <c r="P1699" s="3" t="s">
        <v>78</v>
      </c>
      <c r="Q1699" s="3" t="s">
        <v>86</v>
      </c>
    </row>
    <row r="1700" spans="1:17" hidden="1" x14ac:dyDescent="0.3">
      <c r="A1700" s="2">
        <v>44166</v>
      </c>
      <c r="B1700" s="3" t="s">
        <v>12</v>
      </c>
      <c r="C1700" s="3" t="s">
        <v>19</v>
      </c>
      <c r="D1700" s="3" t="s">
        <v>84</v>
      </c>
      <c r="E1700" s="3" t="s">
        <v>15</v>
      </c>
      <c r="F1700" s="37">
        <v>1.12086956</v>
      </c>
      <c r="G1700" s="3" t="s">
        <v>77</v>
      </c>
      <c r="H1700" s="3" t="s">
        <v>29</v>
      </c>
      <c r="I1700" s="37">
        <f>INDEX('Currency Master'!B:B,MATCH(A1700,'Currency Master'!A:A,0))</f>
        <v>73.632669000000007</v>
      </c>
      <c r="J1700" s="37">
        <f t="shared" si="104"/>
        <v>64706.28</v>
      </c>
      <c r="K1700" s="3" t="s">
        <v>16</v>
      </c>
      <c r="L1700" s="38">
        <v>1.8181818181818198E-2</v>
      </c>
      <c r="M1700" s="3"/>
      <c r="N1700" s="3">
        <v>2020</v>
      </c>
      <c r="O1700" s="3" t="s">
        <v>87</v>
      </c>
      <c r="P1700" s="3" t="s">
        <v>78</v>
      </c>
      <c r="Q1700" s="3" t="s">
        <v>86</v>
      </c>
    </row>
    <row r="1701" spans="1:17" hidden="1" x14ac:dyDescent="0.3">
      <c r="A1701" s="2">
        <v>44136</v>
      </c>
      <c r="B1701" s="3" t="s">
        <v>12</v>
      </c>
      <c r="C1701" s="3" t="s">
        <v>19</v>
      </c>
      <c r="D1701" s="3" t="s">
        <v>84</v>
      </c>
      <c r="E1701" s="3" t="s">
        <v>15</v>
      </c>
      <c r="F1701" s="37">
        <v>1.1000000000000001</v>
      </c>
      <c r="G1701" s="3" t="s">
        <v>77</v>
      </c>
      <c r="H1701" s="3" t="s">
        <v>29</v>
      </c>
      <c r="I1701" s="37">
        <f>INDEX('Currency Master'!B:B,MATCH(A1701,'Currency Master'!A:A,0))</f>
        <v>74.216222999999999</v>
      </c>
      <c r="J1701" s="37">
        <f t="shared" si="104"/>
        <v>64004.77</v>
      </c>
      <c r="K1701" s="3" t="s">
        <v>16</v>
      </c>
      <c r="L1701" s="38">
        <v>0</v>
      </c>
      <c r="M1701" s="3"/>
      <c r="N1701" s="3">
        <v>2020</v>
      </c>
      <c r="O1701" s="3" t="s">
        <v>88</v>
      </c>
      <c r="P1701" s="3" t="s">
        <v>78</v>
      </c>
      <c r="Q1701" s="3" t="s">
        <v>86</v>
      </c>
    </row>
    <row r="1702" spans="1:17" hidden="1" x14ac:dyDescent="0.3">
      <c r="A1702" s="2">
        <v>44105</v>
      </c>
      <c r="B1702" s="3" t="s">
        <v>12</v>
      </c>
      <c r="C1702" s="3" t="s">
        <v>19</v>
      </c>
      <c r="D1702" s="3" t="s">
        <v>84</v>
      </c>
      <c r="E1702" s="3" t="s">
        <v>15</v>
      </c>
      <c r="F1702" s="37">
        <v>1.1000000000000001</v>
      </c>
      <c r="G1702" s="3" t="s">
        <v>77</v>
      </c>
      <c r="H1702" s="3" t="s">
        <v>29</v>
      </c>
      <c r="I1702" s="37">
        <f>INDEX('Currency Master'!B:B,MATCH(A1702,'Currency Master'!A:A,0))</f>
        <v>73.535523999999995</v>
      </c>
      <c r="J1702" s="37">
        <f t="shared" si="104"/>
        <v>63417.73</v>
      </c>
      <c r="K1702" s="3" t="s">
        <v>16</v>
      </c>
      <c r="L1702" s="38">
        <v>0</v>
      </c>
      <c r="M1702" s="3"/>
      <c r="N1702" s="3">
        <v>2020</v>
      </c>
      <c r="O1702" s="3" t="s">
        <v>89</v>
      </c>
      <c r="P1702" s="3" t="s">
        <v>78</v>
      </c>
      <c r="Q1702" s="3" t="s">
        <v>86</v>
      </c>
    </row>
    <row r="1703" spans="1:17" hidden="1" x14ac:dyDescent="0.3">
      <c r="A1703" s="2">
        <v>44075</v>
      </c>
      <c r="B1703" s="3" t="s">
        <v>12</v>
      </c>
      <c r="C1703" s="3" t="s">
        <v>19</v>
      </c>
      <c r="D1703" s="3" t="s">
        <v>84</v>
      </c>
      <c r="E1703" s="3" t="s">
        <v>15</v>
      </c>
      <c r="F1703" s="37">
        <v>1.1000000000000001</v>
      </c>
      <c r="G1703" s="3" t="s">
        <v>77</v>
      </c>
      <c r="H1703" s="3" t="s">
        <v>29</v>
      </c>
      <c r="I1703" s="37">
        <f>INDEX('Currency Master'!B:B,MATCH(A1703,'Currency Master'!A:A,0))</f>
        <v>73.545564999999996</v>
      </c>
      <c r="J1703" s="37">
        <f t="shared" si="104"/>
        <v>63426.39</v>
      </c>
      <c r="K1703" s="3" t="s">
        <v>16</v>
      </c>
      <c r="L1703" s="38">
        <v>0</v>
      </c>
      <c r="M1703" s="3"/>
      <c r="N1703" s="3">
        <v>2020</v>
      </c>
      <c r="O1703" s="3" t="s">
        <v>90</v>
      </c>
      <c r="P1703" s="3" t="s">
        <v>78</v>
      </c>
      <c r="Q1703" s="3" t="s">
        <v>86</v>
      </c>
    </row>
    <row r="1704" spans="1:17" hidden="1" x14ac:dyDescent="0.3">
      <c r="A1704" s="2">
        <v>44044</v>
      </c>
      <c r="B1704" s="3" t="s">
        <v>12</v>
      </c>
      <c r="C1704" s="3" t="s">
        <v>19</v>
      </c>
      <c r="D1704" s="3" t="s">
        <v>84</v>
      </c>
      <c r="E1704" s="3" t="s">
        <v>15</v>
      </c>
      <c r="F1704" s="37">
        <v>1.1000000000000001</v>
      </c>
      <c r="G1704" s="3" t="s">
        <v>77</v>
      </c>
      <c r="H1704" s="3" t="s">
        <v>29</v>
      </c>
      <c r="I1704" s="37">
        <f>INDEX('Currency Master'!B:B,MATCH(A1704,'Currency Master'!A:A,0))</f>
        <v>74.595697000000001</v>
      </c>
      <c r="J1704" s="37">
        <f t="shared" si="104"/>
        <v>64332.03</v>
      </c>
      <c r="K1704" s="3" t="s">
        <v>16</v>
      </c>
      <c r="L1704" s="38">
        <v>0</v>
      </c>
      <c r="M1704" s="3"/>
      <c r="N1704" s="3">
        <v>2020</v>
      </c>
      <c r="O1704" s="3" t="s">
        <v>91</v>
      </c>
      <c r="P1704" s="3" t="s">
        <v>78</v>
      </c>
      <c r="Q1704" s="3" t="s">
        <v>86</v>
      </c>
    </row>
    <row r="1705" spans="1:17" hidden="1" x14ac:dyDescent="0.3">
      <c r="A1705" s="2">
        <v>44013</v>
      </c>
      <c r="B1705" s="3" t="s">
        <v>12</v>
      </c>
      <c r="C1705" s="3" t="s">
        <v>19</v>
      </c>
      <c r="D1705" s="3" t="s">
        <v>84</v>
      </c>
      <c r="E1705" s="3" t="s">
        <v>15</v>
      </c>
      <c r="F1705" s="37">
        <v>1.1000000000000001</v>
      </c>
      <c r="G1705" s="3" t="s">
        <v>77</v>
      </c>
      <c r="H1705" s="3" t="s">
        <v>29</v>
      </c>
      <c r="I1705" s="37">
        <f>INDEX('Currency Master'!B:B,MATCH(A1705,'Currency Master'!A:A,0))</f>
        <v>74.922385000000006</v>
      </c>
      <c r="J1705" s="37">
        <f t="shared" si="104"/>
        <v>64613.77</v>
      </c>
      <c r="K1705" s="3" t="s">
        <v>16</v>
      </c>
      <c r="L1705" s="38">
        <v>0</v>
      </c>
      <c r="M1705" s="3"/>
      <c r="N1705" s="3">
        <v>2020</v>
      </c>
      <c r="O1705" s="3" t="s">
        <v>92</v>
      </c>
      <c r="P1705" s="3" t="s">
        <v>78</v>
      </c>
      <c r="Q1705" s="3" t="s">
        <v>86</v>
      </c>
    </row>
    <row r="1706" spans="1:17" hidden="1" x14ac:dyDescent="0.3">
      <c r="A1706" s="2">
        <v>43983</v>
      </c>
      <c r="B1706" s="3" t="s">
        <v>12</v>
      </c>
      <c r="C1706" s="3" t="s">
        <v>19</v>
      </c>
      <c r="D1706" s="3" t="s">
        <v>84</v>
      </c>
      <c r="E1706" s="3" t="s">
        <v>15</v>
      </c>
      <c r="F1706" s="37">
        <v>1.1000000000000001</v>
      </c>
      <c r="G1706" s="3" t="s">
        <v>77</v>
      </c>
      <c r="H1706" s="3" t="s">
        <v>29</v>
      </c>
      <c r="I1706" s="37">
        <f>INDEX('Currency Master'!B:B,MATCH(A1706,'Currency Master'!A:A,0))</f>
        <v>75.721254000000002</v>
      </c>
      <c r="J1706" s="37">
        <f t="shared" si="104"/>
        <v>65302.720000000001</v>
      </c>
      <c r="K1706" s="3" t="s">
        <v>16</v>
      </c>
      <c r="L1706" s="38">
        <v>0</v>
      </c>
      <c r="M1706" s="3"/>
      <c r="N1706" s="3">
        <v>2020</v>
      </c>
      <c r="O1706" s="3" t="s">
        <v>93</v>
      </c>
      <c r="P1706" s="3" t="s">
        <v>78</v>
      </c>
      <c r="Q1706" s="3" t="s">
        <v>86</v>
      </c>
    </row>
    <row r="1707" spans="1:17" hidden="1" x14ac:dyDescent="0.3">
      <c r="A1707" s="2">
        <v>43952</v>
      </c>
      <c r="B1707" s="3" t="s">
        <v>12</v>
      </c>
      <c r="C1707" s="3" t="s">
        <v>19</v>
      </c>
      <c r="D1707" s="3" t="s">
        <v>84</v>
      </c>
      <c r="E1707" s="3" t="s">
        <v>15</v>
      </c>
      <c r="F1707" s="37">
        <v>1.1000000000000001</v>
      </c>
      <c r="G1707" s="3" t="s">
        <v>77</v>
      </c>
      <c r="H1707" s="3" t="s">
        <v>29</v>
      </c>
      <c r="I1707" s="37">
        <f>INDEX('Currency Master'!B:B,MATCH(A1707,'Currency Master'!A:A,0))</f>
        <v>75.674092999999999</v>
      </c>
      <c r="J1707" s="37">
        <f t="shared" si="104"/>
        <v>65262.05</v>
      </c>
      <c r="K1707" s="3" t="s">
        <v>16</v>
      </c>
      <c r="L1707" s="38">
        <v>0</v>
      </c>
      <c r="M1707" s="3"/>
      <c r="N1707" s="3">
        <v>2020</v>
      </c>
      <c r="O1707" s="3" t="s">
        <v>94</v>
      </c>
      <c r="P1707" s="3" t="s">
        <v>78</v>
      </c>
      <c r="Q1707" s="3" t="s">
        <v>86</v>
      </c>
    </row>
    <row r="1708" spans="1:17" hidden="1" x14ac:dyDescent="0.3">
      <c r="A1708" s="2">
        <v>43922</v>
      </c>
      <c r="B1708" s="3" t="s">
        <v>12</v>
      </c>
      <c r="C1708" s="3" t="s">
        <v>19</v>
      </c>
      <c r="D1708" s="3" t="s">
        <v>84</v>
      </c>
      <c r="E1708" s="3" t="s">
        <v>15</v>
      </c>
      <c r="F1708" s="37">
        <v>1.1000000000000001</v>
      </c>
      <c r="G1708" s="3" t="s">
        <v>77</v>
      </c>
      <c r="H1708" s="3" t="s">
        <v>29</v>
      </c>
      <c r="I1708" s="37">
        <f>INDEX('Currency Master'!B:B,MATCH(A1708,'Currency Master'!A:A,0))</f>
        <v>76.217590000000001</v>
      </c>
      <c r="J1708" s="37">
        <f t="shared" si="104"/>
        <v>65730.77</v>
      </c>
      <c r="K1708" s="3" t="s">
        <v>16</v>
      </c>
      <c r="L1708" s="38">
        <v>0</v>
      </c>
      <c r="M1708" s="3"/>
      <c r="N1708" s="3">
        <v>2020</v>
      </c>
      <c r="O1708" s="3" t="s">
        <v>95</v>
      </c>
      <c r="P1708" s="3" t="s">
        <v>78</v>
      </c>
      <c r="Q1708" s="3" t="s">
        <v>86</v>
      </c>
    </row>
    <row r="1709" spans="1:17" hidden="1" x14ac:dyDescent="0.3">
      <c r="A1709" s="2">
        <v>43891</v>
      </c>
      <c r="B1709" s="3" t="s">
        <v>12</v>
      </c>
      <c r="C1709" s="3" t="s">
        <v>19</v>
      </c>
      <c r="D1709" s="3" t="s">
        <v>84</v>
      </c>
      <c r="E1709" s="3" t="s">
        <v>15</v>
      </c>
      <c r="F1709" s="37">
        <v>1.1000000000000001</v>
      </c>
      <c r="G1709" s="3" t="s">
        <v>77</v>
      </c>
      <c r="H1709" s="3" t="s">
        <v>29</v>
      </c>
      <c r="I1709" s="37">
        <f>INDEX('Currency Master'!B:B,MATCH(A1709,'Currency Master'!A:A,0))</f>
        <v>74.526435000000006</v>
      </c>
      <c r="J1709" s="37">
        <f t="shared" si="104"/>
        <v>64272.3</v>
      </c>
      <c r="K1709" s="3" t="s">
        <v>16</v>
      </c>
      <c r="L1709" s="38">
        <v>0</v>
      </c>
      <c r="M1709" s="3"/>
      <c r="N1709" s="3">
        <v>2020</v>
      </c>
      <c r="O1709" s="3" t="s">
        <v>96</v>
      </c>
      <c r="P1709" s="3" t="s">
        <v>78</v>
      </c>
      <c r="Q1709" s="3" t="s">
        <v>86</v>
      </c>
    </row>
    <row r="1710" spans="1:17" hidden="1" x14ac:dyDescent="0.3">
      <c r="A1710" s="2">
        <v>43862</v>
      </c>
      <c r="B1710" s="3" t="s">
        <v>12</v>
      </c>
      <c r="C1710" s="3" t="s">
        <v>19</v>
      </c>
      <c r="D1710" s="3" t="s">
        <v>84</v>
      </c>
      <c r="E1710" s="3" t="s">
        <v>15</v>
      </c>
      <c r="F1710" s="37">
        <v>1.1000000000000001</v>
      </c>
      <c r="G1710" s="3" t="s">
        <v>77</v>
      </c>
      <c r="H1710" s="3" t="s">
        <v>29</v>
      </c>
      <c r="I1710" s="37">
        <f>INDEX('Currency Master'!B:B,MATCH(A1710,'Currency Master'!A:A,0))</f>
        <v>71.510946000000004</v>
      </c>
      <c r="J1710" s="37">
        <f t="shared" si="104"/>
        <v>61671.71</v>
      </c>
      <c r="K1710" s="3" t="s">
        <v>16</v>
      </c>
      <c r="L1710" s="38">
        <v>0</v>
      </c>
      <c r="M1710" s="3"/>
      <c r="N1710" s="3">
        <v>2020</v>
      </c>
      <c r="O1710" s="3" t="s">
        <v>97</v>
      </c>
      <c r="P1710" s="3" t="s">
        <v>78</v>
      </c>
      <c r="Q1710" s="3" t="s">
        <v>86</v>
      </c>
    </row>
    <row r="1711" spans="1:17" hidden="1" x14ac:dyDescent="0.3">
      <c r="A1711" s="2">
        <v>43831</v>
      </c>
      <c r="B1711" s="3" t="s">
        <v>12</v>
      </c>
      <c r="C1711" s="3" t="s">
        <v>19</v>
      </c>
      <c r="D1711" s="3" t="s">
        <v>84</v>
      </c>
      <c r="E1711" s="3" t="s">
        <v>15</v>
      </c>
      <c r="F1711" s="37">
        <v>1.1000000000000001</v>
      </c>
      <c r="G1711" s="3" t="s">
        <v>77</v>
      </c>
      <c r="H1711" s="3" t="s">
        <v>29</v>
      </c>
      <c r="I1711" s="37">
        <f>INDEX('Currency Master'!B:B,MATCH(A1711,'Currency Master'!A:A,0))</f>
        <v>71.289604999999995</v>
      </c>
      <c r="J1711" s="37">
        <f t="shared" si="104"/>
        <v>61480.82</v>
      </c>
      <c r="K1711" s="3" t="s">
        <v>16</v>
      </c>
      <c r="L1711" s="38">
        <v>-2.6548672566371702E-2</v>
      </c>
      <c r="M1711" s="3"/>
      <c r="N1711" s="3">
        <v>2020</v>
      </c>
      <c r="O1711" s="3" t="s">
        <v>85</v>
      </c>
      <c r="P1711" s="3" t="s">
        <v>78</v>
      </c>
      <c r="Q1711" s="3" t="s">
        <v>86</v>
      </c>
    </row>
    <row r="1712" spans="1:17" hidden="1" x14ac:dyDescent="0.3">
      <c r="A1712" s="2">
        <v>43800</v>
      </c>
      <c r="B1712" s="3" t="s">
        <v>12</v>
      </c>
      <c r="C1712" s="3" t="s">
        <v>19</v>
      </c>
      <c r="D1712" s="3" t="s">
        <v>84</v>
      </c>
      <c r="E1712" s="3" t="s">
        <v>15</v>
      </c>
      <c r="F1712" s="37">
        <v>1.1285714200000001</v>
      </c>
      <c r="G1712" s="3" t="s">
        <v>77</v>
      </c>
      <c r="H1712" s="3" t="s">
        <v>29</v>
      </c>
      <c r="I1712" s="37">
        <f>INDEX('Currency Master'!B:B,MATCH(A1712,'Currency Master'!A:A,0))</f>
        <v>71.183558000000005</v>
      </c>
      <c r="J1712" s="37">
        <f t="shared" si="104"/>
        <v>62983.9</v>
      </c>
      <c r="K1712" s="3" t="s">
        <v>16</v>
      </c>
      <c r="L1712" s="38">
        <v>0</v>
      </c>
      <c r="M1712" s="3"/>
      <c r="N1712" s="3">
        <v>2019</v>
      </c>
      <c r="O1712" s="3" t="s">
        <v>87</v>
      </c>
      <c r="P1712" s="3" t="s">
        <v>78</v>
      </c>
      <c r="Q1712" s="3" t="s">
        <v>86</v>
      </c>
    </row>
    <row r="1713" spans="1:17" hidden="1" x14ac:dyDescent="0.3">
      <c r="A1713" s="2">
        <v>43770</v>
      </c>
      <c r="B1713" s="3" t="s">
        <v>12</v>
      </c>
      <c r="C1713" s="3" t="s">
        <v>19</v>
      </c>
      <c r="D1713" s="3" t="s">
        <v>84</v>
      </c>
      <c r="E1713" s="3" t="s">
        <v>15</v>
      </c>
      <c r="F1713" s="37">
        <v>1.1299999999999999</v>
      </c>
      <c r="G1713" s="3" t="s">
        <v>77</v>
      </c>
      <c r="H1713" s="3" t="s">
        <v>29</v>
      </c>
      <c r="I1713" s="37">
        <f>INDEX('Currency Master'!B:B,MATCH(A1713,'Currency Master'!A:A,0))</f>
        <v>71.470119999999994</v>
      </c>
      <c r="J1713" s="37">
        <f t="shared" si="104"/>
        <v>63317.5</v>
      </c>
      <c r="K1713" s="3" t="s">
        <v>16</v>
      </c>
      <c r="L1713" s="38">
        <v>0</v>
      </c>
      <c r="M1713" s="3"/>
      <c r="N1713" s="3">
        <v>2019</v>
      </c>
      <c r="O1713" s="3" t="s">
        <v>88</v>
      </c>
      <c r="P1713" s="3" t="s">
        <v>78</v>
      </c>
      <c r="Q1713" s="3" t="s">
        <v>86</v>
      </c>
    </row>
    <row r="1714" spans="1:17" hidden="1" x14ac:dyDescent="0.3">
      <c r="A1714" s="2">
        <v>43739</v>
      </c>
      <c r="B1714" s="3" t="s">
        <v>12</v>
      </c>
      <c r="C1714" s="3" t="s">
        <v>19</v>
      </c>
      <c r="D1714" s="3" t="s">
        <v>84</v>
      </c>
      <c r="E1714" s="3" t="s">
        <v>15</v>
      </c>
      <c r="F1714" s="37">
        <v>1.1299999999999999</v>
      </c>
      <c r="G1714" s="3" t="s">
        <v>77</v>
      </c>
      <c r="H1714" s="3" t="s">
        <v>29</v>
      </c>
      <c r="I1714" s="37">
        <f>INDEX('Currency Master'!B:B,MATCH(A1714,'Currency Master'!A:A,0))</f>
        <v>71.040744000000004</v>
      </c>
      <c r="J1714" s="37">
        <f t="shared" si="104"/>
        <v>62937.1</v>
      </c>
      <c r="K1714" s="3" t="s">
        <v>16</v>
      </c>
      <c r="L1714" s="38">
        <v>-2.5862068965517203E-2</v>
      </c>
      <c r="M1714" s="3"/>
      <c r="N1714" s="3">
        <v>2019</v>
      </c>
      <c r="O1714" s="3" t="s">
        <v>89</v>
      </c>
      <c r="P1714" s="3" t="s">
        <v>78</v>
      </c>
      <c r="Q1714" s="3" t="s">
        <v>86</v>
      </c>
    </row>
    <row r="1715" spans="1:17" hidden="1" x14ac:dyDescent="0.3">
      <c r="A1715" s="2">
        <v>43709</v>
      </c>
      <c r="B1715" s="3" t="s">
        <v>12</v>
      </c>
      <c r="C1715" s="3" t="s">
        <v>19</v>
      </c>
      <c r="D1715" s="3" t="s">
        <v>84</v>
      </c>
      <c r="E1715" s="3" t="s">
        <v>15</v>
      </c>
      <c r="F1715" s="37">
        <v>1.1579999999999999</v>
      </c>
      <c r="G1715" s="3" t="s">
        <v>77</v>
      </c>
      <c r="H1715" s="3" t="s">
        <v>29</v>
      </c>
      <c r="I1715" s="37">
        <f>INDEX('Currency Master'!B:B,MATCH(A1715,'Currency Master'!A:A,0))</f>
        <v>71.399432000000004</v>
      </c>
      <c r="J1715" s="37">
        <f t="shared" si="104"/>
        <v>64822.25</v>
      </c>
      <c r="K1715" s="3" t="s">
        <v>16</v>
      </c>
      <c r="L1715" s="38">
        <v>-3.3333333333333298E-2</v>
      </c>
      <c r="M1715" s="3"/>
      <c r="N1715" s="3">
        <v>2019</v>
      </c>
      <c r="O1715" s="3" t="s">
        <v>90</v>
      </c>
      <c r="P1715" s="3" t="s">
        <v>78</v>
      </c>
      <c r="Q1715" s="3" t="s">
        <v>86</v>
      </c>
    </row>
    <row r="1716" spans="1:17" hidden="1" x14ac:dyDescent="0.3">
      <c r="A1716" s="2">
        <v>43678</v>
      </c>
      <c r="B1716" s="3" t="s">
        <v>12</v>
      </c>
      <c r="C1716" s="3" t="s">
        <v>19</v>
      </c>
      <c r="D1716" s="3" t="s">
        <v>84</v>
      </c>
      <c r="E1716" s="3" t="s">
        <v>15</v>
      </c>
      <c r="F1716" s="37">
        <v>1.2</v>
      </c>
      <c r="G1716" s="3" t="s">
        <v>77</v>
      </c>
      <c r="H1716" s="3" t="s">
        <v>29</v>
      </c>
      <c r="I1716" s="37">
        <f>INDEX('Currency Master'!B:B,MATCH(A1716,'Currency Master'!A:A,0))</f>
        <v>71.174543</v>
      </c>
      <c r="J1716" s="37">
        <f t="shared" si="104"/>
        <v>66961.740000000005</v>
      </c>
      <c r="K1716" s="3" t="s">
        <v>16</v>
      </c>
      <c r="L1716" s="38">
        <v>0</v>
      </c>
      <c r="M1716" s="3"/>
      <c r="N1716" s="3">
        <v>2019</v>
      </c>
      <c r="O1716" s="3" t="s">
        <v>91</v>
      </c>
      <c r="P1716" s="3" t="s">
        <v>78</v>
      </c>
      <c r="Q1716" s="3" t="s">
        <v>86</v>
      </c>
    </row>
    <row r="1717" spans="1:17" hidden="1" x14ac:dyDescent="0.3">
      <c r="A1717" s="2">
        <v>43647</v>
      </c>
      <c r="B1717" s="3" t="s">
        <v>12</v>
      </c>
      <c r="C1717" s="3" t="s">
        <v>19</v>
      </c>
      <c r="D1717" s="3" t="s">
        <v>84</v>
      </c>
      <c r="E1717" s="3" t="s">
        <v>15</v>
      </c>
      <c r="F1717" s="37">
        <v>1.2</v>
      </c>
      <c r="G1717" s="3" t="s">
        <v>77</v>
      </c>
      <c r="H1717" s="3" t="s">
        <v>29</v>
      </c>
      <c r="I1717" s="37">
        <f>INDEX('Currency Master'!B:B,MATCH(A1717,'Currency Master'!A:A,0))</f>
        <v>68.751615999999999</v>
      </c>
      <c r="J1717" s="37">
        <f t="shared" si="104"/>
        <v>64682.22</v>
      </c>
      <c r="K1717" s="3" t="s">
        <v>16</v>
      </c>
      <c r="L1717" s="38">
        <v>0</v>
      </c>
      <c r="M1717" s="3"/>
      <c r="N1717" s="3">
        <v>2019</v>
      </c>
      <c r="O1717" s="3" t="s">
        <v>92</v>
      </c>
      <c r="P1717" s="3" t="s">
        <v>78</v>
      </c>
      <c r="Q1717" s="3" t="s">
        <v>86</v>
      </c>
    </row>
    <row r="1718" spans="1:17" hidden="1" x14ac:dyDescent="0.3">
      <c r="A1718" s="2">
        <v>43617</v>
      </c>
      <c r="B1718" s="3" t="s">
        <v>12</v>
      </c>
      <c r="C1718" s="3" t="s">
        <v>19</v>
      </c>
      <c r="D1718" s="3" t="s">
        <v>84</v>
      </c>
      <c r="E1718" s="3" t="s">
        <v>15</v>
      </c>
      <c r="F1718" s="37">
        <v>1.2</v>
      </c>
      <c r="G1718" s="3" t="s">
        <v>77</v>
      </c>
      <c r="H1718" s="3" t="s">
        <v>29</v>
      </c>
      <c r="I1718" s="37">
        <f>INDEX('Currency Master'!B:B,MATCH(A1718,'Currency Master'!A:A,0))</f>
        <v>69.428644000000006</v>
      </c>
      <c r="J1718" s="37">
        <f t="shared" si="104"/>
        <v>65319.18</v>
      </c>
      <c r="K1718" s="3" t="s">
        <v>16</v>
      </c>
      <c r="L1718" s="38">
        <v>0</v>
      </c>
      <c r="M1718" s="3"/>
      <c r="N1718" s="3">
        <v>2019</v>
      </c>
      <c r="O1718" s="3" t="s">
        <v>93</v>
      </c>
      <c r="P1718" s="3" t="s">
        <v>78</v>
      </c>
      <c r="Q1718" s="3" t="s">
        <v>86</v>
      </c>
    </row>
    <row r="1719" spans="1:17" hidden="1" x14ac:dyDescent="0.3">
      <c r="A1719" s="2">
        <v>43586</v>
      </c>
      <c r="B1719" s="3" t="s">
        <v>12</v>
      </c>
      <c r="C1719" s="3" t="s">
        <v>19</v>
      </c>
      <c r="D1719" s="3" t="s">
        <v>84</v>
      </c>
      <c r="E1719" s="3" t="s">
        <v>15</v>
      </c>
      <c r="F1719" s="37">
        <v>1.2</v>
      </c>
      <c r="G1719" s="3" t="s">
        <v>77</v>
      </c>
      <c r="H1719" s="3" t="s">
        <v>29</v>
      </c>
      <c r="I1719" s="37">
        <f>INDEX('Currency Master'!B:B,MATCH(A1719,'Currency Master'!A:A,0))</f>
        <v>69.809849999999997</v>
      </c>
      <c r="J1719" s="37">
        <f t="shared" si="104"/>
        <v>65677.820000000007</v>
      </c>
      <c r="K1719" s="3" t="s">
        <v>16</v>
      </c>
      <c r="L1719" s="38">
        <v>0</v>
      </c>
      <c r="M1719" s="3"/>
      <c r="N1719" s="3">
        <v>2019</v>
      </c>
      <c r="O1719" s="3" t="s">
        <v>94</v>
      </c>
      <c r="P1719" s="3" t="s">
        <v>78</v>
      </c>
      <c r="Q1719" s="3" t="s">
        <v>86</v>
      </c>
    </row>
    <row r="1720" spans="1:17" hidden="1" x14ac:dyDescent="0.3">
      <c r="A1720" s="2">
        <v>43556</v>
      </c>
      <c r="B1720" s="3" t="s">
        <v>12</v>
      </c>
      <c r="C1720" s="3" t="s">
        <v>19</v>
      </c>
      <c r="D1720" s="3" t="s">
        <v>84</v>
      </c>
      <c r="E1720" s="3" t="s">
        <v>15</v>
      </c>
      <c r="F1720" s="37">
        <v>1.2</v>
      </c>
      <c r="G1720" s="3" t="s">
        <v>77</v>
      </c>
      <c r="H1720" s="3" t="s">
        <v>29</v>
      </c>
      <c r="I1720" s="37">
        <f>INDEX('Currency Master'!B:B,MATCH(A1720,'Currency Master'!A:A,0))</f>
        <v>69.409238999999999</v>
      </c>
      <c r="J1720" s="37">
        <f t="shared" si="104"/>
        <v>65300.92</v>
      </c>
      <c r="K1720" s="3" t="s">
        <v>16</v>
      </c>
      <c r="L1720" s="38">
        <v>0</v>
      </c>
      <c r="M1720" s="3"/>
      <c r="N1720" s="3">
        <v>2019</v>
      </c>
      <c r="O1720" s="3" t="s">
        <v>95</v>
      </c>
      <c r="P1720" s="3" t="s">
        <v>78</v>
      </c>
      <c r="Q1720" s="3" t="s">
        <v>86</v>
      </c>
    </row>
    <row r="1721" spans="1:17" hidden="1" x14ac:dyDescent="0.3">
      <c r="A1721" s="2">
        <v>43525</v>
      </c>
      <c r="B1721" s="3" t="s">
        <v>12</v>
      </c>
      <c r="C1721" s="3" t="s">
        <v>19</v>
      </c>
      <c r="D1721" s="3" t="s">
        <v>84</v>
      </c>
      <c r="E1721" s="3" t="s">
        <v>15</v>
      </c>
      <c r="F1721" s="37">
        <v>1.2</v>
      </c>
      <c r="G1721" s="3" t="s">
        <v>77</v>
      </c>
      <c r="H1721" s="3" t="s">
        <v>29</v>
      </c>
      <c r="I1721" s="37">
        <f>INDEX('Currency Master'!B:B,MATCH(A1721,'Currency Master'!A:A,0))</f>
        <v>69.507559999999998</v>
      </c>
      <c r="J1721" s="37">
        <f t="shared" si="104"/>
        <v>65393.42</v>
      </c>
      <c r="K1721" s="3" t="s">
        <v>16</v>
      </c>
      <c r="L1721" s="38">
        <v>0</v>
      </c>
      <c r="M1721" s="3"/>
      <c r="N1721" s="3">
        <v>2019</v>
      </c>
      <c r="O1721" s="3" t="s">
        <v>96</v>
      </c>
      <c r="P1721" s="3" t="s">
        <v>78</v>
      </c>
      <c r="Q1721" s="3" t="s">
        <v>86</v>
      </c>
    </row>
    <row r="1722" spans="1:17" hidden="1" x14ac:dyDescent="0.3">
      <c r="A1722" s="2">
        <v>45292</v>
      </c>
      <c r="B1722" s="3" t="s">
        <v>12</v>
      </c>
      <c r="C1722" s="3" t="s">
        <v>19</v>
      </c>
      <c r="D1722" s="3" t="s">
        <v>98</v>
      </c>
      <c r="E1722" s="3" t="s">
        <v>15</v>
      </c>
      <c r="F1722" s="37">
        <v>1.7324999999999999</v>
      </c>
      <c r="G1722" s="3" t="s">
        <v>77</v>
      </c>
      <c r="H1722" s="3" t="s">
        <v>29</v>
      </c>
      <c r="I1722" s="37">
        <f>INDEX('Currency Master'!B:B,MATCH(A1722,'Currency Master'!A:A,0))</f>
        <v>83.09</v>
      </c>
      <c r="J1722" s="37">
        <f t="shared" si="104"/>
        <v>112860.71</v>
      </c>
      <c r="K1722" s="3" t="s">
        <v>16</v>
      </c>
      <c r="L1722" s="38">
        <v>0</v>
      </c>
      <c r="M1722" s="3"/>
      <c r="N1722" s="3">
        <v>2024</v>
      </c>
      <c r="O1722" s="3" t="s">
        <v>85</v>
      </c>
      <c r="P1722" s="3" t="s">
        <v>78</v>
      </c>
      <c r="Q1722" s="3" t="s">
        <v>99</v>
      </c>
    </row>
    <row r="1723" spans="1:17" hidden="1" x14ac:dyDescent="0.3">
      <c r="A1723" s="2">
        <v>45261</v>
      </c>
      <c r="B1723" s="3" t="s">
        <v>12</v>
      </c>
      <c r="C1723" s="3" t="s">
        <v>19</v>
      </c>
      <c r="D1723" s="3" t="s">
        <v>98</v>
      </c>
      <c r="E1723" s="3" t="s">
        <v>15</v>
      </c>
      <c r="F1723" s="37">
        <v>1.7324999999999999</v>
      </c>
      <c r="G1723" s="3" t="s">
        <v>77</v>
      </c>
      <c r="H1723" s="3" t="s">
        <v>29</v>
      </c>
      <c r="I1723" s="37">
        <f>INDEX('Currency Master'!B:B,MATCH(A1723,'Currency Master'!A:A,0))</f>
        <v>83.1</v>
      </c>
      <c r="J1723" s="37">
        <f t="shared" si="104"/>
        <v>112874.3</v>
      </c>
      <c r="K1723" s="3" t="s">
        <v>16</v>
      </c>
      <c r="L1723" s="38">
        <v>0</v>
      </c>
      <c r="M1723" s="3"/>
      <c r="N1723" s="3">
        <v>2023</v>
      </c>
      <c r="O1723" s="3" t="s">
        <v>87</v>
      </c>
      <c r="P1723" s="3" t="s">
        <v>78</v>
      </c>
      <c r="Q1723" s="3" t="s">
        <v>99</v>
      </c>
    </row>
    <row r="1724" spans="1:17" hidden="1" x14ac:dyDescent="0.3">
      <c r="A1724" s="2">
        <v>45231</v>
      </c>
      <c r="B1724" s="3" t="s">
        <v>12</v>
      </c>
      <c r="C1724" s="3" t="s">
        <v>19</v>
      </c>
      <c r="D1724" s="3" t="s">
        <v>98</v>
      </c>
      <c r="E1724" s="3" t="s">
        <v>15</v>
      </c>
      <c r="F1724" s="37">
        <v>1.7324999999999999</v>
      </c>
      <c r="G1724" s="3" t="s">
        <v>77</v>
      </c>
      <c r="H1724" s="3" t="s">
        <v>29</v>
      </c>
      <c r="I1724" s="37">
        <f>INDEX('Currency Master'!B:B,MATCH(A1724,'Currency Master'!A:A,0))</f>
        <v>83.35</v>
      </c>
      <c r="J1724" s="37">
        <f t="shared" si="104"/>
        <v>113213.87</v>
      </c>
      <c r="K1724" s="3" t="s">
        <v>16</v>
      </c>
      <c r="L1724" s="38">
        <v>0</v>
      </c>
      <c r="M1724" s="3"/>
      <c r="N1724" s="3">
        <v>2023</v>
      </c>
      <c r="O1724" s="3" t="s">
        <v>88</v>
      </c>
      <c r="P1724" s="3" t="s">
        <v>78</v>
      </c>
      <c r="Q1724" s="3" t="s">
        <v>99</v>
      </c>
    </row>
    <row r="1725" spans="1:17" hidden="1" x14ac:dyDescent="0.3">
      <c r="A1725" s="2">
        <v>45200</v>
      </c>
      <c r="B1725" s="3" t="s">
        <v>12</v>
      </c>
      <c r="C1725" s="3" t="s">
        <v>19</v>
      </c>
      <c r="D1725" s="3" t="s">
        <v>98</v>
      </c>
      <c r="E1725" s="3" t="s">
        <v>15</v>
      </c>
      <c r="F1725" s="37">
        <v>1.7324999999999999</v>
      </c>
      <c r="G1725" s="3" t="s">
        <v>77</v>
      </c>
      <c r="H1725" s="3" t="s">
        <v>29</v>
      </c>
      <c r="I1725" s="37">
        <f>INDEX('Currency Master'!B:B,MATCH(A1725,'Currency Master'!A:A,0))</f>
        <v>83.25</v>
      </c>
      <c r="J1725" s="37">
        <f t="shared" si="104"/>
        <v>113078.04</v>
      </c>
      <c r="K1725" s="3" t="s">
        <v>16</v>
      </c>
      <c r="L1725" s="38">
        <v>0</v>
      </c>
      <c r="M1725" s="3"/>
      <c r="N1725" s="3">
        <v>2023</v>
      </c>
      <c r="O1725" s="3" t="s">
        <v>89</v>
      </c>
      <c r="P1725" s="3" t="s">
        <v>78</v>
      </c>
      <c r="Q1725" s="3" t="s">
        <v>99</v>
      </c>
    </row>
    <row r="1726" spans="1:17" hidden="1" x14ac:dyDescent="0.3">
      <c r="A1726" s="2">
        <v>45170</v>
      </c>
      <c r="B1726" s="3" t="s">
        <v>12</v>
      </c>
      <c r="C1726" s="3" t="s">
        <v>19</v>
      </c>
      <c r="D1726" s="3" t="s">
        <v>98</v>
      </c>
      <c r="E1726" s="3" t="s">
        <v>15</v>
      </c>
      <c r="F1726" s="37">
        <v>1.7324999999999999</v>
      </c>
      <c r="G1726" s="3" t="s">
        <v>77</v>
      </c>
      <c r="H1726" s="3" t="s">
        <v>29</v>
      </c>
      <c r="I1726" s="37">
        <f>INDEX('Currency Master'!B:B,MATCH(A1726,'Currency Master'!A:A,0))</f>
        <v>83.03</v>
      </c>
      <c r="J1726" s="37">
        <f t="shared" si="104"/>
        <v>112779.22</v>
      </c>
      <c r="K1726" s="3" t="s">
        <v>16</v>
      </c>
      <c r="L1726" s="38">
        <v>0</v>
      </c>
      <c r="M1726" s="3"/>
      <c r="N1726" s="3">
        <v>2023</v>
      </c>
      <c r="O1726" s="3" t="s">
        <v>90</v>
      </c>
      <c r="P1726" s="3" t="s">
        <v>78</v>
      </c>
      <c r="Q1726" s="3" t="s">
        <v>99</v>
      </c>
    </row>
    <row r="1727" spans="1:17" hidden="1" x14ac:dyDescent="0.3">
      <c r="A1727" s="2">
        <v>45139</v>
      </c>
      <c r="B1727" s="3" t="s">
        <v>12</v>
      </c>
      <c r="C1727" s="3" t="s">
        <v>19</v>
      </c>
      <c r="D1727" s="3" t="s">
        <v>98</v>
      </c>
      <c r="E1727" s="3" t="s">
        <v>15</v>
      </c>
      <c r="F1727" s="37">
        <v>1.7324999999999999</v>
      </c>
      <c r="G1727" s="3" t="s">
        <v>77</v>
      </c>
      <c r="H1727" s="3" t="s">
        <v>29</v>
      </c>
      <c r="I1727" s="37">
        <f>INDEX('Currency Master'!B:B,MATCH(A1727,'Currency Master'!A:A,0))</f>
        <v>82.7</v>
      </c>
      <c r="J1727" s="37">
        <f t="shared" si="104"/>
        <v>112330.98</v>
      </c>
      <c r="K1727" s="3" t="s">
        <v>16</v>
      </c>
      <c r="L1727" s="38">
        <v>5.4878048780487798E-2</v>
      </c>
      <c r="M1727" s="3"/>
      <c r="N1727" s="3">
        <v>2023</v>
      </c>
      <c r="O1727" s="3" t="s">
        <v>91</v>
      </c>
      <c r="P1727" s="3" t="s">
        <v>78</v>
      </c>
      <c r="Q1727" s="3" t="s">
        <v>99</v>
      </c>
    </row>
    <row r="1728" spans="1:17" hidden="1" x14ac:dyDescent="0.3">
      <c r="A1728" s="2">
        <v>45108</v>
      </c>
      <c r="B1728" s="3" t="s">
        <v>12</v>
      </c>
      <c r="C1728" s="3" t="s">
        <v>19</v>
      </c>
      <c r="D1728" s="3" t="s">
        <v>98</v>
      </c>
      <c r="E1728" s="3" t="s">
        <v>15</v>
      </c>
      <c r="F1728" s="37">
        <v>1.639</v>
      </c>
      <c r="G1728" s="3" t="s">
        <v>77</v>
      </c>
      <c r="H1728" s="3" t="s">
        <v>29</v>
      </c>
      <c r="I1728" s="37">
        <f>INDEX('Currency Master'!B:B,MATCH(A1728,'Currency Master'!A:A,0))</f>
        <v>82.24</v>
      </c>
      <c r="J1728" s="37">
        <f t="shared" ref="J1728:J1780" si="105">ROUND(F1728*I1728*(355.62/0.453592),2)</f>
        <v>105677.58</v>
      </c>
      <c r="K1728" s="3" t="s">
        <v>16</v>
      </c>
      <c r="L1728" s="38">
        <v>5.1282051282051301E-2</v>
      </c>
      <c r="M1728" s="3"/>
      <c r="N1728" s="3">
        <v>2023</v>
      </c>
      <c r="O1728" s="3" t="s">
        <v>92</v>
      </c>
      <c r="P1728" s="3" t="s">
        <v>78</v>
      </c>
      <c r="Q1728" s="3" t="s">
        <v>99</v>
      </c>
    </row>
    <row r="1729" spans="1:17" hidden="1" x14ac:dyDescent="0.3">
      <c r="A1729" s="2">
        <v>45078</v>
      </c>
      <c r="B1729" s="3" t="s">
        <v>12</v>
      </c>
      <c r="C1729" s="3" t="s">
        <v>19</v>
      </c>
      <c r="D1729" s="3" t="s">
        <v>98</v>
      </c>
      <c r="E1729" s="3" t="s">
        <v>15</v>
      </c>
      <c r="F1729" s="37">
        <v>1.5625</v>
      </c>
      <c r="G1729" s="3" t="s">
        <v>77</v>
      </c>
      <c r="H1729" s="3" t="s">
        <v>29</v>
      </c>
      <c r="I1729" s="37">
        <f>INDEX('Currency Master'!B:B,MATCH(A1729,'Currency Master'!A:A,0))</f>
        <v>82.09</v>
      </c>
      <c r="J1729" s="37">
        <f t="shared" si="105"/>
        <v>100561.34</v>
      </c>
      <c r="K1729" s="3" t="s">
        <v>16</v>
      </c>
      <c r="L1729" s="38">
        <v>0</v>
      </c>
      <c r="M1729" s="3"/>
      <c r="N1729" s="3">
        <v>2023</v>
      </c>
      <c r="O1729" s="3" t="s">
        <v>93</v>
      </c>
      <c r="P1729" s="3" t="s">
        <v>78</v>
      </c>
      <c r="Q1729" s="3" t="s">
        <v>99</v>
      </c>
    </row>
    <row r="1730" spans="1:17" hidden="1" x14ac:dyDescent="0.3">
      <c r="A1730" s="2">
        <v>45047</v>
      </c>
      <c r="B1730" s="3" t="s">
        <v>12</v>
      </c>
      <c r="C1730" s="3" t="s">
        <v>19</v>
      </c>
      <c r="D1730" s="3" t="s">
        <v>98</v>
      </c>
      <c r="E1730" s="3" t="s">
        <v>15</v>
      </c>
      <c r="F1730" s="37">
        <v>1.5625</v>
      </c>
      <c r="G1730" s="3" t="s">
        <v>77</v>
      </c>
      <c r="H1730" s="3" t="s">
        <v>29</v>
      </c>
      <c r="I1730" s="37">
        <f>INDEX('Currency Master'!B:B,MATCH(A1730,'Currency Master'!A:A,0))</f>
        <v>82.68</v>
      </c>
      <c r="J1730" s="37">
        <f t="shared" si="105"/>
        <v>101284.1</v>
      </c>
      <c r="K1730" s="3" t="s">
        <v>16</v>
      </c>
      <c r="L1730" s="38">
        <v>-1.26582278481013E-2</v>
      </c>
      <c r="M1730" s="3"/>
      <c r="N1730" s="3">
        <v>2023</v>
      </c>
      <c r="O1730" s="3" t="s">
        <v>94</v>
      </c>
      <c r="P1730" s="3" t="s">
        <v>78</v>
      </c>
      <c r="Q1730" s="3" t="s">
        <v>99</v>
      </c>
    </row>
    <row r="1731" spans="1:17" hidden="1" x14ac:dyDescent="0.3">
      <c r="A1731" s="2">
        <v>45017</v>
      </c>
      <c r="B1731" s="3" t="s">
        <v>12</v>
      </c>
      <c r="C1731" s="3" t="s">
        <v>19</v>
      </c>
      <c r="D1731" s="3" t="s">
        <v>98</v>
      </c>
      <c r="E1731" s="3" t="s">
        <v>15</v>
      </c>
      <c r="F1731" s="37">
        <v>1.5791666600000001</v>
      </c>
      <c r="G1731" s="3" t="s">
        <v>77</v>
      </c>
      <c r="H1731" s="3" t="s">
        <v>29</v>
      </c>
      <c r="I1731" s="37">
        <f>INDEX('Currency Master'!B:B,MATCH(A1731,'Currency Master'!A:A,0))</f>
        <v>82.72</v>
      </c>
      <c r="J1731" s="37">
        <f t="shared" si="105"/>
        <v>102413.99</v>
      </c>
      <c r="K1731" s="3" t="s">
        <v>16</v>
      </c>
      <c r="L1731" s="38">
        <v>-0.16402116402116398</v>
      </c>
      <c r="M1731" s="3"/>
      <c r="N1731" s="3">
        <v>2023</v>
      </c>
      <c r="O1731" s="3" t="s">
        <v>95</v>
      </c>
      <c r="P1731" s="3" t="s">
        <v>78</v>
      </c>
      <c r="Q1731" s="3" t="s">
        <v>99</v>
      </c>
    </row>
    <row r="1732" spans="1:17" hidden="1" x14ac:dyDescent="0.3">
      <c r="A1732" s="2">
        <v>44986</v>
      </c>
      <c r="B1732" s="3" t="s">
        <v>12</v>
      </c>
      <c r="C1732" s="3" t="s">
        <v>19</v>
      </c>
      <c r="D1732" s="3" t="s">
        <v>98</v>
      </c>
      <c r="E1732" s="3" t="s">
        <v>15</v>
      </c>
      <c r="F1732" s="37">
        <v>1.8946739100000001</v>
      </c>
      <c r="G1732" s="3" t="s">
        <v>77</v>
      </c>
      <c r="H1732" s="3" t="s">
        <v>29</v>
      </c>
      <c r="I1732" s="37">
        <f>INDEX('Currency Master'!B:B,MATCH(A1732,'Currency Master'!A:A,0))</f>
        <v>82.16</v>
      </c>
      <c r="J1732" s="37">
        <f t="shared" si="105"/>
        <v>122043.79</v>
      </c>
      <c r="K1732" s="3" t="s">
        <v>16</v>
      </c>
      <c r="L1732" s="38">
        <v>-0.11267605633802801</v>
      </c>
      <c r="M1732" s="3"/>
      <c r="N1732" s="3">
        <v>2023</v>
      </c>
      <c r="O1732" s="3" t="s">
        <v>96</v>
      </c>
      <c r="P1732" s="3" t="s">
        <v>78</v>
      </c>
      <c r="Q1732" s="3" t="s">
        <v>99</v>
      </c>
    </row>
    <row r="1733" spans="1:17" hidden="1" x14ac:dyDescent="0.3">
      <c r="A1733" s="2">
        <v>44958</v>
      </c>
      <c r="B1733" s="3" t="s">
        <v>12</v>
      </c>
      <c r="C1733" s="3" t="s">
        <v>19</v>
      </c>
      <c r="D1733" s="3" t="s">
        <v>98</v>
      </c>
      <c r="E1733" s="3" t="s">
        <v>15</v>
      </c>
      <c r="F1733" s="37">
        <v>2.1346052599999998</v>
      </c>
      <c r="G1733" s="3" t="s">
        <v>77</v>
      </c>
      <c r="H1733" s="3" t="s">
        <v>29</v>
      </c>
      <c r="I1733" s="37">
        <f>INDEX('Currency Master'!B:B,MATCH(A1733,'Currency Master'!A:A,0))</f>
        <v>82.64</v>
      </c>
      <c r="J1733" s="37">
        <f t="shared" si="105"/>
        <v>138302.07</v>
      </c>
      <c r="K1733" s="3" t="s">
        <v>16</v>
      </c>
      <c r="L1733" s="38">
        <v>-0.16796875</v>
      </c>
      <c r="M1733" s="3"/>
      <c r="N1733" s="3">
        <v>2023</v>
      </c>
      <c r="O1733" s="3" t="s">
        <v>97</v>
      </c>
      <c r="P1733" s="3" t="s">
        <v>78</v>
      </c>
      <c r="Q1733" s="3" t="s">
        <v>99</v>
      </c>
    </row>
    <row r="1734" spans="1:17" hidden="1" x14ac:dyDescent="0.3">
      <c r="A1734" s="2">
        <v>44927</v>
      </c>
      <c r="B1734" s="3" t="s">
        <v>12</v>
      </c>
      <c r="C1734" s="3" t="s">
        <v>19</v>
      </c>
      <c r="D1734" s="3" t="s">
        <v>98</v>
      </c>
      <c r="E1734" s="3" t="s">
        <v>15</v>
      </c>
      <c r="F1734" s="37">
        <v>2.55613636</v>
      </c>
      <c r="G1734" s="3" t="s">
        <v>77</v>
      </c>
      <c r="H1734" s="3" t="s">
        <v>29</v>
      </c>
      <c r="I1734" s="37">
        <f>INDEX('Currency Master'!B:B,MATCH(A1734,'Currency Master'!A:A,0))</f>
        <v>81.73</v>
      </c>
      <c r="J1734" s="37">
        <f t="shared" si="105"/>
        <v>163789.59</v>
      </c>
      <c r="K1734" s="3" t="s">
        <v>16</v>
      </c>
      <c r="L1734" s="38">
        <v>-4.8327137546468404E-2</v>
      </c>
      <c r="M1734" s="3"/>
      <c r="N1734" s="3">
        <v>2023</v>
      </c>
      <c r="O1734" s="3" t="s">
        <v>85</v>
      </c>
      <c r="P1734" s="3" t="s">
        <v>78</v>
      </c>
      <c r="Q1734" s="3" t="s">
        <v>99</v>
      </c>
    </row>
    <row r="1735" spans="1:17" hidden="1" x14ac:dyDescent="0.3">
      <c r="A1735" s="2">
        <v>44896</v>
      </c>
      <c r="B1735" s="3" t="s">
        <v>12</v>
      </c>
      <c r="C1735" s="3" t="s">
        <v>19</v>
      </c>
      <c r="D1735" s="3" t="s">
        <v>98</v>
      </c>
      <c r="E1735" s="3" t="s">
        <v>15</v>
      </c>
      <c r="F1735" s="37">
        <v>2.6924999999999999</v>
      </c>
      <c r="G1735" s="3" t="s">
        <v>77</v>
      </c>
      <c r="H1735" s="3" t="s">
        <v>29</v>
      </c>
      <c r="I1735" s="37">
        <f>INDEX('Currency Master'!B:B,MATCH(A1735,'Currency Master'!A:A,0))</f>
        <v>82.479831000000004</v>
      </c>
      <c r="J1735" s="37">
        <f t="shared" si="105"/>
        <v>174110.22</v>
      </c>
      <c r="K1735" s="3" t="s">
        <v>16</v>
      </c>
      <c r="L1735" s="38">
        <v>-3.5842293906809999E-2</v>
      </c>
      <c r="M1735" s="3"/>
      <c r="N1735" s="3">
        <v>2022</v>
      </c>
      <c r="O1735" s="3" t="s">
        <v>87</v>
      </c>
      <c r="P1735" s="3" t="s">
        <v>78</v>
      </c>
      <c r="Q1735" s="3" t="s">
        <v>99</v>
      </c>
    </row>
    <row r="1736" spans="1:17" hidden="1" x14ac:dyDescent="0.3">
      <c r="A1736" s="2">
        <v>44866</v>
      </c>
      <c r="B1736" s="3" t="s">
        <v>12</v>
      </c>
      <c r="C1736" s="3" t="s">
        <v>19</v>
      </c>
      <c r="D1736" s="3" t="s">
        <v>98</v>
      </c>
      <c r="E1736" s="3" t="s">
        <v>15</v>
      </c>
      <c r="F1736" s="37">
        <v>2.7925</v>
      </c>
      <c r="G1736" s="3" t="s">
        <v>77</v>
      </c>
      <c r="H1736" s="3" t="s">
        <v>29</v>
      </c>
      <c r="I1736" s="37">
        <f>INDEX('Currency Master'!B:B,MATCH(A1736,'Currency Master'!A:A,0))</f>
        <v>81.701479000000006</v>
      </c>
      <c r="J1736" s="37">
        <f t="shared" si="105"/>
        <v>178872.63</v>
      </c>
      <c r="K1736" s="3" t="s">
        <v>16</v>
      </c>
      <c r="L1736" s="38">
        <v>-3.4602076124567498E-2</v>
      </c>
      <c r="M1736" s="3"/>
      <c r="N1736" s="3">
        <v>2022</v>
      </c>
      <c r="O1736" s="3" t="s">
        <v>88</v>
      </c>
      <c r="P1736" s="3" t="s">
        <v>78</v>
      </c>
      <c r="Q1736" s="3" t="s">
        <v>99</v>
      </c>
    </row>
    <row r="1737" spans="1:17" hidden="1" x14ac:dyDescent="0.3">
      <c r="A1737" s="2">
        <v>44835</v>
      </c>
      <c r="B1737" s="3" t="s">
        <v>12</v>
      </c>
      <c r="C1737" s="3" t="s">
        <v>19</v>
      </c>
      <c r="D1737" s="3" t="s">
        <v>98</v>
      </c>
      <c r="E1737" s="3" t="s">
        <v>15</v>
      </c>
      <c r="F1737" s="37">
        <v>2.8925000000000001</v>
      </c>
      <c r="G1737" s="3" t="s">
        <v>77</v>
      </c>
      <c r="H1737" s="3" t="s">
        <v>29</v>
      </c>
      <c r="I1737" s="37">
        <f>INDEX('Currency Master'!B:B,MATCH(A1737,'Currency Master'!A:A,0))</f>
        <v>82.354363000000006</v>
      </c>
      <c r="J1737" s="37">
        <f t="shared" si="105"/>
        <v>186758.67</v>
      </c>
      <c r="K1737" s="3" t="s">
        <v>16</v>
      </c>
      <c r="L1737" s="38">
        <v>0</v>
      </c>
      <c r="M1737" s="3"/>
      <c r="N1737" s="3">
        <v>2022</v>
      </c>
      <c r="O1737" s="3" t="s">
        <v>89</v>
      </c>
      <c r="P1737" s="3" t="s">
        <v>78</v>
      </c>
      <c r="Q1737" s="3" t="s">
        <v>99</v>
      </c>
    </row>
    <row r="1738" spans="1:17" hidden="1" x14ac:dyDescent="0.3">
      <c r="A1738" s="2">
        <v>44805</v>
      </c>
      <c r="B1738" s="3" t="s">
        <v>12</v>
      </c>
      <c r="C1738" s="3" t="s">
        <v>19</v>
      </c>
      <c r="D1738" s="3" t="s">
        <v>98</v>
      </c>
      <c r="E1738" s="3" t="s">
        <v>15</v>
      </c>
      <c r="F1738" s="37">
        <v>2.8925000000000001</v>
      </c>
      <c r="G1738" s="3" t="s">
        <v>77</v>
      </c>
      <c r="H1738" s="3" t="s">
        <v>29</v>
      </c>
      <c r="I1738" s="37">
        <f>INDEX('Currency Master'!B:B,MATCH(A1738,'Currency Master'!A:A,0))</f>
        <v>80.240606</v>
      </c>
      <c r="J1738" s="37">
        <f t="shared" si="105"/>
        <v>181965.21</v>
      </c>
      <c r="K1738" s="3" t="s">
        <v>16</v>
      </c>
      <c r="L1738" s="38">
        <v>0</v>
      </c>
      <c r="M1738" s="3"/>
      <c r="N1738" s="3">
        <v>2022</v>
      </c>
      <c r="O1738" s="3" t="s">
        <v>90</v>
      </c>
      <c r="P1738" s="3" t="s">
        <v>78</v>
      </c>
      <c r="Q1738" s="3" t="s">
        <v>99</v>
      </c>
    </row>
    <row r="1739" spans="1:17" hidden="1" x14ac:dyDescent="0.3">
      <c r="A1739" s="2">
        <v>44774</v>
      </c>
      <c r="B1739" s="3" t="s">
        <v>12</v>
      </c>
      <c r="C1739" s="3" t="s">
        <v>19</v>
      </c>
      <c r="D1739" s="3" t="s">
        <v>98</v>
      </c>
      <c r="E1739" s="3" t="s">
        <v>15</v>
      </c>
      <c r="F1739" s="37">
        <v>2.8925000000000001</v>
      </c>
      <c r="G1739" s="3" t="s">
        <v>77</v>
      </c>
      <c r="H1739" s="3" t="s">
        <v>29</v>
      </c>
      <c r="I1739" s="37">
        <f>INDEX('Currency Master'!B:B,MATCH(A1739,'Currency Master'!A:A,0))</f>
        <v>79.536995000000005</v>
      </c>
      <c r="J1739" s="37">
        <f t="shared" si="105"/>
        <v>180369.6</v>
      </c>
      <c r="K1739" s="3" t="s">
        <v>16</v>
      </c>
      <c r="L1739" s="38">
        <v>0</v>
      </c>
      <c r="M1739" s="3"/>
      <c r="N1739" s="3">
        <v>2022</v>
      </c>
      <c r="O1739" s="3" t="s">
        <v>91</v>
      </c>
      <c r="P1739" s="3" t="s">
        <v>78</v>
      </c>
      <c r="Q1739" s="3" t="s">
        <v>99</v>
      </c>
    </row>
    <row r="1740" spans="1:17" hidden="1" x14ac:dyDescent="0.3">
      <c r="A1740" s="2">
        <v>44743</v>
      </c>
      <c r="B1740" s="3" t="s">
        <v>12</v>
      </c>
      <c r="C1740" s="3" t="s">
        <v>19</v>
      </c>
      <c r="D1740" s="3" t="s">
        <v>98</v>
      </c>
      <c r="E1740" s="3" t="s">
        <v>15</v>
      </c>
      <c r="F1740" s="37">
        <v>2.8925000000000001</v>
      </c>
      <c r="G1740" s="3" t="s">
        <v>77</v>
      </c>
      <c r="H1740" s="3" t="s">
        <v>29</v>
      </c>
      <c r="I1740" s="37">
        <f>INDEX('Currency Master'!B:B,MATCH(A1740,'Currency Master'!A:A,0))</f>
        <v>79.596326000000005</v>
      </c>
      <c r="J1740" s="37">
        <f t="shared" si="105"/>
        <v>180504.15</v>
      </c>
      <c r="K1740" s="3" t="s">
        <v>16</v>
      </c>
      <c r="L1740" s="38">
        <v>0</v>
      </c>
      <c r="M1740" s="3"/>
      <c r="N1740" s="3">
        <v>2022</v>
      </c>
      <c r="O1740" s="3" t="s">
        <v>92</v>
      </c>
      <c r="P1740" s="3" t="s">
        <v>78</v>
      </c>
      <c r="Q1740" s="3" t="s">
        <v>99</v>
      </c>
    </row>
    <row r="1741" spans="1:17" hidden="1" x14ac:dyDescent="0.3">
      <c r="A1741" s="2">
        <v>44713</v>
      </c>
      <c r="B1741" s="3" t="s">
        <v>12</v>
      </c>
      <c r="C1741" s="3" t="s">
        <v>19</v>
      </c>
      <c r="D1741" s="3" t="s">
        <v>98</v>
      </c>
      <c r="E1741" s="3" t="s">
        <v>15</v>
      </c>
      <c r="F1741" s="37">
        <v>2.8925000000000001</v>
      </c>
      <c r="G1741" s="3" t="s">
        <v>77</v>
      </c>
      <c r="H1741" s="3" t="s">
        <v>29</v>
      </c>
      <c r="I1741" s="37">
        <f>INDEX('Currency Master'!B:B,MATCH(A1741,'Currency Master'!A:A,0))</f>
        <v>78.095657000000003</v>
      </c>
      <c r="J1741" s="37">
        <f t="shared" si="105"/>
        <v>177101.01</v>
      </c>
      <c r="K1741" s="3" t="s">
        <v>16</v>
      </c>
      <c r="L1741" s="38">
        <v>0</v>
      </c>
      <c r="M1741" s="3"/>
      <c r="N1741" s="3">
        <v>2022</v>
      </c>
      <c r="O1741" s="3" t="s">
        <v>93</v>
      </c>
      <c r="P1741" s="3" t="s">
        <v>78</v>
      </c>
      <c r="Q1741" s="3" t="s">
        <v>99</v>
      </c>
    </row>
    <row r="1742" spans="1:17" hidden="1" x14ac:dyDescent="0.3">
      <c r="A1742" s="2">
        <v>44682</v>
      </c>
      <c r="B1742" s="3" t="s">
        <v>12</v>
      </c>
      <c r="C1742" s="3" t="s">
        <v>19</v>
      </c>
      <c r="D1742" s="3" t="s">
        <v>98</v>
      </c>
      <c r="E1742" s="3" t="s">
        <v>15</v>
      </c>
      <c r="F1742" s="37">
        <v>2.8925000000000001</v>
      </c>
      <c r="G1742" s="3" t="s">
        <v>77</v>
      </c>
      <c r="H1742" s="3" t="s">
        <v>29</v>
      </c>
      <c r="I1742" s="37">
        <f>INDEX('Currency Master'!B:B,MATCH(A1742,'Currency Master'!A:A,0))</f>
        <v>77.309526000000005</v>
      </c>
      <c r="J1742" s="37">
        <f t="shared" si="105"/>
        <v>175318.27</v>
      </c>
      <c r="K1742" s="3" t="s">
        <v>16</v>
      </c>
      <c r="L1742" s="38">
        <v>0</v>
      </c>
      <c r="M1742" s="3"/>
      <c r="N1742" s="3">
        <v>2022</v>
      </c>
      <c r="O1742" s="3" t="s">
        <v>94</v>
      </c>
      <c r="P1742" s="3" t="s">
        <v>78</v>
      </c>
      <c r="Q1742" s="3" t="s">
        <v>99</v>
      </c>
    </row>
    <row r="1743" spans="1:17" hidden="1" x14ac:dyDescent="0.3">
      <c r="A1743" s="2">
        <v>44652</v>
      </c>
      <c r="B1743" s="3" t="s">
        <v>12</v>
      </c>
      <c r="C1743" s="3" t="s">
        <v>19</v>
      </c>
      <c r="D1743" s="3" t="s">
        <v>98</v>
      </c>
      <c r="E1743" s="3" t="s">
        <v>15</v>
      </c>
      <c r="F1743" s="37">
        <v>2.8925000000000001</v>
      </c>
      <c r="G1743" s="3" t="s">
        <v>77</v>
      </c>
      <c r="H1743" s="3" t="s">
        <v>29</v>
      </c>
      <c r="I1743" s="37">
        <f>INDEX('Currency Master'!B:B,MATCH(A1743,'Currency Master'!A:A,0))</f>
        <v>76.171184999999994</v>
      </c>
      <c r="J1743" s="37">
        <f t="shared" si="105"/>
        <v>172736.8</v>
      </c>
      <c r="K1743" s="3" t="s">
        <v>16</v>
      </c>
      <c r="L1743" s="38">
        <v>0</v>
      </c>
      <c r="M1743" s="3"/>
      <c r="N1743" s="3">
        <v>2022</v>
      </c>
      <c r="O1743" s="3" t="s">
        <v>95</v>
      </c>
      <c r="P1743" s="3" t="s">
        <v>78</v>
      </c>
      <c r="Q1743" s="3" t="s">
        <v>99</v>
      </c>
    </row>
    <row r="1744" spans="1:17" hidden="1" x14ac:dyDescent="0.3">
      <c r="A1744" s="2">
        <v>44621</v>
      </c>
      <c r="B1744" s="3" t="s">
        <v>12</v>
      </c>
      <c r="C1744" s="3" t="s">
        <v>19</v>
      </c>
      <c r="D1744" s="3" t="s">
        <v>98</v>
      </c>
      <c r="E1744" s="3" t="s">
        <v>15</v>
      </c>
      <c r="F1744" s="37">
        <v>2.8925000000000001</v>
      </c>
      <c r="G1744" s="3" t="s">
        <v>77</v>
      </c>
      <c r="H1744" s="3" t="s">
        <v>29</v>
      </c>
      <c r="I1744" s="37">
        <f>INDEX('Currency Master'!B:B,MATCH(A1744,'Currency Master'!A:A,0))</f>
        <v>76.228148000000004</v>
      </c>
      <c r="J1744" s="37">
        <f t="shared" si="105"/>
        <v>172865.98</v>
      </c>
      <c r="K1744" s="3" t="s">
        <v>16</v>
      </c>
      <c r="L1744" s="38">
        <v>0</v>
      </c>
      <c r="M1744" s="3"/>
      <c r="N1744" s="3">
        <v>2022</v>
      </c>
      <c r="O1744" s="3" t="s">
        <v>96</v>
      </c>
      <c r="P1744" s="3" t="s">
        <v>78</v>
      </c>
      <c r="Q1744" s="3" t="s">
        <v>99</v>
      </c>
    </row>
    <row r="1745" spans="1:17" hidden="1" x14ac:dyDescent="0.3">
      <c r="A1745" s="2">
        <v>44593</v>
      </c>
      <c r="B1745" s="3" t="s">
        <v>12</v>
      </c>
      <c r="C1745" s="3" t="s">
        <v>19</v>
      </c>
      <c r="D1745" s="3" t="s">
        <v>98</v>
      </c>
      <c r="E1745" s="3" t="s">
        <v>15</v>
      </c>
      <c r="F1745" s="37">
        <v>2.8925000000000001</v>
      </c>
      <c r="G1745" s="3" t="s">
        <v>77</v>
      </c>
      <c r="H1745" s="3" t="s">
        <v>29</v>
      </c>
      <c r="I1745" s="37">
        <f>INDEX('Currency Master'!B:B,MATCH(A1745,'Currency Master'!A:A,0))</f>
        <v>74.971907000000002</v>
      </c>
      <c r="J1745" s="37">
        <f t="shared" si="105"/>
        <v>170017.14</v>
      </c>
      <c r="K1745" s="3" t="s">
        <v>16</v>
      </c>
      <c r="L1745" s="38">
        <v>1.7605633802816899E-2</v>
      </c>
      <c r="M1745" s="3"/>
      <c r="N1745" s="3">
        <v>2022</v>
      </c>
      <c r="O1745" s="3" t="s">
        <v>97</v>
      </c>
      <c r="P1745" s="3" t="s">
        <v>78</v>
      </c>
      <c r="Q1745" s="3" t="s">
        <v>99</v>
      </c>
    </row>
    <row r="1746" spans="1:17" hidden="1" x14ac:dyDescent="0.3">
      <c r="A1746" s="2">
        <v>44562</v>
      </c>
      <c r="B1746" s="3" t="s">
        <v>12</v>
      </c>
      <c r="C1746" s="3" t="s">
        <v>19</v>
      </c>
      <c r="D1746" s="3" t="s">
        <v>98</v>
      </c>
      <c r="E1746" s="3" t="s">
        <v>15</v>
      </c>
      <c r="F1746" s="37">
        <v>2.8401190399999998</v>
      </c>
      <c r="G1746" s="3" t="s">
        <v>77</v>
      </c>
      <c r="H1746" s="3" t="s">
        <v>29</v>
      </c>
      <c r="I1746" s="37">
        <f>INDEX('Currency Master'!B:B,MATCH(A1746,'Currency Master'!A:A,0))</f>
        <v>74.444012000000001</v>
      </c>
      <c r="J1746" s="37">
        <f t="shared" si="105"/>
        <v>165762.81</v>
      </c>
      <c r="K1746" s="3" t="s">
        <v>16</v>
      </c>
      <c r="L1746" s="38">
        <v>2.5270758122743698E-2</v>
      </c>
      <c r="M1746" s="3"/>
      <c r="N1746" s="3">
        <v>2022</v>
      </c>
      <c r="O1746" s="3" t="s">
        <v>85</v>
      </c>
      <c r="P1746" s="3" t="s">
        <v>78</v>
      </c>
      <c r="Q1746" s="3" t="s">
        <v>99</v>
      </c>
    </row>
    <row r="1747" spans="1:17" hidden="1" x14ac:dyDescent="0.3">
      <c r="A1747" s="2">
        <v>44531</v>
      </c>
      <c r="B1747" s="3" t="s">
        <v>12</v>
      </c>
      <c r="C1747" s="3" t="s">
        <v>19</v>
      </c>
      <c r="D1747" s="3" t="s">
        <v>98</v>
      </c>
      <c r="E1747" s="3" t="s">
        <v>15</v>
      </c>
      <c r="F1747" s="37">
        <v>2.7716304300000001</v>
      </c>
      <c r="G1747" s="3" t="s">
        <v>77</v>
      </c>
      <c r="H1747" s="3" t="s">
        <v>29</v>
      </c>
      <c r="I1747" s="37">
        <f>INDEX('Currency Master'!B:B,MATCH(A1747,'Currency Master'!A:A,0))</f>
        <v>75.352399000000005</v>
      </c>
      <c r="J1747" s="37">
        <f t="shared" si="105"/>
        <v>163739.4</v>
      </c>
      <c r="K1747" s="3" t="s">
        <v>16</v>
      </c>
      <c r="L1747" s="38">
        <v>0.214912280701754</v>
      </c>
      <c r="M1747" s="3"/>
      <c r="N1747" s="3">
        <v>2021</v>
      </c>
      <c r="O1747" s="3" t="s">
        <v>87</v>
      </c>
      <c r="P1747" s="3" t="s">
        <v>78</v>
      </c>
      <c r="Q1747" s="3" t="s">
        <v>99</v>
      </c>
    </row>
    <row r="1748" spans="1:17" hidden="1" x14ac:dyDescent="0.3">
      <c r="A1748" s="2">
        <v>44501</v>
      </c>
      <c r="B1748" s="3" t="s">
        <v>12</v>
      </c>
      <c r="C1748" s="3" t="s">
        <v>19</v>
      </c>
      <c r="D1748" s="3" t="s">
        <v>98</v>
      </c>
      <c r="E1748" s="3" t="s">
        <v>15</v>
      </c>
      <c r="F1748" s="37">
        <v>2.2843181800000001</v>
      </c>
      <c r="G1748" s="3" t="s">
        <v>77</v>
      </c>
      <c r="H1748" s="3" t="s">
        <v>29</v>
      </c>
      <c r="I1748" s="37">
        <f>INDEX('Currency Master'!B:B,MATCH(A1748,'Currency Master'!A:A,0))</f>
        <v>74.473561000000004</v>
      </c>
      <c r="J1748" s="37">
        <f t="shared" si="105"/>
        <v>133376.56</v>
      </c>
      <c r="K1748" s="3" t="s">
        <v>16</v>
      </c>
      <c r="L1748" s="38">
        <v>0.29545454545454503</v>
      </c>
      <c r="M1748" s="3"/>
      <c r="N1748" s="3">
        <v>2021</v>
      </c>
      <c r="O1748" s="3" t="s">
        <v>88</v>
      </c>
      <c r="P1748" s="3" t="s">
        <v>78</v>
      </c>
      <c r="Q1748" s="3" t="s">
        <v>99</v>
      </c>
    </row>
    <row r="1749" spans="1:17" hidden="1" x14ac:dyDescent="0.3">
      <c r="A1749" s="2">
        <v>44470</v>
      </c>
      <c r="B1749" s="3" t="s">
        <v>12</v>
      </c>
      <c r="C1749" s="3" t="s">
        <v>19</v>
      </c>
      <c r="D1749" s="3" t="s">
        <v>98</v>
      </c>
      <c r="E1749" s="3" t="s">
        <v>15</v>
      </c>
      <c r="F1749" s="37">
        <v>1.7629761900000001</v>
      </c>
      <c r="G1749" s="3" t="s">
        <v>77</v>
      </c>
      <c r="H1749" s="3" t="s">
        <v>29</v>
      </c>
      <c r="I1749" s="37">
        <f>INDEX('Currency Master'!B:B,MATCH(A1749,'Currency Master'!A:A,0))</f>
        <v>74.953777000000002</v>
      </c>
      <c r="J1749" s="37">
        <f t="shared" si="105"/>
        <v>103600.24</v>
      </c>
      <c r="K1749" s="3" t="s">
        <v>16</v>
      </c>
      <c r="L1749" s="38">
        <v>0.14285714285714302</v>
      </c>
      <c r="M1749" s="3"/>
      <c r="N1749" s="3">
        <v>2021</v>
      </c>
      <c r="O1749" s="3" t="s">
        <v>89</v>
      </c>
      <c r="P1749" s="3" t="s">
        <v>78</v>
      </c>
      <c r="Q1749" s="3" t="s">
        <v>99</v>
      </c>
    </row>
    <row r="1750" spans="1:17" hidden="1" x14ac:dyDescent="0.3">
      <c r="A1750" s="2">
        <v>44440</v>
      </c>
      <c r="B1750" s="3" t="s">
        <v>12</v>
      </c>
      <c r="C1750" s="3" t="s">
        <v>19</v>
      </c>
      <c r="D1750" s="3" t="s">
        <v>98</v>
      </c>
      <c r="E1750" s="3" t="s">
        <v>15</v>
      </c>
      <c r="F1750" s="37">
        <v>1.5375000000000001</v>
      </c>
      <c r="G1750" s="3" t="s">
        <v>77</v>
      </c>
      <c r="H1750" s="3" t="s">
        <v>29</v>
      </c>
      <c r="I1750" s="37">
        <f>INDEX('Currency Master'!B:B,MATCH(A1750,'Currency Master'!A:A,0))</f>
        <v>73.604971000000006</v>
      </c>
      <c r="J1750" s="37">
        <f t="shared" si="105"/>
        <v>88724.4</v>
      </c>
      <c r="K1750" s="3" t="s">
        <v>16</v>
      </c>
      <c r="L1750" s="38">
        <v>0.1</v>
      </c>
      <c r="M1750" s="3"/>
      <c r="N1750" s="3">
        <v>2021</v>
      </c>
      <c r="O1750" s="3" t="s">
        <v>90</v>
      </c>
      <c r="P1750" s="3" t="s">
        <v>78</v>
      </c>
      <c r="Q1750" s="3" t="s">
        <v>99</v>
      </c>
    </row>
    <row r="1751" spans="1:17" hidden="1" x14ac:dyDescent="0.3">
      <c r="A1751" s="2">
        <v>44409</v>
      </c>
      <c r="B1751" s="3" t="s">
        <v>12</v>
      </c>
      <c r="C1751" s="3" t="s">
        <v>19</v>
      </c>
      <c r="D1751" s="3" t="s">
        <v>98</v>
      </c>
      <c r="E1751" s="3" t="s">
        <v>15</v>
      </c>
      <c r="F1751" s="37">
        <v>1.4025000000000001</v>
      </c>
      <c r="G1751" s="3" t="s">
        <v>77</v>
      </c>
      <c r="H1751" s="3" t="s">
        <v>29</v>
      </c>
      <c r="I1751" s="37">
        <f>INDEX('Currency Master'!B:B,MATCH(A1751,'Currency Master'!A:A,0))</f>
        <v>74.124448999999998</v>
      </c>
      <c r="J1751" s="37">
        <f t="shared" si="105"/>
        <v>81505.17</v>
      </c>
      <c r="K1751" s="3" t="s">
        <v>16</v>
      </c>
      <c r="L1751" s="38">
        <v>2.9411764705882401E-2</v>
      </c>
      <c r="M1751" s="3"/>
      <c r="N1751" s="3">
        <v>2021</v>
      </c>
      <c r="O1751" s="3" t="s">
        <v>91</v>
      </c>
      <c r="P1751" s="3" t="s">
        <v>78</v>
      </c>
      <c r="Q1751" s="3" t="s">
        <v>99</v>
      </c>
    </row>
    <row r="1752" spans="1:17" hidden="1" x14ac:dyDescent="0.3">
      <c r="A1752" s="2">
        <v>44378</v>
      </c>
      <c r="B1752" s="3" t="s">
        <v>12</v>
      </c>
      <c r="C1752" s="3" t="s">
        <v>19</v>
      </c>
      <c r="D1752" s="3" t="s">
        <v>98</v>
      </c>
      <c r="E1752" s="3" t="s">
        <v>15</v>
      </c>
      <c r="F1752" s="37">
        <v>1.3615908999999999</v>
      </c>
      <c r="G1752" s="3" t="s">
        <v>77</v>
      </c>
      <c r="H1752" s="3" t="s">
        <v>29</v>
      </c>
      <c r="I1752" s="37">
        <f>INDEX('Currency Master'!B:B,MATCH(A1752,'Currency Master'!A:A,0))</f>
        <v>74.534734999999998</v>
      </c>
      <c r="J1752" s="37">
        <f t="shared" si="105"/>
        <v>79565.75</v>
      </c>
      <c r="K1752" s="3" t="s">
        <v>16</v>
      </c>
      <c r="L1752" s="38">
        <v>4.6153846153846094E-2</v>
      </c>
      <c r="M1752" s="3"/>
      <c r="N1752" s="3">
        <v>2021</v>
      </c>
      <c r="O1752" s="3" t="s">
        <v>92</v>
      </c>
      <c r="P1752" s="3" t="s">
        <v>78</v>
      </c>
      <c r="Q1752" s="3" t="s">
        <v>99</v>
      </c>
    </row>
    <row r="1753" spans="1:17" hidden="1" x14ac:dyDescent="0.3">
      <c r="A1753" s="2">
        <v>44348</v>
      </c>
      <c r="B1753" s="3" t="s">
        <v>12</v>
      </c>
      <c r="C1753" s="3" t="s">
        <v>19</v>
      </c>
      <c r="D1753" s="3" t="s">
        <v>98</v>
      </c>
      <c r="E1753" s="3" t="s">
        <v>15</v>
      </c>
      <c r="F1753" s="37">
        <v>1.3025</v>
      </c>
      <c r="G1753" s="3" t="s">
        <v>77</v>
      </c>
      <c r="H1753" s="3" t="s">
        <v>29</v>
      </c>
      <c r="I1753" s="37">
        <f>INDEX('Currency Master'!B:B,MATCH(A1753,'Currency Master'!A:A,0))</f>
        <v>73.575495000000004</v>
      </c>
      <c r="J1753" s="37">
        <f t="shared" si="105"/>
        <v>75133.17</v>
      </c>
      <c r="K1753" s="3" t="s">
        <v>16</v>
      </c>
      <c r="L1753" s="38">
        <v>0</v>
      </c>
      <c r="M1753" s="3"/>
      <c r="N1753" s="3">
        <v>2021</v>
      </c>
      <c r="O1753" s="3" t="s">
        <v>93</v>
      </c>
      <c r="P1753" s="3" t="s">
        <v>78</v>
      </c>
      <c r="Q1753" s="3" t="s">
        <v>99</v>
      </c>
    </row>
    <row r="1754" spans="1:17" hidden="1" x14ac:dyDescent="0.3">
      <c r="A1754" s="2">
        <v>44317</v>
      </c>
      <c r="B1754" s="3" t="s">
        <v>12</v>
      </c>
      <c r="C1754" s="3" t="s">
        <v>19</v>
      </c>
      <c r="D1754" s="3" t="s">
        <v>98</v>
      </c>
      <c r="E1754" s="3" t="s">
        <v>15</v>
      </c>
      <c r="F1754" s="37">
        <v>1.3025</v>
      </c>
      <c r="G1754" s="3" t="s">
        <v>77</v>
      </c>
      <c r="H1754" s="3" t="s">
        <v>29</v>
      </c>
      <c r="I1754" s="37">
        <f>INDEX('Currency Master'!B:B,MATCH(A1754,'Currency Master'!A:A,0))</f>
        <v>73.209689999999995</v>
      </c>
      <c r="J1754" s="37">
        <f t="shared" si="105"/>
        <v>74759.62</v>
      </c>
      <c r="K1754" s="3" t="s">
        <v>16</v>
      </c>
      <c r="L1754" s="38">
        <v>2.3622047244094498E-2</v>
      </c>
      <c r="M1754" s="3"/>
      <c r="N1754" s="3">
        <v>2021</v>
      </c>
      <c r="O1754" s="3" t="s">
        <v>94</v>
      </c>
      <c r="P1754" s="3" t="s">
        <v>78</v>
      </c>
      <c r="Q1754" s="3" t="s">
        <v>99</v>
      </c>
    </row>
    <row r="1755" spans="1:17" hidden="1" x14ac:dyDescent="0.3">
      <c r="A1755" s="2">
        <v>44287</v>
      </c>
      <c r="B1755" s="3" t="s">
        <v>12</v>
      </c>
      <c r="C1755" s="3" t="s">
        <v>19</v>
      </c>
      <c r="D1755" s="3" t="s">
        <v>98</v>
      </c>
      <c r="E1755" s="3" t="s">
        <v>15</v>
      </c>
      <c r="F1755" s="37">
        <v>1.2725</v>
      </c>
      <c r="G1755" s="3" t="s">
        <v>77</v>
      </c>
      <c r="H1755" s="3" t="s">
        <v>29</v>
      </c>
      <c r="I1755" s="37">
        <f>INDEX('Currency Master'!B:B,MATCH(A1755,'Currency Master'!A:A,0))</f>
        <v>74.645910000000001</v>
      </c>
      <c r="J1755" s="37">
        <f t="shared" si="105"/>
        <v>74470.559999999998</v>
      </c>
      <c r="K1755" s="3" t="s">
        <v>16</v>
      </c>
      <c r="L1755" s="38">
        <v>0</v>
      </c>
      <c r="M1755" s="3"/>
      <c r="N1755" s="3">
        <v>2021</v>
      </c>
      <c r="O1755" s="3" t="s">
        <v>95</v>
      </c>
      <c r="P1755" s="3" t="s">
        <v>78</v>
      </c>
      <c r="Q1755" s="3" t="s">
        <v>99</v>
      </c>
    </row>
    <row r="1756" spans="1:17" hidden="1" x14ac:dyDescent="0.3">
      <c r="A1756" s="2">
        <v>44256</v>
      </c>
      <c r="B1756" s="3" t="s">
        <v>12</v>
      </c>
      <c r="C1756" s="3" t="s">
        <v>19</v>
      </c>
      <c r="D1756" s="3" t="s">
        <v>98</v>
      </c>
      <c r="E1756" s="3" t="s">
        <v>15</v>
      </c>
      <c r="F1756" s="37">
        <v>1.2725</v>
      </c>
      <c r="G1756" s="3" t="s">
        <v>77</v>
      </c>
      <c r="H1756" s="3" t="s">
        <v>29</v>
      </c>
      <c r="I1756" s="37">
        <f>INDEX('Currency Master'!B:B,MATCH(A1756,'Currency Master'!A:A,0))</f>
        <v>72.824742000000001</v>
      </c>
      <c r="J1756" s="37">
        <f t="shared" si="105"/>
        <v>72653.67</v>
      </c>
      <c r="K1756" s="3" t="s">
        <v>16</v>
      </c>
      <c r="L1756" s="38">
        <v>5.8333333333333307E-2</v>
      </c>
      <c r="M1756" s="3"/>
      <c r="N1756" s="3">
        <v>2021</v>
      </c>
      <c r="O1756" s="3" t="s">
        <v>96</v>
      </c>
      <c r="P1756" s="3" t="s">
        <v>78</v>
      </c>
      <c r="Q1756" s="3" t="s">
        <v>99</v>
      </c>
    </row>
    <row r="1757" spans="1:17" hidden="1" x14ac:dyDescent="0.3">
      <c r="A1757" s="2">
        <v>44228</v>
      </c>
      <c r="B1757" s="3" t="s">
        <v>12</v>
      </c>
      <c r="C1757" s="3" t="s">
        <v>19</v>
      </c>
      <c r="D1757" s="3" t="s">
        <v>98</v>
      </c>
      <c r="E1757" s="3" t="s">
        <v>15</v>
      </c>
      <c r="F1757" s="37">
        <v>1.1964999999999999</v>
      </c>
      <c r="G1757" s="3" t="s">
        <v>77</v>
      </c>
      <c r="H1757" s="3" t="s">
        <v>29</v>
      </c>
      <c r="I1757" s="37">
        <f>INDEX('Currency Master'!B:B,MATCH(A1757,'Currency Master'!A:A,0))</f>
        <v>72.802874000000003</v>
      </c>
      <c r="J1757" s="37">
        <f t="shared" si="105"/>
        <v>68293.919999999998</v>
      </c>
      <c r="K1757" s="3" t="s">
        <v>16</v>
      </c>
      <c r="L1757" s="38">
        <v>0.15384615384615399</v>
      </c>
      <c r="M1757" s="3"/>
      <c r="N1757" s="3">
        <v>2021</v>
      </c>
      <c r="O1757" s="3" t="s">
        <v>97</v>
      </c>
      <c r="P1757" s="3" t="s">
        <v>78</v>
      </c>
      <c r="Q1757" s="3" t="s">
        <v>99</v>
      </c>
    </row>
    <row r="1758" spans="1:17" hidden="1" x14ac:dyDescent="0.3">
      <c r="A1758" s="2">
        <v>44197</v>
      </c>
      <c r="B1758" s="3" t="s">
        <v>12</v>
      </c>
      <c r="C1758" s="3" t="s">
        <v>19</v>
      </c>
      <c r="D1758" s="3" t="s">
        <v>98</v>
      </c>
      <c r="E1758" s="3" t="s">
        <v>15</v>
      </c>
      <c r="F1758" s="37">
        <v>1.03678571</v>
      </c>
      <c r="G1758" s="3" t="s">
        <v>77</v>
      </c>
      <c r="H1758" s="3" t="s">
        <v>29</v>
      </c>
      <c r="I1758" s="37">
        <f>INDEX('Currency Master'!B:B,MATCH(A1758,'Currency Master'!A:A,0))</f>
        <v>73.120053999999996</v>
      </c>
      <c r="J1758" s="37">
        <f t="shared" si="105"/>
        <v>59435.55</v>
      </c>
      <c r="K1758" s="3" t="s">
        <v>16</v>
      </c>
      <c r="L1758" s="38">
        <v>0.04</v>
      </c>
      <c r="M1758" s="3"/>
      <c r="N1758" s="3">
        <v>2021</v>
      </c>
      <c r="O1758" s="3" t="s">
        <v>85</v>
      </c>
      <c r="P1758" s="3" t="s">
        <v>78</v>
      </c>
      <c r="Q1758" s="3" t="s">
        <v>99</v>
      </c>
    </row>
    <row r="1759" spans="1:17" hidden="1" x14ac:dyDescent="0.3">
      <c r="A1759" s="2">
        <v>44166</v>
      </c>
      <c r="B1759" s="3" t="s">
        <v>12</v>
      </c>
      <c r="C1759" s="3" t="s">
        <v>19</v>
      </c>
      <c r="D1759" s="3" t="s">
        <v>98</v>
      </c>
      <c r="E1759" s="3" t="s">
        <v>15</v>
      </c>
      <c r="F1759" s="37">
        <v>1.0033695600000001</v>
      </c>
      <c r="G1759" s="3" t="s">
        <v>77</v>
      </c>
      <c r="H1759" s="3" t="s">
        <v>29</v>
      </c>
      <c r="I1759" s="37">
        <f>INDEX('Currency Master'!B:B,MATCH(A1759,'Currency Master'!A:A,0))</f>
        <v>73.632669000000007</v>
      </c>
      <c r="J1759" s="37">
        <f t="shared" si="105"/>
        <v>57923.16</v>
      </c>
      <c r="K1759" s="3" t="s">
        <v>16</v>
      </c>
      <c r="L1759" s="38">
        <v>2.04081632653061E-2</v>
      </c>
      <c r="M1759" s="3"/>
      <c r="N1759" s="3">
        <v>2020</v>
      </c>
      <c r="O1759" s="3" t="s">
        <v>87</v>
      </c>
      <c r="P1759" s="3" t="s">
        <v>78</v>
      </c>
      <c r="Q1759" s="3" t="s">
        <v>99</v>
      </c>
    </row>
    <row r="1760" spans="1:17" hidden="1" x14ac:dyDescent="0.3">
      <c r="A1760" s="2">
        <v>44136</v>
      </c>
      <c r="B1760" s="3" t="s">
        <v>12</v>
      </c>
      <c r="C1760" s="3" t="s">
        <v>19</v>
      </c>
      <c r="D1760" s="3" t="s">
        <v>98</v>
      </c>
      <c r="E1760" s="3" t="s">
        <v>15</v>
      </c>
      <c r="F1760" s="37">
        <v>0.98250000000000004</v>
      </c>
      <c r="G1760" s="3" t="s">
        <v>77</v>
      </c>
      <c r="H1760" s="3" t="s">
        <v>29</v>
      </c>
      <c r="I1760" s="37">
        <f>INDEX('Currency Master'!B:B,MATCH(A1760,'Currency Master'!A:A,0))</f>
        <v>74.216222999999999</v>
      </c>
      <c r="J1760" s="37">
        <f t="shared" si="105"/>
        <v>57167.89</v>
      </c>
      <c r="K1760" s="3" t="s">
        <v>16</v>
      </c>
      <c r="L1760" s="38">
        <v>0</v>
      </c>
      <c r="M1760" s="3"/>
      <c r="N1760" s="3">
        <v>2020</v>
      </c>
      <c r="O1760" s="3" t="s">
        <v>88</v>
      </c>
      <c r="P1760" s="3" t="s">
        <v>78</v>
      </c>
      <c r="Q1760" s="3" t="s">
        <v>99</v>
      </c>
    </row>
    <row r="1761" spans="1:17" hidden="1" x14ac:dyDescent="0.3">
      <c r="A1761" s="2">
        <v>44105</v>
      </c>
      <c r="B1761" s="3" t="s">
        <v>12</v>
      </c>
      <c r="C1761" s="3" t="s">
        <v>19</v>
      </c>
      <c r="D1761" s="3" t="s">
        <v>98</v>
      </c>
      <c r="E1761" s="3" t="s">
        <v>15</v>
      </c>
      <c r="F1761" s="37">
        <v>0.98250000000000004</v>
      </c>
      <c r="G1761" s="3" t="s">
        <v>77</v>
      </c>
      <c r="H1761" s="3" t="s">
        <v>29</v>
      </c>
      <c r="I1761" s="37">
        <f>INDEX('Currency Master'!B:B,MATCH(A1761,'Currency Master'!A:A,0))</f>
        <v>73.535523999999995</v>
      </c>
      <c r="J1761" s="37">
        <f t="shared" si="105"/>
        <v>56643.56</v>
      </c>
      <c r="K1761" s="3" t="s">
        <v>16</v>
      </c>
      <c r="L1761" s="38">
        <v>0</v>
      </c>
      <c r="M1761" s="3"/>
      <c r="N1761" s="3">
        <v>2020</v>
      </c>
      <c r="O1761" s="3" t="s">
        <v>89</v>
      </c>
      <c r="P1761" s="3" t="s">
        <v>78</v>
      </c>
      <c r="Q1761" s="3" t="s">
        <v>99</v>
      </c>
    </row>
    <row r="1762" spans="1:17" hidden="1" x14ac:dyDescent="0.3">
      <c r="A1762" s="2">
        <v>44075</v>
      </c>
      <c r="B1762" s="3" t="s">
        <v>12</v>
      </c>
      <c r="C1762" s="3" t="s">
        <v>19</v>
      </c>
      <c r="D1762" s="3" t="s">
        <v>98</v>
      </c>
      <c r="E1762" s="3" t="s">
        <v>15</v>
      </c>
      <c r="F1762" s="37">
        <v>0.98250000000000004</v>
      </c>
      <c r="G1762" s="3" t="s">
        <v>77</v>
      </c>
      <c r="H1762" s="3" t="s">
        <v>29</v>
      </c>
      <c r="I1762" s="37">
        <f>INDEX('Currency Master'!B:B,MATCH(A1762,'Currency Master'!A:A,0))</f>
        <v>73.545564999999996</v>
      </c>
      <c r="J1762" s="37">
        <f t="shared" si="105"/>
        <v>56651.29</v>
      </c>
      <c r="K1762" s="3" t="s">
        <v>16</v>
      </c>
      <c r="L1762" s="38">
        <v>0</v>
      </c>
      <c r="M1762" s="3"/>
      <c r="N1762" s="3">
        <v>2020</v>
      </c>
      <c r="O1762" s="3" t="s">
        <v>90</v>
      </c>
      <c r="P1762" s="3" t="s">
        <v>78</v>
      </c>
      <c r="Q1762" s="3" t="s">
        <v>99</v>
      </c>
    </row>
    <row r="1763" spans="1:17" hidden="1" x14ac:dyDescent="0.3">
      <c r="A1763" s="2">
        <v>44044</v>
      </c>
      <c r="B1763" s="3" t="s">
        <v>12</v>
      </c>
      <c r="C1763" s="3" t="s">
        <v>19</v>
      </c>
      <c r="D1763" s="3" t="s">
        <v>98</v>
      </c>
      <c r="E1763" s="3" t="s">
        <v>15</v>
      </c>
      <c r="F1763" s="37">
        <v>0.98250000000000004</v>
      </c>
      <c r="G1763" s="3" t="s">
        <v>77</v>
      </c>
      <c r="H1763" s="3" t="s">
        <v>29</v>
      </c>
      <c r="I1763" s="37">
        <f>INDEX('Currency Master'!B:B,MATCH(A1763,'Currency Master'!A:A,0))</f>
        <v>74.595697000000001</v>
      </c>
      <c r="J1763" s="37">
        <f t="shared" si="105"/>
        <v>57460.2</v>
      </c>
      <c r="K1763" s="3" t="s">
        <v>16</v>
      </c>
      <c r="L1763" s="38">
        <v>0</v>
      </c>
      <c r="M1763" s="3"/>
      <c r="N1763" s="3">
        <v>2020</v>
      </c>
      <c r="O1763" s="3" t="s">
        <v>91</v>
      </c>
      <c r="P1763" s="3" t="s">
        <v>78</v>
      </c>
      <c r="Q1763" s="3" t="s">
        <v>99</v>
      </c>
    </row>
    <row r="1764" spans="1:17" hidden="1" x14ac:dyDescent="0.3">
      <c r="A1764" s="2">
        <v>44013</v>
      </c>
      <c r="B1764" s="3" t="s">
        <v>12</v>
      </c>
      <c r="C1764" s="3" t="s">
        <v>19</v>
      </c>
      <c r="D1764" s="3" t="s">
        <v>98</v>
      </c>
      <c r="E1764" s="3" t="s">
        <v>15</v>
      </c>
      <c r="F1764" s="37">
        <v>0.98250000000000004</v>
      </c>
      <c r="G1764" s="3" t="s">
        <v>77</v>
      </c>
      <c r="H1764" s="3" t="s">
        <v>29</v>
      </c>
      <c r="I1764" s="37">
        <f>INDEX('Currency Master'!B:B,MATCH(A1764,'Currency Master'!A:A,0))</f>
        <v>74.922385000000006</v>
      </c>
      <c r="J1764" s="37">
        <f t="shared" si="105"/>
        <v>57711.839999999997</v>
      </c>
      <c r="K1764" s="3" t="s">
        <v>16</v>
      </c>
      <c r="L1764" s="38">
        <v>0</v>
      </c>
      <c r="M1764" s="3"/>
      <c r="N1764" s="3">
        <v>2020</v>
      </c>
      <c r="O1764" s="3" t="s">
        <v>92</v>
      </c>
      <c r="P1764" s="3" t="s">
        <v>78</v>
      </c>
      <c r="Q1764" s="3" t="s">
        <v>99</v>
      </c>
    </row>
    <row r="1765" spans="1:17" hidden="1" x14ac:dyDescent="0.3">
      <c r="A1765" s="2">
        <v>43983</v>
      </c>
      <c r="B1765" s="3" t="s">
        <v>12</v>
      </c>
      <c r="C1765" s="3" t="s">
        <v>19</v>
      </c>
      <c r="D1765" s="3" t="s">
        <v>98</v>
      </c>
      <c r="E1765" s="3" t="s">
        <v>15</v>
      </c>
      <c r="F1765" s="37">
        <v>0.98250000000000004</v>
      </c>
      <c r="G1765" s="3" t="s">
        <v>77</v>
      </c>
      <c r="H1765" s="3" t="s">
        <v>29</v>
      </c>
      <c r="I1765" s="37">
        <f>INDEX('Currency Master'!B:B,MATCH(A1765,'Currency Master'!A:A,0))</f>
        <v>75.721254000000002</v>
      </c>
      <c r="J1765" s="37">
        <f t="shared" si="105"/>
        <v>58327.199999999997</v>
      </c>
      <c r="K1765" s="3" t="s">
        <v>16</v>
      </c>
      <c r="L1765" s="38">
        <v>0</v>
      </c>
      <c r="M1765" s="3"/>
      <c r="N1765" s="3">
        <v>2020</v>
      </c>
      <c r="O1765" s="3" t="s">
        <v>93</v>
      </c>
      <c r="P1765" s="3" t="s">
        <v>78</v>
      </c>
      <c r="Q1765" s="3" t="s">
        <v>99</v>
      </c>
    </row>
    <row r="1766" spans="1:17" hidden="1" x14ac:dyDescent="0.3">
      <c r="A1766" s="2">
        <v>43952</v>
      </c>
      <c r="B1766" s="3" t="s">
        <v>12</v>
      </c>
      <c r="C1766" s="3" t="s">
        <v>19</v>
      </c>
      <c r="D1766" s="3" t="s">
        <v>98</v>
      </c>
      <c r="E1766" s="3" t="s">
        <v>15</v>
      </c>
      <c r="F1766" s="37">
        <v>0.98250000000000004</v>
      </c>
      <c r="G1766" s="3" t="s">
        <v>77</v>
      </c>
      <c r="H1766" s="3" t="s">
        <v>29</v>
      </c>
      <c r="I1766" s="37">
        <f>INDEX('Currency Master'!B:B,MATCH(A1766,'Currency Master'!A:A,0))</f>
        <v>75.674092999999999</v>
      </c>
      <c r="J1766" s="37">
        <f t="shared" si="105"/>
        <v>58290.879999999997</v>
      </c>
      <c r="K1766" s="3" t="s">
        <v>16</v>
      </c>
      <c r="L1766" s="38">
        <v>0</v>
      </c>
      <c r="M1766" s="3"/>
      <c r="N1766" s="3">
        <v>2020</v>
      </c>
      <c r="O1766" s="3" t="s">
        <v>94</v>
      </c>
      <c r="P1766" s="3" t="s">
        <v>78</v>
      </c>
      <c r="Q1766" s="3" t="s">
        <v>99</v>
      </c>
    </row>
    <row r="1767" spans="1:17" hidden="1" x14ac:dyDescent="0.3">
      <c r="A1767" s="2">
        <v>43922</v>
      </c>
      <c r="B1767" s="3" t="s">
        <v>12</v>
      </c>
      <c r="C1767" s="3" t="s">
        <v>19</v>
      </c>
      <c r="D1767" s="3" t="s">
        <v>98</v>
      </c>
      <c r="E1767" s="3" t="s">
        <v>15</v>
      </c>
      <c r="F1767" s="37">
        <v>0.98250000000000004</v>
      </c>
      <c r="G1767" s="3" t="s">
        <v>77</v>
      </c>
      <c r="H1767" s="3" t="s">
        <v>29</v>
      </c>
      <c r="I1767" s="37">
        <f>INDEX('Currency Master'!B:B,MATCH(A1767,'Currency Master'!A:A,0))</f>
        <v>76.217590000000001</v>
      </c>
      <c r="J1767" s="37">
        <f t="shared" si="105"/>
        <v>58709.52</v>
      </c>
      <c r="K1767" s="3" t="s">
        <v>16</v>
      </c>
      <c r="L1767" s="38">
        <v>0</v>
      </c>
      <c r="M1767" s="3"/>
      <c r="N1767" s="3">
        <v>2020</v>
      </c>
      <c r="O1767" s="3" t="s">
        <v>95</v>
      </c>
      <c r="P1767" s="3" t="s">
        <v>78</v>
      </c>
      <c r="Q1767" s="3" t="s">
        <v>99</v>
      </c>
    </row>
    <row r="1768" spans="1:17" hidden="1" x14ac:dyDescent="0.3">
      <c r="A1768" s="2">
        <v>43891</v>
      </c>
      <c r="B1768" s="3" t="s">
        <v>12</v>
      </c>
      <c r="C1768" s="3" t="s">
        <v>19</v>
      </c>
      <c r="D1768" s="3" t="s">
        <v>98</v>
      </c>
      <c r="E1768" s="3" t="s">
        <v>15</v>
      </c>
      <c r="F1768" s="37">
        <v>0.98250000000000004</v>
      </c>
      <c r="G1768" s="3" t="s">
        <v>77</v>
      </c>
      <c r="H1768" s="3" t="s">
        <v>29</v>
      </c>
      <c r="I1768" s="37">
        <f>INDEX('Currency Master'!B:B,MATCH(A1768,'Currency Master'!A:A,0))</f>
        <v>74.526435000000006</v>
      </c>
      <c r="J1768" s="37">
        <f t="shared" si="105"/>
        <v>57406.85</v>
      </c>
      <c r="K1768" s="3" t="s">
        <v>16</v>
      </c>
      <c r="L1768" s="38">
        <v>0</v>
      </c>
      <c r="M1768" s="3"/>
      <c r="N1768" s="3">
        <v>2020</v>
      </c>
      <c r="O1768" s="3" t="s">
        <v>96</v>
      </c>
      <c r="P1768" s="3" t="s">
        <v>78</v>
      </c>
      <c r="Q1768" s="3" t="s">
        <v>99</v>
      </c>
    </row>
    <row r="1769" spans="1:17" hidden="1" x14ac:dyDescent="0.3">
      <c r="A1769" s="2">
        <v>43862</v>
      </c>
      <c r="B1769" s="3" t="s">
        <v>12</v>
      </c>
      <c r="C1769" s="3" t="s">
        <v>19</v>
      </c>
      <c r="D1769" s="3" t="s">
        <v>98</v>
      </c>
      <c r="E1769" s="3" t="s">
        <v>15</v>
      </c>
      <c r="F1769" s="37">
        <v>0.98250000000000004</v>
      </c>
      <c r="G1769" s="3" t="s">
        <v>77</v>
      </c>
      <c r="H1769" s="3" t="s">
        <v>29</v>
      </c>
      <c r="I1769" s="37">
        <f>INDEX('Currency Master'!B:B,MATCH(A1769,'Currency Master'!A:A,0))</f>
        <v>71.510946000000004</v>
      </c>
      <c r="J1769" s="37">
        <f t="shared" si="105"/>
        <v>55084.05</v>
      </c>
      <c r="K1769" s="3" t="s">
        <v>16</v>
      </c>
      <c r="L1769" s="38">
        <v>0</v>
      </c>
      <c r="M1769" s="3"/>
      <c r="N1769" s="3">
        <v>2020</v>
      </c>
      <c r="O1769" s="3" t="s">
        <v>97</v>
      </c>
      <c r="P1769" s="3" t="s">
        <v>78</v>
      </c>
      <c r="Q1769" s="3" t="s">
        <v>99</v>
      </c>
    </row>
    <row r="1770" spans="1:17" hidden="1" x14ac:dyDescent="0.3">
      <c r="A1770" s="2">
        <v>43831</v>
      </c>
      <c r="B1770" s="3" t="s">
        <v>12</v>
      </c>
      <c r="C1770" s="3" t="s">
        <v>19</v>
      </c>
      <c r="D1770" s="3" t="s">
        <v>98</v>
      </c>
      <c r="E1770" s="3" t="s">
        <v>15</v>
      </c>
      <c r="F1770" s="37">
        <v>0.98250000000000004</v>
      </c>
      <c r="G1770" s="3" t="s">
        <v>77</v>
      </c>
      <c r="H1770" s="3" t="s">
        <v>29</v>
      </c>
      <c r="I1770" s="37">
        <f>INDEX('Currency Master'!B:B,MATCH(A1770,'Currency Master'!A:A,0))</f>
        <v>71.289604999999995</v>
      </c>
      <c r="J1770" s="37">
        <f t="shared" si="105"/>
        <v>54913.55</v>
      </c>
      <c r="K1770" s="3" t="s">
        <v>16</v>
      </c>
      <c r="L1770" s="38">
        <v>0</v>
      </c>
      <c r="M1770" s="3"/>
      <c r="N1770" s="3">
        <v>2020</v>
      </c>
      <c r="O1770" s="3" t="s">
        <v>85</v>
      </c>
      <c r="P1770" s="3" t="s">
        <v>78</v>
      </c>
      <c r="Q1770" s="3" t="s">
        <v>99</v>
      </c>
    </row>
    <row r="1771" spans="1:17" hidden="1" x14ac:dyDescent="0.3">
      <c r="A1771" s="2">
        <v>43800</v>
      </c>
      <c r="B1771" s="3" t="s">
        <v>12</v>
      </c>
      <c r="C1771" s="3" t="s">
        <v>19</v>
      </c>
      <c r="D1771" s="3" t="s">
        <v>98</v>
      </c>
      <c r="E1771" s="3" t="s">
        <v>15</v>
      </c>
      <c r="F1771" s="37">
        <v>0.98250000000000004</v>
      </c>
      <c r="G1771" s="3" t="s">
        <v>77</v>
      </c>
      <c r="H1771" s="3" t="s">
        <v>29</v>
      </c>
      <c r="I1771" s="37">
        <f>INDEX('Currency Master'!B:B,MATCH(A1771,'Currency Master'!A:A,0))</f>
        <v>71.183558000000005</v>
      </c>
      <c r="J1771" s="37">
        <f t="shared" si="105"/>
        <v>54831.87</v>
      </c>
      <c r="K1771" s="3" t="s">
        <v>16</v>
      </c>
      <c r="L1771" s="38">
        <v>0</v>
      </c>
      <c r="M1771" s="3"/>
      <c r="N1771" s="3">
        <v>2019</v>
      </c>
      <c r="O1771" s="3" t="s">
        <v>87</v>
      </c>
      <c r="P1771" s="3" t="s">
        <v>78</v>
      </c>
      <c r="Q1771" s="3" t="s">
        <v>99</v>
      </c>
    </row>
    <row r="1772" spans="1:17" hidden="1" x14ac:dyDescent="0.3">
      <c r="A1772" s="2">
        <v>43770</v>
      </c>
      <c r="B1772" s="3" t="s">
        <v>12</v>
      </c>
      <c r="C1772" s="3" t="s">
        <v>19</v>
      </c>
      <c r="D1772" s="3" t="s">
        <v>98</v>
      </c>
      <c r="E1772" s="3" t="s">
        <v>15</v>
      </c>
      <c r="F1772" s="37">
        <v>0.98250000000000004</v>
      </c>
      <c r="G1772" s="3" t="s">
        <v>77</v>
      </c>
      <c r="H1772" s="3" t="s">
        <v>29</v>
      </c>
      <c r="I1772" s="37">
        <f>INDEX('Currency Master'!B:B,MATCH(A1772,'Currency Master'!A:A,0))</f>
        <v>71.470119999999994</v>
      </c>
      <c r="J1772" s="37">
        <f t="shared" si="105"/>
        <v>55052.6</v>
      </c>
      <c r="K1772" s="3" t="s">
        <v>16</v>
      </c>
      <c r="L1772" s="38">
        <v>0</v>
      </c>
      <c r="M1772" s="3"/>
      <c r="N1772" s="3">
        <v>2019</v>
      </c>
      <c r="O1772" s="3" t="s">
        <v>88</v>
      </c>
      <c r="P1772" s="3" t="s">
        <v>78</v>
      </c>
      <c r="Q1772" s="3" t="s">
        <v>99</v>
      </c>
    </row>
    <row r="1773" spans="1:17" hidden="1" x14ac:dyDescent="0.3">
      <c r="A1773" s="2">
        <v>43739</v>
      </c>
      <c r="B1773" s="3" t="s">
        <v>12</v>
      </c>
      <c r="C1773" s="3" t="s">
        <v>19</v>
      </c>
      <c r="D1773" s="3" t="s">
        <v>98</v>
      </c>
      <c r="E1773" s="3" t="s">
        <v>15</v>
      </c>
      <c r="F1773" s="37">
        <v>0.98250000000000004</v>
      </c>
      <c r="G1773" s="3" t="s">
        <v>77</v>
      </c>
      <c r="H1773" s="3" t="s">
        <v>29</v>
      </c>
      <c r="I1773" s="37">
        <f>INDEX('Currency Master'!B:B,MATCH(A1773,'Currency Master'!A:A,0))</f>
        <v>71.040744000000004</v>
      </c>
      <c r="J1773" s="37">
        <f t="shared" si="105"/>
        <v>54721.86</v>
      </c>
      <c r="K1773" s="3" t="s">
        <v>16</v>
      </c>
      <c r="L1773" s="38">
        <v>-2.9702970297029698E-2</v>
      </c>
      <c r="M1773" s="3"/>
      <c r="N1773" s="3">
        <v>2019</v>
      </c>
      <c r="O1773" s="3" t="s">
        <v>89</v>
      </c>
      <c r="P1773" s="3" t="s">
        <v>78</v>
      </c>
      <c r="Q1773" s="3" t="s">
        <v>99</v>
      </c>
    </row>
    <row r="1774" spans="1:17" hidden="1" x14ac:dyDescent="0.3">
      <c r="A1774" s="2">
        <v>43709</v>
      </c>
      <c r="B1774" s="3" t="s">
        <v>12</v>
      </c>
      <c r="C1774" s="3" t="s">
        <v>19</v>
      </c>
      <c r="D1774" s="3" t="s">
        <v>98</v>
      </c>
      <c r="E1774" s="3" t="s">
        <v>15</v>
      </c>
      <c r="F1774" s="37">
        <v>1.0105</v>
      </c>
      <c r="G1774" s="3" t="s">
        <v>77</v>
      </c>
      <c r="H1774" s="3" t="s">
        <v>29</v>
      </c>
      <c r="I1774" s="37">
        <f>INDEX('Currency Master'!B:B,MATCH(A1774,'Currency Master'!A:A,0))</f>
        <v>71.399432000000004</v>
      </c>
      <c r="J1774" s="37">
        <f t="shared" si="105"/>
        <v>56565.53</v>
      </c>
      <c r="K1774" s="3" t="s">
        <v>16</v>
      </c>
      <c r="L1774" s="38">
        <v>-3.8095238095238099E-2</v>
      </c>
      <c r="M1774" s="3"/>
      <c r="N1774" s="3">
        <v>2019</v>
      </c>
      <c r="O1774" s="3" t="s">
        <v>90</v>
      </c>
      <c r="P1774" s="3" t="s">
        <v>78</v>
      </c>
      <c r="Q1774" s="3" t="s">
        <v>99</v>
      </c>
    </row>
    <row r="1775" spans="1:17" hidden="1" x14ac:dyDescent="0.3">
      <c r="A1775" s="2">
        <v>43678</v>
      </c>
      <c r="B1775" s="3" t="s">
        <v>12</v>
      </c>
      <c r="C1775" s="3" t="s">
        <v>19</v>
      </c>
      <c r="D1775" s="3" t="s">
        <v>98</v>
      </c>
      <c r="E1775" s="3" t="s">
        <v>15</v>
      </c>
      <c r="F1775" s="37">
        <v>1.0525</v>
      </c>
      <c r="G1775" s="3" t="s">
        <v>77</v>
      </c>
      <c r="H1775" s="3" t="s">
        <v>29</v>
      </c>
      <c r="I1775" s="37">
        <f>INDEX('Currency Master'!B:B,MATCH(A1775,'Currency Master'!A:A,0))</f>
        <v>71.174543</v>
      </c>
      <c r="J1775" s="37">
        <f t="shared" si="105"/>
        <v>58731.03</v>
      </c>
      <c r="K1775" s="3" t="s">
        <v>16</v>
      </c>
      <c r="L1775" s="38">
        <v>0</v>
      </c>
      <c r="M1775" s="3"/>
      <c r="N1775" s="3">
        <v>2019</v>
      </c>
      <c r="O1775" s="3" t="s">
        <v>91</v>
      </c>
      <c r="P1775" s="3" t="s">
        <v>78</v>
      </c>
      <c r="Q1775" s="3" t="s">
        <v>99</v>
      </c>
    </row>
    <row r="1776" spans="1:17" hidden="1" x14ac:dyDescent="0.3">
      <c r="A1776" s="2">
        <v>43647</v>
      </c>
      <c r="B1776" s="3" t="s">
        <v>12</v>
      </c>
      <c r="C1776" s="3" t="s">
        <v>19</v>
      </c>
      <c r="D1776" s="3" t="s">
        <v>98</v>
      </c>
      <c r="E1776" s="3" t="s">
        <v>15</v>
      </c>
      <c r="F1776" s="37">
        <v>1.0525</v>
      </c>
      <c r="G1776" s="3" t="s">
        <v>77</v>
      </c>
      <c r="H1776" s="3" t="s">
        <v>29</v>
      </c>
      <c r="I1776" s="37">
        <f>INDEX('Currency Master'!B:B,MATCH(A1776,'Currency Master'!A:A,0))</f>
        <v>68.751615999999999</v>
      </c>
      <c r="J1776" s="37">
        <f t="shared" si="105"/>
        <v>56731.7</v>
      </c>
      <c r="K1776" s="3" t="s">
        <v>16</v>
      </c>
      <c r="L1776" s="38">
        <v>0</v>
      </c>
      <c r="M1776" s="3"/>
      <c r="N1776" s="3">
        <v>2019</v>
      </c>
      <c r="O1776" s="3" t="s">
        <v>92</v>
      </c>
      <c r="P1776" s="3" t="s">
        <v>78</v>
      </c>
      <c r="Q1776" s="3" t="s">
        <v>99</v>
      </c>
    </row>
    <row r="1777" spans="1:17" hidden="1" x14ac:dyDescent="0.3">
      <c r="A1777" s="2">
        <v>43617</v>
      </c>
      <c r="B1777" s="3" t="s">
        <v>12</v>
      </c>
      <c r="C1777" s="3" t="s">
        <v>19</v>
      </c>
      <c r="D1777" s="3" t="s">
        <v>98</v>
      </c>
      <c r="E1777" s="3" t="s">
        <v>15</v>
      </c>
      <c r="F1777" s="37">
        <v>1.0525</v>
      </c>
      <c r="G1777" s="3" t="s">
        <v>77</v>
      </c>
      <c r="H1777" s="3" t="s">
        <v>29</v>
      </c>
      <c r="I1777" s="37">
        <f>INDEX('Currency Master'!B:B,MATCH(A1777,'Currency Master'!A:A,0))</f>
        <v>69.428644000000006</v>
      </c>
      <c r="J1777" s="37">
        <f t="shared" si="105"/>
        <v>57290.36</v>
      </c>
      <c r="K1777" s="3" t="s">
        <v>16</v>
      </c>
      <c r="L1777" s="38">
        <v>0</v>
      </c>
      <c r="M1777" s="3"/>
      <c r="N1777" s="3">
        <v>2019</v>
      </c>
      <c r="O1777" s="3" t="s">
        <v>93</v>
      </c>
      <c r="P1777" s="3" t="s">
        <v>78</v>
      </c>
      <c r="Q1777" s="3" t="s">
        <v>99</v>
      </c>
    </row>
    <row r="1778" spans="1:17" hidden="1" x14ac:dyDescent="0.3">
      <c r="A1778" s="2">
        <v>43586</v>
      </c>
      <c r="B1778" s="3" t="s">
        <v>12</v>
      </c>
      <c r="C1778" s="3" t="s">
        <v>19</v>
      </c>
      <c r="D1778" s="3" t="s">
        <v>98</v>
      </c>
      <c r="E1778" s="3" t="s">
        <v>15</v>
      </c>
      <c r="F1778" s="37">
        <v>1.0525</v>
      </c>
      <c r="G1778" s="3" t="s">
        <v>77</v>
      </c>
      <c r="H1778" s="3" t="s">
        <v>29</v>
      </c>
      <c r="I1778" s="37">
        <f>INDEX('Currency Master'!B:B,MATCH(A1778,'Currency Master'!A:A,0))</f>
        <v>69.809849999999997</v>
      </c>
      <c r="J1778" s="37">
        <f t="shared" si="105"/>
        <v>57604.92</v>
      </c>
      <c r="K1778" s="3" t="s">
        <v>16</v>
      </c>
      <c r="L1778" s="38">
        <v>0</v>
      </c>
      <c r="M1778" s="3"/>
      <c r="N1778" s="3">
        <v>2019</v>
      </c>
      <c r="O1778" s="3" t="s">
        <v>94</v>
      </c>
      <c r="P1778" s="3" t="s">
        <v>78</v>
      </c>
      <c r="Q1778" s="3" t="s">
        <v>99</v>
      </c>
    </row>
    <row r="1779" spans="1:17" hidden="1" x14ac:dyDescent="0.3">
      <c r="A1779" s="2">
        <v>43556</v>
      </c>
      <c r="B1779" s="3" t="s">
        <v>12</v>
      </c>
      <c r="C1779" s="3" t="s">
        <v>19</v>
      </c>
      <c r="D1779" s="3" t="s">
        <v>98</v>
      </c>
      <c r="E1779" s="3" t="s">
        <v>15</v>
      </c>
      <c r="F1779" s="37">
        <v>1.0525</v>
      </c>
      <c r="G1779" s="3" t="s">
        <v>77</v>
      </c>
      <c r="H1779" s="3" t="s">
        <v>29</v>
      </c>
      <c r="I1779" s="37">
        <f>INDEX('Currency Master'!B:B,MATCH(A1779,'Currency Master'!A:A,0))</f>
        <v>69.409238999999999</v>
      </c>
      <c r="J1779" s="37">
        <f t="shared" si="105"/>
        <v>57274.35</v>
      </c>
      <c r="K1779" s="3" t="s">
        <v>16</v>
      </c>
      <c r="L1779" s="38">
        <v>0</v>
      </c>
      <c r="M1779" s="3"/>
      <c r="N1779" s="3">
        <v>2019</v>
      </c>
      <c r="O1779" s="3" t="s">
        <v>95</v>
      </c>
      <c r="P1779" s="3" t="s">
        <v>78</v>
      </c>
      <c r="Q1779" s="3" t="s">
        <v>99</v>
      </c>
    </row>
    <row r="1780" spans="1:17" hidden="1" x14ac:dyDescent="0.3">
      <c r="A1780" s="2">
        <v>43525</v>
      </c>
      <c r="B1780" s="3" t="s">
        <v>12</v>
      </c>
      <c r="C1780" s="3" t="s">
        <v>19</v>
      </c>
      <c r="D1780" s="3" t="s">
        <v>98</v>
      </c>
      <c r="E1780" s="3" t="s">
        <v>15</v>
      </c>
      <c r="F1780" s="37">
        <v>1.0525</v>
      </c>
      <c r="G1780" s="3" t="s">
        <v>77</v>
      </c>
      <c r="H1780" s="3" t="s">
        <v>29</v>
      </c>
      <c r="I1780" s="37">
        <f>INDEX('Currency Master'!B:B,MATCH(A1780,'Currency Master'!A:A,0))</f>
        <v>69.507559999999998</v>
      </c>
      <c r="J1780" s="37">
        <f t="shared" si="105"/>
        <v>57355.48</v>
      </c>
      <c r="K1780" s="3" t="s">
        <v>16</v>
      </c>
      <c r="L1780" s="38">
        <v>0</v>
      </c>
      <c r="M1780" s="3"/>
      <c r="N1780" s="3">
        <v>2019</v>
      </c>
      <c r="O1780" s="3" t="s">
        <v>96</v>
      </c>
      <c r="P1780" s="3" t="s">
        <v>78</v>
      </c>
      <c r="Q1780" s="3" t="s">
        <v>99</v>
      </c>
    </row>
    <row r="1781" spans="1:17" hidden="1" x14ac:dyDescent="0.3">
      <c r="A1781" s="2">
        <v>45992</v>
      </c>
      <c r="B1781" s="3" t="s">
        <v>12</v>
      </c>
      <c r="C1781" s="3" t="s">
        <v>100</v>
      </c>
      <c r="D1781" s="3" t="s">
        <v>101</v>
      </c>
      <c r="E1781" s="3" t="s">
        <v>15</v>
      </c>
      <c r="F1781" s="37">
        <v>13720</v>
      </c>
      <c r="G1781" s="3" t="s">
        <v>102</v>
      </c>
      <c r="H1781" s="3" t="s">
        <v>103</v>
      </c>
      <c r="I1781" s="37">
        <f>INDEX('Currency Master'!B:B,MATCH(A1781,'Currency Master'!A:A,0))/INDEX('Currency Master'!C:C,MATCH(A1781,'Currency Master'!A:A,0))</f>
        <v>12.867142857142856</v>
      </c>
      <c r="J1781" s="37">
        <f>ROUND(F1781*I1781/(1000/355.62),2)</f>
        <v>62780.160000000003</v>
      </c>
      <c r="K1781" s="3" t="s">
        <v>16</v>
      </c>
      <c r="L1781" s="38">
        <v>-2.8999999999999998E-3</v>
      </c>
      <c r="M1781" s="3"/>
      <c r="N1781" s="3">
        <v>2025</v>
      </c>
      <c r="O1781" s="3" t="s">
        <v>87</v>
      </c>
      <c r="P1781" s="3" t="s">
        <v>104</v>
      </c>
      <c r="Q1781" s="3"/>
    </row>
    <row r="1782" spans="1:17" hidden="1" x14ac:dyDescent="0.3">
      <c r="A1782" s="2">
        <v>45962</v>
      </c>
      <c r="B1782" s="3" t="s">
        <v>12</v>
      </c>
      <c r="C1782" s="3" t="s">
        <v>100</v>
      </c>
      <c r="D1782" s="3" t="s">
        <v>101</v>
      </c>
      <c r="E1782" s="3" t="s">
        <v>15</v>
      </c>
      <c r="F1782" s="37">
        <v>13760</v>
      </c>
      <c r="G1782" s="3" t="s">
        <v>102</v>
      </c>
      <c r="H1782" s="3" t="s">
        <v>103</v>
      </c>
      <c r="I1782" s="37">
        <f>INDEX('Currency Master'!B:B,MATCH(A1782,'Currency Master'!A:A,0))/INDEX('Currency Master'!C:C,MATCH(A1782,'Currency Master'!A:A,0))</f>
        <v>12.379358437935844</v>
      </c>
      <c r="J1782" s="37">
        <f t="shared" ref="J1782:J1845" si="106">ROUND(F1782*I1782/(1000/355.62),2)</f>
        <v>60576.3</v>
      </c>
      <c r="K1782" s="3" t="s">
        <v>16</v>
      </c>
      <c r="L1782" s="38">
        <v>1.2500000000000001E-2</v>
      </c>
      <c r="M1782" s="3"/>
      <c r="N1782" s="3">
        <v>2025</v>
      </c>
      <c r="O1782" s="3" t="s">
        <v>88</v>
      </c>
      <c r="P1782" s="3" t="s">
        <v>104</v>
      </c>
      <c r="Q1782" s="3"/>
    </row>
    <row r="1783" spans="1:17" hidden="1" x14ac:dyDescent="0.3">
      <c r="A1783" s="2">
        <v>45931</v>
      </c>
      <c r="B1783" s="3" t="s">
        <v>12</v>
      </c>
      <c r="C1783" s="3" t="s">
        <v>100</v>
      </c>
      <c r="D1783" s="3" t="s">
        <v>101</v>
      </c>
      <c r="E1783" s="3" t="s">
        <v>15</v>
      </c>
      <c r="F1783" s="37">
        <v>13590</v>
      </c>
      <c r="G1783" s="3" t="s">
        <v>102</v>
      </c>
      <c r="H1783" s="3" t="s">
        <v>103</v>
      </c>
      <c r="I1783" s="37">
        <f>INDEX('Currency Master'!B:B,MATCH(A1783,'Currency Master'!A:A,0))/INDEX('Currency Master'!C:C,MATCH(A1783,'Currency Master'!A:A,0))</f>
        <v>12.464747191011234</v>
      </c>
      <c r="J1783" s="37">
        <f t="shared" si="106"/>
        <v>60240.58</v>
      </c>
      <c r="K1783" s="3" t="s">
        <v>16</v>
      </c>
      <c r="L1783" s="38">
        <v>2.5999999999999999E-2</v>
      </c>
      <c r="M1783" s="3"/>
      <c r="N1783" s="3">
        <v>2025</v>
      </c>
      <c r="O1783" s="3" t="s">
        <v>89</v>
      </c>
      <c r="P1783" s="3" t="s">
        <v>104</v>
      </c>
      <c r="Q1783" s="3"/>
    </row>
    <row r="1784" spans="1:17" hidden="1" x14ac:dyDescent="0.3">
      <c r="A1784" s="2">
        <v>45901</v>
      </c>
      <c r="B1784" s="3" t="s">
        <v>12</v>
      </c>
      <c r="C1784" s="3" t="s">
        <v>100</v>
      </c>
      <c r="D1784" s="3" t="s">
        <v>101</v>
      </c>
      <c r="E1784" s="3" t="s">
        <v>15</v>
      </c>
      <c r="F1784" s="37">
        <v>13245</v>
      </c>
      <c r="G1784" s="3" t="s">
        <v>102</v>
      </c>
      <c r="H1784" s="3" t="s">
        <v>103</v>
      </c>
      <c r="I1784" s="37">
        <f>INDEX('Currency Master'!B:B,MATCH(A1784,'Currency Master'!A:A,0))/INDEX('Currency Master'!C:C,MATCH(A1784,'Currency Master'!A:A,0))</f>
        <v>12.35133239831697</v>
      </c>
      <c r="J1784" s="37">
        <f t="shared" si="106"/>
        <v>58177.08</v>
      </c>
      <c r="K1784" s="3" t="s">
        <v>16</v>
      </c>
      <c r="L1784" s="38">
        <v>-5.5300000000000002E-2</v>
      </c>
      <c r="M1784" s="3"/>
      <c r="N1784" s="3">
        <v>2025</v>
      </c>
      <c r="O1784" s="3" t="s">
        <v>90</v>
      </c>
      <c r="P1784" s="3" t="s">
        <v>104</v>
      </c>
      <c r="Q1784" s="3"/>
    </row>
    <row r="1785" spans="1:17" hidden="1" x14ac:dyDescent="0.3">
      <c r="A1785" s="2">
        <v>45870</v>
      </c>
      <c r="B1785" s="3" t="s">
        <v>12</v>
      </c>
      <c r="C1785" s="3" t="s">
        <v>100</v>
      </c>
      <c r="D1785" s="3" t="s">
        <v>101</v>
      </c>
      <c r="E1785" s="3" t="s">
        <v>15</v>
      </c>
      <c r="F1785" s="37">
        <v>14020</v>
      </c>
      <c r="G1785" s="3" t="s">
        <v>102</v>
      </c>
      <c r="H1785" s="3" t="s">
        <v>103</v>
      </c>
      <c r="I1785" s="37">
        <f>INDEX('Currency Master'!B:B,MATCH(A1785,'Currency Master'!A:A,0))/INDEX('Currency Master'!C:C,MATCH(A1785,'Currency Master'!A:A,0))</f>
        <v>12.08876560332871</v>
      </c>
      <c r="J1785" s="37">
        <f t="shared" si="106"/>
        <v>60272.08</v>
      </c>
      <c r="K1785" s="3" t="s">
        <v>16</v>
      </c>
      <c r="L1785" s="38">
        <v>2.9700000000000001E-2</v>
      </c>
      <c r="M1785" s="3"/>
      <c r="N1785" s="3">
        <v>2025</v>
      </c>
      <c r="O1785" s="3" t="s">
        <v>91</v>
      </c>
      <c r="P1785" s="3" t="s">
        <v>104</v>
      </c>
      <c r="Q1785" s="3"/>
    </row>
    <row r="1786" spans="1:17" hidden="1" x14ac:dyDescent="0.3">
      <c r="A1786" s="2">
        <v>45839</v>
      </c>
      <c r="B1786" s="3" t="s">
        <v>12</v>
      </c>
      <c r="C1786" s="3" t="s">
        <v>100</v>
      </c>
      <c r="D1786" s="3" t="s">
        <v>101</v>
      </c>
      <c r="E1786" s="3" t="s">
        <v>15</v>
      </c>
      <c r="F1786" s="37">
        <v>13615</v>
      </c>
      <c r="G1786" s="3" t="s">
        <v>102</v>
      </c>
      <c r="H1786" s="3" t="s">
        <v>103</v>
      </c>
      <c r="I1786" s="37">
        <f>INDEX('Currency Master'!B:B,MATCH(A1786,'Currency Master'!A:A,0))/INDEX('Currency Master'!C:C,MATCH(A1786,'Currency Master'!A:A,0))</f>
        <v>11.896648044692737</v>
      </c>
      <c r="J1786" s="37">
        <f t="shared" si="106"/>
        <v>57600.79</v>
      </c>
      <c r="K1786" s="3" t="s">
        <v>16</v>
      </c>
      <c r="L1786" s="38">
        <v>-8.6999999999999994E-3</v>
      </c>
      <c r="M1786" s="3"/>
      <c r="N1786" s="3">
        <v>2025</v>
      </c>
      <c r="O1786" s="3" t="s">
        <v>92</v>
      </c>
      <c r="P1786" s="3" t="s">
        <v>104</v>
      </c>
      <c r="Q1786" s="3"/>
    </row>
    <row r="1787" spans="1:17" hidden="1" x14ac:dyDescent="0.3">
      <c r="A1787" s="2">
        <v>45809</v>
      </c>
      <c r="B1787" s="3" t="s">
        <v>12</v>
      </c>
      <c r="C1787" s="3" t="s">
        <v>100</v>
      </c>
      <c r="D1787" s="3" t="s">
        <v>101</v>
      </c>
      <c r="E1787" s="3" t="s">
        <v>15</v>
      </c>
      <c r="F1787" s="37">
        <v>13735</v>
      </c>
      <c r="G1787" s="3" t="s">
        <v>102</v>
      </c>
      <c r="H1787" s="3" t="s">
        <v>103</v>
      </c>
      <c r="I1787" s="37">
        <f>INDEX('Currency Master'!B:B,MATCH(A1787,'Currency Master'!A:A,0))/INDEX('Currency Master'!C:C,MATCH(A1787,'Currency Master'!A:A,0))</f>
        <v>11.840499306518725</v>
      </c>
      <c r="J1787" s="37">
        <f t="shared" si="106"/>
        <v>57834.22</v>
      </c>
      <c r="K1787" s="3" t="s">
        <v>16</v>
      </c>
      <c r="L1787" s="38">
        <v>3.5000000000000003E-2</v>
      </c>
      <c r="M1787" s="3"/>
      <c r="N1787" s="3">
        <v>2025</v>
      </c>
      <c r="O1787" s="3" t="s">
        <v>93</v>
      </c>
      <c r="P1787" s="3" t="s">
        <v>104</v>
      </c>
      <c r="Q1787" s="3"/>
    </row>
    <row r="1788" spans="1:17" hidden="1" x14ac:dyDescent="0.3">
      <c r="A1788" s="2">
        <v>45778</v>
      </c>
      <c r="B1788" s="3" t="s">
        <v>12</v>
      </c>
      <c r="C1788" s="3" t="s">
        <v>100</v>
      </c>
      <c r="D1788" s="3" t="s">
        <v>101</v>
      </c>
      <c r="E1788" s="3" t="s">
        <v>15</v>
      </c>
      <c r="F1788" s="37">
        <v>13270</v>
      </c>
      <c r="G1788" s="3" t="s">
        <v>102</v>
      </c>
      <c r="H1788" s="3" t="s">
        <v>103</v>
      </c>
      <c r="I1788" s="37">
        <f>INDEX('Currency Master'!B:B,MATCH(A1788,'Currency Master'!A:A,0))/INDEX('Currency Master'!C:C,MATCH(A1788,'Currency Master'!A:A,0))</f>
        <v>11.762499999999999</v>
      </c>
      <c r="J1788" s="37">
        <f t="shared" si="106"/>
        <v>55508.15</v>
      </c>
      <c r="K1788" s="3" t="s">
        <v>16</v>
      </c>
      <c r="L1788" s="38">
        <v>3.8699999999999998E-2</v>
      </c>
      <c r="M1788" s="3"/>
      <c r="N1788" s="3">
        <v>2025</v>
      </c>
      <c r="O1788" s="3" t="s">
        <v>94</v>
      </c>
      <c r="P1788" s="3" t="s">
        <v>104</v>
      </c>
      <c r="Q1788" s="3"/>
    </row>
    <row r="1789" spans="1:17" hidden="1" x14ac:dyDescent="0.3">
      <c r="A1789" s="2">
        <v>45748</v>
      </c>
      <c r="B1789" s="3" t="s">
        <v>12</v>
      </c>
      <c r="C1789" s="3" t="s">
        <v>100</v>
      </c>
      <c r="D1789" s="3" t="s">
        <v>101</v>
      </c>
      <c r="E1789" s="3" t="s">
        <v>15</v>
      </c>
      <c r="F1789" s="37">
        <v>12775</v>
      </c>
      <c r="G1789" s="3" t="s">
        <v>102</v>
      </c>
      <c r="H1789" s="3" t="s">
        <v>103</v>
      </c>
      <c r="I1789" s="37">
        <f>INDEX('Currency Master'!B:B,MATCH(A1789,'Currency Master'!A:A,0))/INDEX('Currency Master'!C:C,MATCH(A1789,'Currency Master'!A:A,0))</f>
        <v>11.76203576341128</v>
      </c>
      <c r="J1789" s="37">
        <f t="shared" si="106"/>
        <v>53435.46</v>
      </c>
      <c r="K1789" s="3" t="s">
        <v>16</v>
      </c>
      <c r="L1789" s="38">
        <v>-5.9299999999999999E-2</v>
      </c>
      <c r="M1789" s="3"/>
      <c r="N1789" s="3">
        <v>2025</v>
      </c>
      <c r="O1789" s="3" t="s">
        <v>95</v>
      </c>
      <c r="P1789" s="3" t="s">
        <v>104</v>
      </c>
      <c r="Q1789" s="3"/>
    </row>
    <row r="1790" spans="1:17" hidden="1" x14ac:dyDescent="0.3">
      <c r="A1790" s="2">
        <v>45717</v>
      </c>
      <c r="B1790" s="3" t="s">
        <v>12</v>
      </c>
      <c r="C1790" s="3" t="s">
        <v>100</v>
      </c>
      <c r="D1790" s="3" t="s">
        <v>101</v>
      </c>
      <c r="E1790" s="3" t="s">
        <v>15</v>
      </c>
      <c r="F1790" s="37">
        <v>13580</v>
      </c>
      <c r="G1790" s="3" t="s">
        <v>102</v>
      </c>
      <c r="H1790" s="3" t="s">
        <v>103</v>
      </c>
      <c r="I1790" s="37">
        <f>INDEX('Currency Master'!B:B,MATCH(A1790,'Currency Master'!A:A,0))/INDEX('Currency Master'!C:C,MATCH(A1790,'Currency Master'!A:A,0))</f>
        <v>11.954794520547946</v>
      </c>
      <c r="J1790" s="37">
        <f t="shared" si="106"/>
        <v>57733.52</v>
      </c>
      <c r="K1790" s="3" t="s">
        <v>16</v>
      </c>
      <c r="L1790" s="38">
        <v>-1.5E-3</v>
      </c>
      <c r="M1790" s="3"/>
      <c r="N1790" s="3">
        <v>2025</v>
      </c>
      <c r="O1790" s="3" t="s">
        <v>96</v>
      </c>
      <c r="P1790" s="3" t="s">
        <v>104</v>
      </c>
      <c r="Q1790" s="3"/>
    </row>
    <row r="1791" spans="1:17" hidden="1" x14ac:dyDescent="0.3">
      <c r="A1791" s="2">
        <v>45689</v>
      </c>
      <c r="B1791" s="3" t="s">
        <v>12</v>
      </c>
      <c r="C1791" s="3" t="s">
        <v>100</v>
      </c>
      <c r="D1791" s="3" t="s">
        <v>101</v>
      </c>
      <c r="E1791" s="3" t="s">
        <v>15</v>
      </c>
      <c r="F1791" s="37">
        <v>13600</v>
      </c>
      <c r="G1791" s="3" t="s">
        <v>102</v>
      </c>
      <c r="H1791" s="3" t="s">
        <v>103</v>
      </c>
      <c r="I1791" s="37">
        <f>INDEX('Currency Master'!B:B,MATCH(A1791,'Currency Master'!A:A,0))/INDEX('Currency Master'!C:C,MATCH(A1791,'Currency Master'!A:A,0))</f>
        <v>11.994482758620689</v>
      </c>
      <c r="J1791" s="37">
        <f t="shared" si="106"/>
        <v>58010.5</v>
      </c>
      <c r="K1791" s="3" t="s">
        <v>16</v>
      </c>
      <c r="L1791" s="38">
        <v>-2.8999999999999998E-3</v>
      </c>
      <c r="M1791" s="3"/>
      <c r="N1791" s="3">
        <v>2025</v>
      </c>
      <c r="O1791" s="3" t="s">
        <v>97</v>
      </c>
      <c r="P1791" s="3" t="s">
        <v>104</v>
      </c>
      <c r="Q1791" s="3"/>
    </row>
    <row r="1792" spans="1:17" hidden="1" x14ac:dyDescent="0.3">
      <c r="A1792" s="2">
        <v>45658</v>
      </c>
      <c r="B1792" s="3" t="s">
        <v>12</v>
      </c>
      <c r="C1792" s="3" t="s">
        <v>100</v>
      </c>
      <c r="D1792" s="3" t="s">
        <v>101</v>
      </c>
      <c r="E1792" s="3" t="s">
        <v>15</v>
      </c>
      <c r="F1792" s="37">
        <v>13640</v>
      </c>
      <c r="G1792" s="3" t="s">
        <v>102</v>
      </c>
      <c r="H1792" s="3" t="s">
        <v>103</v>
      </c>
      <c r="I1792" s="37">
        <f>INDEX('Currency Master'!B:B,MATCH(A1792,'Currency Master'!A:A,0))/INDEX('Currency Master'!C:C,MATCH(A1792,'Currency Master'!A:A,0))</f>
        <v>11.819918144611187</v>
      </c>
      <c r="J1792" s="37">
        <f t="shared" si="106"/>
        <v>57334.37</v>
      </c>
      <c r="K1792" s="3" t="s">
        <v>16</v>
      </c>
      <c r="L1792" s="38">
        <v>1.34E-2</v>
      </c>
      <c r="M1792" s="3"/>
      <c r="N1792" s="3">
        <v>2025</v>
      </c>
      <c r="O1792" s="3" t="s">
        <v>85</v>
      </c>
      <c r="P1792" s="3" t="s">
        <v>104</v>
      </c>
      <c r="Q1792" s="3"/>
    </row>
    <row r="1793" spans="1:17" hidden="1" x14ac:dyDescent="0.3">
      <c r="A1793" s="2">
        <v>45627</v>
      </c>
      <c r="B1793" s="3" t="s">
        <v>12</v>
      </c>
      <c r="C1793" s="3" t="s">
        <v>100</v>
      </c>
      <c r="D1793" s="3" t="s">
        <v>101</v>
      </c>
      <c r="E1793" s="3" t="s">
        <v>15</v>
      </c>
      <c r="F1793" s="37">
        <v>13460</v>
      </c>
      <c r="G1793" s="3" t="s">
        <v>102</v>
      </c>
      <c r="H1793" s="3" t="s">
        <v>103</v>
      </c>
      <c r="I1793" s="37">
        <f>INDEX('Currency Master'!B:B,MATCH(A1793,'Currency Master'!A:A,0))/INDEX('Currency Master'!C:C,MATCH(A1793,'Currency Master'!A:A,0))</f>
        <v>11.647953441128832</v>
      </c>
      <c r="J1793" s="37">
        <f t="shared" si="106"/>
        <v>55754.62</v>
      </c>
      <c r="K1793" s="3" t="s">
        <v>16</v>
      </c>
      <c r="L1793" s="38">
        <v>-3.9300000000000002E-2</v>
      </c>
      <c r="M1793" s="3"/>
      <c r="N1793" s="3">
        <v>2024</v>
      </c>
      <c r="O1793" s="3" t="s">
        <v>87</v>
      </c>
      <c r="P1793" s="3" t="s">
        <v>104</v>
      </c>
      <c r="Q1793" s="3"/>
    </row>
    <row r="1794" spans="1:17" hidden="1" x14ac:dyDescent="0.3">
      <c r="A1794" s="2">
        <v>45597</v>
      </c>
      <c r="B1794" s="3" t="s">
        <v>12</v>
      </c>
      <c r="C1794" s="3" t="s">
        <v>100</v>
      </c>
      <c r="D1794" s="3" t="s">
        <v>101</v>
      </c>
      <c r="E1794" s="3" t="s">
        <v>15</v>
      </c>
      <c r="F1794" s="37">
        <v>14010</v>
      </c>
      <c r="G1794" s="3" t="s">
        <v>102</v>
      </c>
      <c r="H1794" s="3" t="s">
        <v>103</v>
      </c>
      <c r="I1794" s="37">
        <f>INDEX('Currency Master'!B:B,MATCH(A1794,'Currency Master'!A:A,0))/INDEX('Currency Master'!C:C,MATCH(A1794,'Currency Master'!A:A,0))</f>
        <v>11.674468055728152</v>
      </c>
      <c r="J1794" s="37">
        <f t="shared" si="106"/>
        <v>58164.959999999999</v>
      </c>
      <c r="K1794" s="3" t="s">
        <v>16</v>
      </c>
      <c r="L1794" s="38">
        <v>4.1200000000000001E-2</v>
      </c>
      <c r="M1794" s="3"/>
      <c r="N1794" s="3">
        <v>2024</v>
      </c>
      <c r="O1794" s="3" t="s">
        <v>88</v>
      </c>
      <c r="P1794" s="3" t="s">
        <v>104</v>
      </c>
      <c r="Q1794" s="3"/>
    </row>
    <row r="1795" spans="1:17" hidden="1" x14ac:dyDescent="0.3">
      <c r="A1795" s="2">
        <v>45566</v>
      </c>
      <c r="B1795" s="3" t="s">
        <v>12</v>
      </c>
      <c r="C1795" s="3" t="s">
        <v>100</v>
      </c>
      <c r="D1795" s="3" t="s">
        <v>101</v>
      </c>
      <c r="E1795" s="3" t="s">
        <v>15</v>
      </c>
      <c r="F1795" s="37">
        <v>13455</v>
      </c>
      <c r="G1795" s="3" t="s">
        <v>102</v>
      </c>
      <c r="H1795" s="3" t="s">
        <v>103</v>
      </c>
      <c r="I1795" s="37">
        <f>INDEX('Currency Master'!B:B,MATCH(A1795,'Currency Master'!A:A,0))/INDEX('Currency Master'!C:C,MATCH(A1795,'Currency Master'!A:A,0))</f>
        <v>11.809828879710023</v>
      </c>
      <c r="J1795" s="37">
        <f t="shared" si="106"/>
        <v>56508.46</v>
      </c>
      <c r="K1795" s="3" t="s">
        <v>16</v>
      </c>
      <c r="L1795" s="38">
        <v>-6.0699999999999997E-2</v>
      </c>
      <c r="M1795" s="3"/>
      <c r="N1795" s="3">
        <v>2024</v>
      </c>
      <c r="O1795" s="3" t="s">
        <v>89</v>
      </c>
      <c r="P1795" s="3" t="s">
        <v>104</v>
      </c>
      <c r="Q1795" s="3"/>
    </row>
    <row r="1796" spans="1:17" hidden="1" x14ac:dyDescent="0.3">
      <c r="A1796" s="2">
        <v>45536</v>
      </c>
      <c r="B1796" s="3" t="s">
        <v>12</v>
      </c>
      <c r="C1796" s="3" t="s">
        <v>100</v>
      </c>
      <c r="D1796" s="3" t="s">
        <v>101</v>
      </c>
      <c r="E1796" s="3" t="s">
        <v>15</v>
      </c>
      <c r="F1796" s="37">
        <v>14325</v>
      </c>
      <c r="G1796" s="3" t="s">
        <v>102</v>
      </c>
      <c r="H1796" s="3" t="s">
        <v>103</v>
      </c>
      <c r="I1796" s="37">
        <f>INDEX('Currency Master'!B:B,MATCH(A1796,'Currency Master'!A:A,0))/INDEX('Currency Master'!C:C,MATCH(A1796,'Currency Master'!A:A,0))</f>
        <v>11.934279525763793</v>
      </c>
      <c r="J1796" s="37">
        <f t="shared" si="106"/>
        <v>60796.28</v>
      </c>
      <c r="K1796" s="3" t="s">
        <v>16</v>
      </c>
      <c r="L1796" s="38">
        <v>5.5199999999999999E-2</v>
      </c>
      <c r="M1796" s="3"/>
      <c r="N1796" s="3">
        <v>2024</v>
      </c>
      <c r="O1796" s="3" t="s">
        <v>90</v>
      </c>
      <c r="P1796" s="3" t="s">
        <v>104</v>
      </c>
      <c r="Q1796" s="3"/>
    </row>
    <row r="1797" spans="1:17" hidden="1" x14ac:dyDescent="0.3">
      <c r="A1797" s="2">
        <v>45505</v>
      </c>
      <c r="B1797" s="3" t="s">
        <v>12</v>
      </c>
      <c r="C1797" s="3" t="s">
        <v>100</v>
      </c>
      <c r="D1797" s="3" t="s">
        <v>101</v>
      </c>
      <c r="E1797" s="3" t="s">
        <v>15</v>
      </c>
      <c r="F1797" s="37">
        <v>13575</v>
      </c>
      <c r="G1797" s="3" t="s">
        <v>102</v>
      </c>
      <c r="H1797" s="3" t="s">
        <v>103</v>
      </c>
      <c r="I1797" s="37">
        <f>INDEX('Currency Master'!B:B,MATCH(A1797,'Currency Master'!A:A,0))/INDEX('Currency Master'!C:C,MATCH(A1797,'Currency Master'!A:A,0))</f>
        <v>11.827926657263752</v>
      </c>
      <c r="J1797" s="37">
        <f t="shared" si="106"/>
        <v>57099.81</v>
      </c>
      <c r="K1797" s="3" t="s">
        <v>16</v>
      </c>
      <c r="L1797" s="38">
        <v>-3.8300000000000001E-2</v>
      </c>
      <c r="M1797" s="3"/>
      <c r="N1797" s="3">
        <v>2024</v>
      </c>
      <c r="O1797" s="3" t="s">
        <v>91</v>
      </c>
      <c r="P1797" s="3" t="s">
        <v>104</v>
      </c>
      <c r="Q1797" s="3"/>
    </row>
    <row r="1798" spans="1:17" hidden="1" x14ac:dyDescent="0.3">
      <c r="A1798" s="2">
        <v>45474</v>
      </c>
      <c r="B1798" s="3" t="s">
        <v>12</v>
      </c>
      <c r="C1798" s="3" t="s">
        <v>100</v>
      </c>
      <c r="D1798" s="3" t="s">
        <v>101</v>
      </c>
      <c r="E1798" s="3" t="s">
        <v>15</v>
      </c>
      <c r="F1798" s="37">
        <v>14115</v>
      </c>
      <c r="G1798" s="3" t="s">
        <v>102</v>
      </c>
      <c r="H1798" s="3" t="s">
        <v>103</v>
      </c>
      <c r="I1798" s="37">
        <f>INDEX('Currency Master'!B:B,MATCH(A1798,'Currency Master'!A:A,0))/INDEX('Currency Master'!C:C,MATCH(A1798,'Currency Master'!A:A,0))</f>
        <v>11.592536672530578</v>
      </c>
      <c r="J1798" s="37">
        <f t="shared" si="106"/>
        <v>58189.62</v>
      </c>
      <c r="K1798" s="3" t="s">
        <v>16</v>
      </c>
      <c r="L1798" s="38">
        <v>-2.01E-2</v>
      </c>
      <c r="M1798" s="3"/>
      <c r="N1798" s="3">
        <v>2024</v>
      </c>
      <c r="O1798" s="3" t="s">
        <v>92</v>
      </c>
      <c r="P1798" s="3" t="s">
        <v>104</v>
      </c>
      <c r="Q1798" s="3"/>
    </row>
    <row r="1799" spans="1:17" hidden="1" x14ac:dyDescent="0.3">
      <c r="A1799" s="2">
        <v>45444</v>
      </c>
      <c r="B1799" s="3" t="s">
        <v>12</v>
      </c>
      <c r="C1799" s="3" t="s">
        <v>100</v>
      </c>
      <c r="D1799" s="3" t="s">
        <v>101</v>
      </c>
      <c r="E1799" s="3" t="s">
        <v>15</v>
      </c>
      <c r="F1799" s="37">
        <v>14405</v>
      </c>
      <c r="G1799" s="3" t="s">
        <v>102</v>
      </c>
      <c r="H1799" s="3" t="s">
        <v>103</v>
      </c>
      <c r="I1799" s="37">
        <f>INDEX('Currency Master'!B:B,MATCH(A1799,'Currency Master'!A:A,0))/INDEX('Currency Master'!C:C,MATCH(A1799,'Currency Master'!A:A,0))</f>
        <v>11.469341699691766</v>
      </c>
      <c r="J1799" s="37">
        <f t="shared" si="106"/>
        <v>58754.07</v>
      </c>
      <c r="K1799" s="3" t="s">
        <v>16</v>
      </c>
      <c r="L1799" s="38">
        <v>-4.3200000000000002E-2</v>
      </c>
      <c r="M1799" s="3"/>
      <c r="N1799" s="3">
        <v>2024</v>
      </c>
      <c r="O1799" s="3" t="s">
        <v>93</v>
      </c>
      <c r="P1799" s="3" t="s">
        <v>104</v>
      </c>
      <c r="Q1799" s="3"/>
    </row>
    <row r="1800" spans="1:17" hidden="1" x14ac:dyDescent="0.3">
      <c r="A1800" s="2">
        <v>45413</v>
      </c>
      <c r="B1800" s="3" t="s">
        <v>12</v>
      </c>
      <c r="C1800" s="3" t="s">
        <v>100</v>
      </c>
      <c r="D1800" s="3" t="s">
        <v>101</v>
      </c>
      <c r="E1800" s="3" t="s">
        <v>15</v>
      </c>
      <c r="F1800" s="37">
        <v>15055</v>
      </c>
      <c r="G1800" s="3" t="s">
        <v>102</v>
      </c>
      <c r="H1800" s="3" t="s">
        <v>103</v>
      </c>
      <c r="I1800" s="37">
        <f>INDEX('Currency Master'!B:B,MATCH(A1800,'Currency Master'!A:A,0))/INDEX('Currency Master'!C:C,MATCH(A1800,'Currency Master'!A:A,0))</f>
        <v>11.519712766691983</v>
      </c>
      <c r="J1800" s="37">
        <f t="shared" si="106"/>
        <v>61674.92</v>
      </c>
      <c r="K1800" s="3" t="s">
        <v>16</v>
      </c>
      <c r="L1800" s="38">
        <v>-2.6499999999999999E-2</v>
      </c>
      <c r="M1800" s="3"/>
      <c r="N1800" s="3">
        <v>2024</v>
      </c>
      <c r="O1800" s="3" t="s">
        <v>94</v>
      </c>
      <c r="P1800" s="3" t="s">
        <v>104</v>
      </c>
      <c r="Q1800" s="3"/>
    </row>
    <row r="1801" spans="1:17" hidden="1" x14ac:dyDescent="0.3">
      <c r="A1801" s="2">
        <v>45383</v>
      </c>
      <c r="B1801" s="3" t="s">
        <v>12</v>
      </c>
      <c r="C1801" s="3" t="s">
        <v>100</v>
      </c>
      <c r="D1801" s="3" t="s">
        <v>101</v>
      </c>
      <c r="E1801" s="3" t="s">
        <v>15</v>
      </c>
      <c r="F1801" s="37">
        <v>15465</v>
      </c>
      <c r="G1801" s="3" t="s">
        <v>102</v>
      </c>
      <c r="H1801" s="3" t="s">
        <v>103</v>
      </c>
      <c r="I1801" s="37">
        <f>INDEX('Currency Master'!B:B,MATCH(A1801,'Currency Master'!A:A,0))/INDEX('Currency Master'!C:C,MATCH(A1801,'Currency Master'!A:A,0))</f>
        <v>11.52608389386887</v>
      </c>
      <c r="J1801" s="37">
        <f t="shared" si="106"/>
        <v>63389.58</v>
      </c>
      <c r="K1801" s="3" t="s">
        <v>16</v>
      </c>
      <c r="L1801" s="38">
        <v>-3.5799999999999998E-2</v>
      </c>
      <c r="M1801" s="3"/>
      <c r="N1801" s="3">
        <v>2024</v>
      </c>
      <c r="O1801" s="3" t="s">
        <v>95</v>
      </c>
      <c r="P1801" s="3" t="s">
        <v>104</v>
      </c>
      <c r="Q1801" s="3"/>
    </row>
    <row r="1802" spans="1:17" hidden="1" x14ac:dyDescent="0.3">
      <c r="A1802" s="2">
        <v>45352</v>
      </c>
      <c r="B1802" s="3" t="s">
        <v>12</v>
      </c>
      <c r="C1802" s="3" t="s">
        <v>100</v>
      </c>
      <c r="D1802" s="3" t="s">
        <v>101</v>
      </c>
      <c r="E1802" s="3" t="s">
        <v>15</v>
      </c>
      <c r="F1802" s="37">
        <v>16040</v>
      </c>
      <c r="G1802" s="3" t="s">
        <v>102</v>
      </c>
      <c r="H1802" s="3" t="s">
        <v>103</v>
      </c>
      <c r="I1802" s="37">
        <f>INDEX('Currency Master'!B:B,MATCH(A1802,'Currency Master'!A:A,0))/INDEX('Currency Master'!C:C,MATCH(A1802,'Currency Master'!A:A,0))</f>
        <v>11.543841668628726</v>
      </c>
      <c r="J1802" s="37">
        <f t="shared" si="106"/>
        <v>65847.740000000005</v>
      </c>
      <c r="K1802" s="3" t="s">
        <v>16</v>
      </c>
      <c r="L1802" s="38">
        <v>-5.5999999999999999E-3</v>
      </c>
      <c r="M1802" s="3"/>
      <c r="N1802" s="3">
        <v>2024</v>
      </c>
      <c r="O1802" s="3" t="s">
        <v>96</v>
      </c>
      <c r="P1802" s="3" t="s">
        <v>104</v>
      </c>
      <c r="Q1802" s="3"/>
    </row>
    <row r="1803" spans="1:17" hidden="1" x14ac:dyDescent="0.3">
      <c r="A1803" s="2">
        <v>45323</v>
      </c>
      <c r="B1803" s="3" t="s">
        <v>12</v>
      </c>
      <c r="C1803" s="3" t="s">
        <v>100</v>
      </c>
      <c r="D1803" s="3" t="s">
        <v>101</v>
      </c>
      <c r="E1803" s="3" t="s">
        <v>15</v>
      </c>
      <c r="F1803" s="37">
        <v>16130</v>
      </c>
      <c r="G1803" s="3" t="s">
        <v>102</v>
      </c>
      <c r="H1803" s="3" t="s">
        <v>103</v>
      </c>
      <c r="I1803" s="37">
        <f>INDEX('Currency Master'!B:B,MATCH(A1803,'Currency Master'!A:A,0))/INDEX('Currency Master'!C:C,MATCH(A1803,'Currency Master'!A:A,0))</f>
        <v>11.533592108741322</v>
      </c>
      <c r="J1803" s="37">
        <f t="shared" si="106"/>
        <v>66158.42</v>
      </c>
      <c r="K1803" s="3" t="s">
        <v>16</v>
      </c>
      <c r="L1803" s="38">
        <v>8.8000000000000005E-3</v>
      </c>
      <c r="M1803" s="3"/>
      <c r="N1803" s="3">
        <v>2024</v>
      </c>
      <c r="O1803" s="3" t="s">
        <v>97</v>
      </c>
      <c r="P1803" s="3" t="s">
        <v>104</v>
      </c>
      <c r="Q1803" s="3"/>
    </row>
    <row r="1804" spans="1:17" hidden="1" x14ac:dyDescent="0.3">
      <c r="A1804" s="2">
        <v>45292</v>
      </c>
      <c r="B1804" s="3" t="s">
        <v>12</v>
      </c>
      <c r="C1804" s="3" t="s">
        <v>100</v>
      </c>
      <c r="D1804" s="3" t="s">
        <v>101</v>
      </c>
      <c r="E1804" s="3" t="s">
        <v>15</v>
      </c>
      <c r="F1804" s="37">
        <v>15990</v>
      </c>
      <c r="G1804" s="3" t="s">
        <v>102</v>
      </c>
      <c r="H1804" s="3" t="s">
        <v>103</v>
      </c>
      <c r="I1804" s="37">
        <f>INDEX('Currency Master'!B:B,MATCH(A1804,'Currency Master'!A:A,0))/INDEX('Currency Master'!C:C,MATCH(A1804,'Currency Master'!A:A,0))</f>
        <v>11.592928996972361</v>
      </c>
      <c r="J1804" s="37">
        <f t="shared" si="106"/>
        <v>65921.61</v>
      </c>
      <c r="K1804" s="3" t="s">
        <v>16</v>
      </c>
      <c r="L1804" s="38">
        <v>3.3599999999999998E-2</v>
      </c>
      <c r="M1804" s="3"/>
      <c r="N1804" s="3">
        <v>2024</v>
      </c>
      <c r="O1804" s="3" t="s">
        <v>85</v>
      </c>
      <c r="P1804" s="3" t="s">
        <v>104</v>
      </c>
      <c r="Q1804" s="3"/>
    </row>
    <row r="1805" spans="1:17" hidden="1" x14ac:dyDescent="0.3">
      <c r="A1805" s="2">
        <v>45261</v>
      </c>
      <c r="B1805" s="3" t="s">
        <v>12</v>
      </c>
      <c r="C1805" s="3" t="s">
        <v>100</v>
      </c>
      <c r="D1805" s="3" t="s">
        <v>101</v>
      </c>
      <c r="E1805" s="3" t="s">
        <v>15</v>
      </c>
      <c r="F1805" s="37">
        <v>15470</v>
      </c>
      <c r="G1805" s="3" t="s">
        <v>102</v>
      </c>
      <c r="H1805" s="3" t="s">
        <v>103</v>
      </c>
      <c r="I1805" s="37">
        <f>INDEX('Currency Master'!B:B,MATCH(A1805,'Currency Master'!A:A,0))/INDEX('Currency Master'!C:C,MATCH(A1805,'Currency Master'!A:A,0))</f>
        <v>11.707853137591929</v>
      </c>
      <c r="J1805" s="37">
        <f t="shared" si="106"/>
        <v>64410.07</v>
      </c>
      <c r="K1805" s="3" t="s">
        <v>16</v>
      </c>
      <c r="L1805" s="38">
        <v>1.6799999999999999E-2</v>
      </c>
      <c r="M1805" s="3"/>
      <c r="N1805" s="3">
        <v>2023</v>
      </c>
      <c r="O1805" s="3" t="s">
        <v>87</v>
      </c>
      <c r="P1805" s="3" t="s">
        <v>104</v>
      </c>
      <c r="Q1805" s="3"/>
    </row>
    <row r="1806" spans="1:17" hidden="1" x14ac:dyDescent="0.3">
      <c r="A1806" s="2">
        <v>45231</v>
      </c>
      <c r="B1806" s="3" t="s">
        <v>12</v>
      </c>
      <c r="C1806" s="3" t="s">
        <v>100</v>
      </c>
      <c r="D1806" s="3" t="s">
        <v>101</v>
      </c>
      <c r="E1806" s="3" t="s">
        <v>15</v>
      </c>
      <c r="F1806" s="37">
        <v>15215</v>
      </c>
      <c r="G1806" s="3" t="s">
        <v>102</v>
      </c>
      <c r="H1806" s="3" t="s">
        <v>103</v>
      </c>
      <c r="I1806" s="37">
        <f>INDEX('Currency Master'!B:B,MATCH(A1806,'Currency Master'!A:A,0))/INDEX('Currency Master'!C:C,MATCH(A1806,'Currency Master'!A:A,0))</f>
        <v>11.680213004484305</v>
      </c>
      <c r="J1806" s="37">
        <f t="shared" si="106"/>
        <v>63198.81</v>
      </c>
      <c r="K1806" s="3" t="s">
        <v>16</v>
      </c>
      <c r="L1806" s="38">
        <v>-3.9199999999999999E-2</v>
      </c>
      <c r="M1806" s="3"/>
      <c r="N1806" s="3">
        <v>2023</v>
      </c>
      <c r="O1806" s="3" t="s">
        <v>88</v>
      </c>
      <c r="P1806" s="3" t="s">
        <v>104</v>
      </c>
      <c r="Q1806" s="3"/>
    </row>
    <row r="1807" spans="1:17" hidden="1" x14ac:dyDescent="0.3">
      <c r="A1807" s="2">
        <v>45200</v>
      </c>
      <c r="B1807" s="3" t="s">
        <v>12</v>
      </c>
      <c r="C1807" s="3" t="s">
        <v>100</v>
      </c>
      <c r="D1807" s="3" t="s">
        <v>101</v>
      </c>
      <c r="E1807" s="3" t="s">
        <v>15</v>
      </c>
      <c r="F1807" s="37">
        <v>15835</v>
      </c>
      <c r="G1807" s="3" t="s">
        <v>102</v>
      </c>
      <c r="H1807" s="3" t="s">
        <v>103</v>
      </c>
      <c r="I1807" s="37">
        <f>INDEX('Currency Master'!B:B,MATCH(A1807,'Currency Master'!A:A,0))/INDEX('Currency Master'!C:C,MATCH(A1807,'Currency Master'!A:A,0))</f>
        <v>11.379480029525137</v>
      </c>
      <c r="J1807" s="37">
        <f t="shared" si="106"/>
        <v>64080.61</v>
      </c>
      <c r="K1807" s="3" t="s">
        <v>16</v>
      </c>
      <c r="L1807" s="38">
        <v>-0.1011</v>
      </c>
      <c r="M1807" s="3"/>
      <c r="N1807" s="3">
        <v>2023</v>
      </c>
      <c r="O1807" s="3" t="s">
        <v>89</v>
      </c>
      <c r="P1807" s="3" t="s">
        <v>104</v>
      </c>
      <c r="Q1807" s="3"/>
    </row>
    <row r="1808" spans="1:17" hidden="1" x14ac:dyDescent="0.3">
      <c r="A1808" s="2">
        <v>45170</v>
      </c>
      <c r="B1808" s="3" t="s">
        <v>12</v>
      </c>
      <c r="C1808" s="3" t="s">
        <v>100</v>
      </c>
      <c r="D1808" s="3" t="s">
        <v>101</v>
      </c>
      <c r="E1808" s="3" t="s">
        <v>15</v>
      </c>
      <c r="F1808" s="37">
        <v>17615</v>
      </c>
      <c r="G1808" s="3" t="s">
        <v>102</v>
      </c>
      <c r="H1808" s="3" t="s">
        <v>103</v>
      </c>
      <c r="I1808" s="37">
        <f>INDEX('Currency Master'!B:B,MATCH(A1808,'Currency Master'!A:A,0))/INDEX('Currency Master'!C:C,MATCH(A1808,'Currency Master'!A:A,0))</f>
        <v>11.372414737707164</v>
      </c>
      <c r="J1808" s="37">
        <f t="shared" si="106"/>
        <v>71239.61</v>
      </c>
      <c r="K1808" s="3" t="s">
        <v>16</v>
      </c>
      <c r="L1808" s="38">
        <v>-1.29E-2</v>
      </c>
      <c r="M1808" s="3"/>
      <c r="N1808" s="3">
        <v>2023</v>
      </c>
      <c r="O1808" s="3" t="s">
        <v>90</v>
      </c>
      <c r="P1808" s="3" t="s">
        <v>104</v>
      </c>
      <c r="Q1808" s="3"/>
    </row>
    <row r="1809" spans="1:17" hidden="1" x14ac:dyDescent="0.3">
      <c r="A1809" s="2">
        <v>45139</v>
      </c>
      <c r="B1809" s="3" t="s">
        <v>12</v>
      </c>
      <c r="C1809" s="3" t="s">
        <v>100</v>
      </c>
      <c r="D1809" s="3" t="s">
        <v>101</v>
      </c>
      <c r="E1809" s="3" t="s">
        <v>15</v>
      </c>
      <c r="F1809" s="37">
        <v>17845</v>
      </c>
      <c r="G1809" s="3" t="s">
        <v>102</v>
      </c>
      <c r="H1809" s="3" t="s">
        <v>103</v>
      </c>
      <c r="I1809" s="37">
        <f>INDEX('Currency Master'!B:B,MATCH(A1809,'Currency Master'!A:A,0))/INDEX('Currency Master'!C:C,MATCH(A1809,'Currency Master'!A:A,0))</f>
        <v>11.394009534044253</v>
      </c>
      <c r="J1809" s="37">
        <f t="shared" si="106"/>
        <v>72306.83</v>
      </c>
      <c r="K1809" s="3" t="s">
        <v>16</v>
      </c>
      <c r="L1809" s="38">
        <v>3.9E-2</v>
      </c>
      <c r="M1809" s="3"/>
      <c r="N1809" s="3">
        <v>2023</v>
      </c>
      <c r="O1809" s="3" t="s">
        <v>91</v>
      </c>
      <c r="P1809" s="3" t="s">
        <v>104</v>
      </c>
      <c r="Q1809" s="3"/>
    </row>
    <row r="1810" spans="1:17" hidden="1" x14ac:dyDescent="0.3">
      <c r="A1810" s="2">
        <v>45108</v>
      </c>
      <c r="B1810" s="3" t="s">
        <v>12</v>
      </c>
      <c r="C1810" s="3" t="s">
        <v>100</v>
      </c>
      <c r="D1810" s="3" t="s">
        <v>101</v>
      </c>
      <c r="E1810" s="3" t="s">
        <v>15</v>
      </c>
      <c r="F1810" s="37">
        <v>17175</v>
      </c>
      <c r="G1810" s="3" t="s">
        <v>102</v>
      </c>
      <c r="H1810" s="3" t="s">
        <v>103</v>
      </c>
      <c r="I1810" s="37">
        <f>INDEX('Currency Master'!B:B,MATCH(A1810,'Currency Master'!A:A,0))/INDEX('Currency Master'!C:C,MATCH(A1810,'Currency Master'!A:A,0))</f>
        <v>11.514014504522162</v>
      </c>
      <c r="J1810" s="37">
        <f t="shared" si="106"/>
        <v>70324.990000000005</v>
      </c>
      <c r="K1810" s="3" t="s">
        <v>16</v>
      </c>
      <c r="L1810" s="38">
        <v>5.7599999999999998E-2</v>
      </c>
      <c r="M1810" s="3"/>
      <c r="N1810" s="3">
        <v>2023</v>
      </c>
      <c r="O1810" s="3" t="s">
        <v>92</v>
      </c>
      <c r="P1810" s="3" t="s">
        <v>104</v>
      </c>
      <c r="Q1810" s="3"/>
    </row>
    <row r="1811" spans="1:17" hidden="1" x14ac:dyDescent="0.3">
      <c r="A1811" s="2">
        <v>45078</v>
      </c>
      <c r="B1811" s="3" t="s">
        <v>12</v>
      </c>
      <c r="C1811" s="3" t="s">
        <v>100</v>
      </c>
      <c r="D1811" s="3" t="s">
        <v>101</v>
      </c>
      <c r="E1811" s="3" t="s">
        <v>15</v>
      </c>
      <c r="F1811" s="37">
        <v>16240</v>
      </c>
      <c r="G1811" s="3" t="s">
        <v>102</v>
      </c>
      <c r="H1811" s="3" t="s">
        <v>103</v>
      </c>
      <c r="I1811" s="37">
        <f>INDEX('Currency Master'!B:B,MATCH(A1811,'Currency Master'!A:A,0))/INDEX('Currency Master'!C:C,MATCH(A1811,'Currency Master'!A:A,0))</f>
        <v>11.320728696923311</v>
      </c>
      <c r="J1811" s="37">
        <f t="shared" si="106"/>
        <v>65380.25</v>
      </c>
      <c r="K1811" s="3" t="s">
        <v>16</v>
      </c>
      <c r="L1811" s="38">
        <v>5.8999999999999997E-2</v>
      </c>
      <c r="M1811" s="3"/>
      <c r="N1811" s="3">
        <v>2023</v>
      </c>
      <c r="O1811" s="3" t="s">
        <v>93</v>
      </c>
      <c r="P1811" s="3" t="s">
        <v>104</v>
      </c>
      <c r="Q1811" s="3"/>
    </row>
    <row r="1812" spans="1:17" hidden="1" x14ac:dyDescent="0.3">
      <c r="A1812" s="2">
        <v>45047</v>
      </c>
      <c r="B1812" s="3" t="s">
        <v>12</v>
      </c>
      <c r="C1812" s="3" t="s">
        <v>100</v>
      </c>
      <c r="D1812" s="3" t="s">
        <v>101</v>
      </c>
      <c r="E1812" s="3" t="s">
        <v>15</v>
      </c>
      <c r="F1812" s="37">
        <v>15335</v>
      </c>
      <c r="G1812" s="3" t="s">
        <v>102</v>
      </c>
      <c r="H1812" s="3" t="s">
        <v>103</v>
      </c>
      <c r="I1812" s="37">
        <f>INDEX('Currency Master'!B:B,MATCH(A1812,'Currency Master'!A:A,0))/INDEX('Currency Master'!C:C,MATCH(A1812,'Currency Master'!A:A,0))</f>
        <v>11.627220183099187</v>
      </c>
      <c r="J1812" s="37">
        <f t="shared" si="106"/>
        <v>63408.26</v>
      </c>
      <c r="K1812" s="3" t="s">
        <v>16</v>
      </c>
      <c r="L1812" s="38">
        <v>8.5000000000000006E-3</v>
      </c>
      <c r="M1812" s="3"/>
      <c r="N1812" s="3">
        <v>2023</v>
      </c>
      <c r="O1812" s="3" t="s">
        <v>94</v>
      </c>
      <c r="P1812" s="3" t="s">
        <v>104</v>
      </c>
      <c r="Q1812" s="3"/>
    </row>
    <row r="1813" spans="1:17" hidden="1" x14ac:dyDescent="0.3">
      <c r="A1813" s="2">
        <v>45017</v>
      </c>
      <c r="B1813" s="3" t="s">
        <v>12</v>
      </c>
      <c r="C1813" s="3" t="s">
        <v>100</v>
      </c>
      <c r="D1813" s="3" t="s">
        <v>101</v>
      </c>
      <c r="E1813" s="3" t="s">
        <v>15</v>
      </c>
      <c r="F1813" s="37">
        <v>15205</v>
      </c>
      <c r="G1813" s="3" t="s">
        <v>102</v>
      </c>
      <c r="H1813" s="3" t="s">
        <v>103</v>
      </c>
      <c r="I1813" s="37">
        <f>INDEX('Currency Master'!B:B,MATCH(A1813,'Currency Master'!A:A,0))/INDEX('Currency Master'!C:C,MATCH(A1813,'Currency Master'!A:A,0))</f>
        <v>11.969324265663436</v>
      </c>
      <c r="J1813" s="37">
        <f t="shared" si="106"/>
        <v>64720.56</v>
      </c>
      <c r="K1813" s="3" t="s">
        <v>16</v>
      </c>
      <c r="L1813" s="38">
        <v>6.1800000000000001E-2</v>
      </c>
      <c r="M1813" s="3"/>
      <c r="N1813" s="3">
        <v>2023</v>
      </c>
      <c r="O1813" s="3" t="s">
        <v>95</v>
      </c>
      <c r="P1813" s="3" t="s">
        <v>104</v>
      </c>
      <c r="Q1813" s="3"/>
    </row>
    <row r="1814" spans="1:17" hidden="1" x14ac:dyDescent="0.3">
      <c r="A1814" s="2">
        <v>44986</v>
      </c>
      <c r="B1814" s="3" t="s">
        <v>12</v>
      </c>
      <c r="C1814" s="3" t="s">
        <v>100</v>
      </c>
      <c r="D1814" s="3" t="s">
        <v>101</v>
      </c>
      <c r="E1814" s="3" t="s">
        <v>15</v>
      </c>
      <c r="F1814" s="37">
        <v>14320</v>
      </c>
      <c r="G1814" s="3" t="s">
        <v>102</v>
      </c>
      <c r="H1814" s="3" t="s">
        <v>103</v>
      </c>
      <c r="I1814" s="37">
        <f>INDEX('Currency Master'!B:B,MATCH(A1814,'Currency Master'!A:A,0))/INDEX('Currency Master'!C:C,MATCH(A1814,'Currency Master'!A:A,0))</f>
        <v>11.963422447434327</v>
      </c>
      <c r="J1814" s="37">
        <f t="shared" si="106"/>
        <v>60923.47</v>
      </c>
      <c r="K1814" s="3" t="s">
        <v>16</v>
      </c>
      <c r="L1814" s="38">
        <v>3.5000000000000001E-3</v>
      </c>
      <c r="M1814" s="3"/>
      <c r="N1814" s="3">
        <v>2023</v>
      </c>
      <c r="O1814" s="3" t="s">
        <v>96</v>
      </c>
      <c r="P1814" s="3" t="s">
        <v>104</v>
      </c>
      <c r="Q1814" s="3"/>
    </row>
    <row r="1815" spans="1:17" hidden="1" x14ac:dyDescent="0.3">
      <c r="A1815" s="2">
        <v>44958</v>
      </c>
      <c r="B1815" s="3" t="s">
        <v>12</v>
      </c>
      <c r="C1815" s="3" t="s">
        <v>100</v>
      </c>
      <c r="D1815" s="3" t="s">
        <v>101</v>
      </c>
      <c r="E1815" s="3" t="s">
        <v>15</v>
      </c>
      <c r="F1815" s="37">
        <v>14270</v>
      </c>
      <c r="G1815" s="3" t="s">
        <v>102</v>
      </c>
      <c r="H1815" s="3" t="s">
        <v>103</v>
      </c>
      <c r="I1815" s="37">
        <f>INDEX('Currency Master'!B:B,MATCH(A1815,'Currency Master'!A:A,0))/INDEX('Currency Master'!C:C,MATCH(A1815,'Currency Master'!A:A,0))</f>
        <v>11.92066354129102</v>
      </c>
      <c r="J1815" s="37">
        <f t="shared" si="106"/>
        <v>60493.760000000002</v>
      </c>
      <c r="K1815" s="3" t="s">
        <v>16</v>
      </c>
      <c r="L1815" s="38">
        <v>-5.3100000000000001E-2</v>
      </c>
      <c r="M1815" s="3"/>
      <c r="N1815" s="3">
        <v>2023</v>
      </c>
      <c r="O1815" s="3" t="s">
        <v>97</v>
      </c>
      <c r="P1815" s="3" t="s">
        <v>104</v>
      </c>
      <c r="Q1815" s="3"/>
    </row>
    <row r="1816" spans="1:17" hidden="1" x14ac:dyDescent="0.3">
      <c r="A1816" s="2">
        <v>44927</v>
      </c>
      <c r="B1816" s="3" t="s">
        <v>12</v>
      </c>
      <c r="C1816" s="3" t="s">
        <v>100</v>
      </c>
      <c r="D1816" s="3" t="s">
        <v>101</v>
      </c>
      <c r="E1816" s="3" t="s">
        <v>15</v>
      </c>
      <c r="F1816" s="37">
        <v>15070</v>
      </c>
      <c r="G1816" s="3" t="s">
        <v>102</v>
      </c>
      <c r="H1816" s="3" t="s">
        <v>103</v>
      </c>
      <c r="I1816" s="37">
        <f>INDEX('Currency Master'!B:B,MATCH(A1816,'Currency Master'!A:A,0))/INDEX('Currency Master'!C:C,MATCH(A1816,'Currency Master'!A:A,0))</f>
        <v>12.10097719869707</v>
      </c>
      <c r="J1816" s="37">
        <f t="shared" si="106"/>
        <v>64851.48</v>
      </c>
      <c r="K1816" s="3" t="s">
        <v>16</v>
      </c>
      <c r="L1816" s="38">
        <v>6.0100000000000001E-2</v>
      </c>
      <c r="M1816" s="3"/>
      <c r="N1816" s="3">
        <v>2023</v>
      </c>
      <c r="O1816" s="3" t="s">
        <v>85</v>
      </c>
      <c r="P1816" s="3" t="s">
        <v>104</v>
      </c>
      <c r="Q1816" s="3"/>
    </row>
    <row r="1817" spans="1:17" hidden="1" x14ac:dyDescent="0.3">
      <c r="A1817" s="2">
        <v>44896</v>
      </c>
      <c r="B1817" s="3" t="s">
        <v>12</v>
      </c>
      <c r="C1817" s="3" t="s">
        <v>100</v>
      </c>
      <c r="D1817" s="3" t="s">
        <v>101</v>
      </c>
      <c r="E1817" s="3" t="s">
        <v>15</v>
      </c>
      <c r="F1817" s="37">
        <v>14215</v>
      </c>
      <c r="G1817" s="3" t="s">
        <v>102</v>
      </c>
      <c r="H1817" s="3" t="s">
        <v>103</v>
      </c>
      <c r="I1817" s="37">
        <f>INDEX('Currency Master'!B:B,MATCH(A1817,'Currency Master'!A:A,0))/INDEX('Currency Master'!C:C,MATCH(A1817,'Currency Master'!A:A,0))</f>
        <v>11.958451400568348</v>
      </c>
      <c r="J1817" s="37">
        <f t="shared" si="106"/>
        <v>60451.63</v>
      </c>
      <c r="K1817" s="3" t="s">
        <v>16</v>
      </c>
      <c r="L1817" s="38">
        <v>7.0800000000000002E-2</v>
      </c>
      <c r="M1817" s="3"/>
      <c r="N1817" s="3">
        <v>2022</v>
      </c>
      <c r="O1817" s="3" t="s">
        <v>87</v>
      </c>
      <c r="P1817" s="3" t="s">
        <v>104</v>
      </c>
      <c r="Q1817" s="3"/>
    </row>
    <row r="1818" spans="1:17" hidden="1" x14ac:dyDescent="0.3">
      <c r="A1818" s="2">
        <v>44866</v>
      </c>
      <c r="B1818" s="3" t="s">
        <v>12</v>
      </c>
      <c r="C1818" s="3" t="s">
        <v>100</v>
      </c>
      <c r="D1818" s="3" t="s">
        <v>101</v>
      </c>
      <c r="E1818" s="3" t="s">
        <v>15</v>
      </c>
      <c r="F1818" s="37">
        <v>13275</v>
      </c>
      <c r="G1818" s="3" t="s">
        <v>102</v>
      </c>
      <c r="H1818" s="3" t="s">
        <v>103</v>
      </c>
      <c r="I1818" s="37">
        <f>INDEX('Currency Master'!B:B,MATCH(A1818,'Currency Master'!A:A,0))/INDEX('Currency Master'!C:C,MATCH(A1818,'Currency Master'!A:A,0))</f>
        <v>11.526894990053473</v>
      </c>
      <c r="J1818" s="37">
        <f t="shared" si="106"/>
        <v>54416.81</v>
      </c>
      <c r="K1818" s="3" t="s">
        <v>16</v>
      </c>
      <c r="L1818" s="38">
        <v>-1.8499999999999999E-2</v>
      </c>
      <c r="M1818" s="3"/>
      <c r="N1818" s="3">
        <v>2022</v>
      </c>
      <c r="O1818" s="3" t="s">
        <v>88</v>
      </c>
      <c r="P1818" s="3" t="s">
        <v>104</v>
      </c>
      <c r="Q1818" s="3"/>
    </row>
    <row r="1819" spans="1:17" hidden="1" x14ac:dyDescent="0.3">
      <c r="A1819" s="2">
        <v>44835</v>
      </c>
      <c r="B1819" s="3" t="s">
        <v>12</v>
      </c>
      <c r="C1819" s="3" t="s">
        <v>100</v>
      </c>
      <c r="D1819" s="3" t="s">
        <v>101</v>
      </c>
      <c r="E1819" s="3" t="s">
        <v>15</v>
      </c>
      <c r="F1819" s="37">
        <v>13525</v>
      </c>
      <c r="G1819" s="3" t="s">
        <v>102</v>
      </c>
      <c r="H1819" s="3" t="s">
        <v>103</v>
      </c>
      <c r="I1819" s="37">
        <f>INDEX('Currency Master'!B:B,MATCH(A1819,'Currency Master'!A:A,0))/INDEX('Currency Master'!C:C,MATCH(A1819,'Currency Master'!A:A,0))</f>
        <v>11.279101965349588</v>
      </c>
      <c r="J1819" s="37">
        <f t="shared" si="106"/>
        <v>54249.78</v>
      </c>
      <c r="K1819" s="3" t="s">
        <v>16</v>
      </c>
      <c r="L1819" s="38">
        <v>-1.9199999999999998E-2</v>
      </c>
      <c r="M1819" s="3"/>
      <c r="N1819" s="3">
        <v>2022</v>
      </c>
      <c r="O1819" s="3" t="s">
        <v>89</v>
      </c>
      <c r="P1819" s="3" t="s">
        <v>104</v>
      </c>
      <c r="Q1819" s="3"/>
    </row>
    <row r="1820" spans="1:17" hidden="1" x14ac:dyDescent="0.3">
      <c r="A1820" s="2">
        <v>44805</v>
      </c>
      <c r="B1820" s="3" t="s">
        <v>12</v>
      </c>
      <c r="C1820" s="3" t="s">
        <v>100</v>
      </c>
      <c r="D1820" s="3" t="s">
        <v>101</v>
      </c>
      <c r="E1820" s="3" t="s">
        <v>15</v>
      </c>
      <c r="F1820" s="37">
        <v>13790</v>
      </c>
      <c r="G1820" s="3" t="s">
        <v>102</v>
      </c>
      <c r="H1820" s="3" t="s">
        <v>103</v>
      </c>
      <c r="I1820" s="37">
        <f>INDEX('Currency Master'!B:B,MATCH(A1820,'Currency Master'!A:A,0))/INDEX('Currency Master'!C:C,MATCH(A1820,'Currency Master'!A:A,0))</f>
        <v>11.280045828354536</v>
      </c>
      <c r="J1820" s="37">
        <f t="shared" si="106"/>
        <v>55317.34</v>
      </c>
      <c r="K1820" s="3" t="s">
        <v>16</v>
      </c>
      <c r="L1820" s="38">
        <v>-0.108</v>
      </c>
      <c r="M1820" s="3"/>
      <c r="N1820" s="3">
        <v>2022</v>
      </c>
      <c r="O1820" s="3" t="s">
        <v>90</v>
      </c>
      <c r="P1820" s="3" t="s">
        <v>104</v>
      </c>
      <c r="Q1820" s="3"/>
    </row>
    <row r="1821" spans="1:17" hidden="1" x14ac:dyDescent="0.3">
      <c r="A1821" s="2">
        <v>44774</v>
      </c>
      <c r="B1821" s="3" t="s">
        <v>12</v>
      </c>
      <c r="C1821" s="3" t="s">
        <v>100</v>
      </c>
      <c r="D1821" s="3" t="s">
        <v>101</v>
      </c>
      <c r="E1821" s="3" t="s">
        <v>15</v>
      </c>
      <c r="F1821" s="37">
        <v>15460</v>
      </c>
      <c r="G1821" s="3" t="s">
        <v>102</v>
      </c>
      <c r="H1821" s="3" t="s">
        <v>103</v>
      </c>
      <c r="I1821" s="37">
        <f>INDEX('Currency Master'!B:B,MATCH(A1821,'Currency Master'!A:A,0))/INDEX('Currency Master'!C:C,MATCH(A1821,'Currency Master'!A:A,0))</f>
        <v>11.545506604732182</v>
      </c>
      <c r="J1821" s="37">
        <f t="shared" si="106"/>
        <v>63475.87</v>
      </c>
      <c r="K1821" s="3" t="s">
        <v>16</v>
      </c>
      <c r="L1821" s="38">
        <v>3.6900000000000002E-2</v>
      </c>
      <c r="M1821" s="3"/>
      <c r="N1821" s="3">
        <v>2022</v>
      </c>
      <c r="O1821" s="3" t="s">
        <v>91</v>
      </c>
      <c r="P1821" s="3" t="s">
        <v>104</v>
      </c>
      <c r="Q1821" s="3"/>
    </row>
    <row r="1822" spans="1:17" hidden="1" x14ac:dyDescent="0.3">
      <c r="A1822" s="2">
        <v>44743</v>
      </c>
      <c r="B1822" s="3" t="s">
        <v>12</v>
      </c>
      <c r="C1822" s="3" t="s">
        <v>100</v>
      </c>
      <c r="D1822" s="3" t="s">
        <v>101</v>
      </c>
      <c r="E1822" s="3" t="s">
        <v>15</v>
      </c>
      <c r="F1822" s="37">
        <v>14910</v>
      </c>
      <c r="G1822" s="3" t="s">
        <v>102</v>
      </c>
      <c r="H1822" s="3" t="s">
        <v>103</v>
      </c>
      <c r="I1822" s="37">
        <f>INDEX('Currency Master'!B:B,MATCH(A1822,'Currency Master'!A:A,0))/INDEX('Currency Master'!C:C,MATCH(A1822,'Currency Master'!A:A,0))</f>
        <v>11.803764625628403</v>
      </c>
      <c r="J1822" s="37">
        <f t="shared" si="106"/>
        <v>62587.03</v>
      </c>
      <c r="K1822" s="3" t="s">
        <v>16</v>
      </c>
      <c r="L1822" s="38">
        <v>-0.156</v>
      </c>
      <c r="M1822" s="3"/>
      <c r="N1822" s="3">
        <v>2022</v>
      </c>
      <c r="O1822" s="3" t="s">
        <v>92</v>
      </c>
      <c r="P1822" s="3" t="s">
        <v>104</v>
      </c>
      <c r="Q1822" s="3"/>
    </row>
    <row r="1823" spans="1:17" hidden="1" x14ac:dyDescent="0.3">
      <c r="A1823" s="2">
        <v>44713</v>
      </c>
      <c r="B1823" s="3" t="s">
        <v>12</v>
      </c>
      <c r="C1823" s="3" t="s">
        <v>100</v>
      </c>
      <c r="D1823" s="3" t="s">
        <v>101</v>
      </c>
      <c r="E1823" s="3" t="s">
        <v>15</v>
      </c>
      <c r="F1823" s="37">
        <v>17665</v>
      </c>
      <c r="G1823" s="3" t="s">
        <v>102</v>
      </c>
      <c r="H1823" s="3" t="s">
        <v>103</v>
      </c>
      <c r="I1823" s="37">
        <f>INDEX('Currency Master'!B:B,MATCH(A1823,'Currency Master'!A:A,0))/INDEX('Currency Master'!C:C,MATCH(A1823,'Currency Master'!A:A,0))</f>
        <v>11.659374598766815</v>
      </c>
      <c r="J1823" s="37">
        <f t="shared" si="106"/>
        <v>73244.509999999995</v>
      </c>
      <c r="K1823" s="3" t="s">
        <v>16</v>
      </c>
      <c r="L1823" s="38">
        <v>-0.13339999999999999</v>
      </c>
      <c r="M1823" s="3"/>
      <c r="N1823" s="3">
        <v>2022</v>
      </c>
      <c r="O1823" s="3" t="s">
        <v>93</v>
      </c>
      <c r="P1823" s="3" t="s">
        <v>104</v>
      </c>
      <c r="Q1823" s="3"/>
    </row>
    <row r="1824" spans="1:17" hidden="1" x14ac:dyDescent="0.3">
      <c r="A1824" s="2">
        <v>44682</v>
      </c>
      <c r="B1824" s="3" t="s">
        <v>12</v>
      </c>
      <c r="C1824" s="3" t="s">
        <v>100</v>
      </c>
      <c r="D1824" s="3" t="s">
        <v>101</v>
      </c>
      <c r="E1824" s="3" t="s">
        <v>15</v>
      </c>
      <c r="F1824" s="37">
        <v>20385</v>
      </c>
      <c r="G1824" s="3" t="s">
        <v>102</v>
      </c>
      <c r="H1824" s="3" t="s">
        <v>103</v>
      </c>
      <c r="I1824" s="37">
        <f>INDEX('Currency Master'!B:B,MATCH(A1824,'Currency Master'!A:A,0))/INDEX('Currency Master'!C:C,MATCH(A1824,'Currency Master'!A:A,0))</f>
        <v>11.588027580004498</v>
      </c>
      <c r="J1824" s="37">
        <f t="shared" si="106"/>
        <v>84005.25</v>
      </c>
      <c r="K1824" s="3" t="s">
        <v>16</v>
      </c>
      <c r="L1824" s="38">
        <v>-6.25E-2</v>
      </c>
      <c r="M1824" s="3"/>
      <c r="N1824" s="3">
        <v>2022</v>
      </c>
      <c r="O1824" s="3" t="s">
        <v>94</v>
      </c>
      <c r="P1824" s="3" t="s">
        <v>104</v>
      </c>
      <c r="Q1824" s="3"/>
    </row>
    <row r="1825" spans="1:17" hidden="1" x14ac:dyDescent="0.3">
      <c r="A1825" s="2">
        <v>44652</v>
      </c>
      <c r="B1825" s="3" t="s">
        <v>12</v>
      </c>
      <c r="C1825" s="3" t="s">
        <v>100</v>
      </c>
      <c r="D1825" s="3" t="s">
        <v>101</v>
      </c>
      <c r="E1825" s="3" t="s">
        <v>15</v>
      </c>
      <c r="F1825" s="37">
        <v>21745</v>
      </c>
      <c r="G1825" s="3" t="s">
        <v>102</v>
      </c>
      <c r="H1825" s="3" t="s">
        <v>103</v>
      </c>
      <c r="I1825" s="37">
        <f>INDEX('Currency Master'!B:B,MATCH(A1825,'Currency Master'!A:A,0))/INDEX('Currency Master'!C:C,MATCH(A1825,'Currency Master'!A:A,0))</f>
        <v>11.52711637409201</v>
      </c>
      <c r="J1825" s="37">
        <f t="shared" si="106"/>
        <v>89138.69</v>
      </c>
      <c r="K1825" s="3" t="s">
        <v>16</v>
      </c>
      <c r="L1825" s="38">
        <v>-5.0000000000000001E-4</v>
      </c>
      <c r="M1825" s="3"/>
      <c r="N1825" s="3">
        <v>2022</v>
      </c>
      <c r="O1825" s="3" t="s">
        <v>95</v>
      </c>
      <c r="P1825" s="3" t="s">
        <v>104</v>
      </c>
      <c r="Q1825" s="3"/>
    </row>
    <row r="1826" spans="1:17" hidden="1" x14ac:dyDescent="0.3">
      <c r="A1826" s="2">
        <v>44621</v>
      </c>
      <c r="B1826" s="3" t="s">
        <v>12</v>
      </c>
      <c r="C1826" s="3" t="s">
        <v>100</v>
      </c>
      <c r="D1826" s="3" t="s">
        <v>101</v>
      </c>
      <c r="E1826" s="3" t="s">
        <v>15</v>
      </c>
      <c r="F1826" s="37">
        <v>21755</v>
      </c>
      <c r="G1826" s="3" t="s">
        <v>102</v>
      </c>
      <c r="H1826" s="3" t="s">
        <v>103</v>
      </c>
      <c r="I1826" s="37">
        <f>INDEX('Currency Master'!B:B,MATCH(A1826,'Currency Master'!A:A,0))/INDEX('Currency Master'!C:C,MATCH(A1826,'Currency Master'!A:A,0))</f>
        <v>12.024694840124305</v>
      </c>
      <c r="J1826" s="37">
        <f t="shared" si="106"/>
        <v>93029.21</v>
      </c>
      <c r="K1826" s="3" t="s">
        <v>16</v>
      </c>
      <c r="L1826" s="38">
        <v>1.8499999999999999E-2</v>
      </c>
      <c r="M1826" s="3"/>
      <c r="N1826" s="3">
        <v>2022</v>
      </c>
      <c r="O1826" s="3" t="s">
        <v>96</v>
      </c>
      <c r="P1826" s="3" t="s">
        <v>104</v>
      </c>
      <c r="Q1826" s="3"/>
    </row>
    <row r="1827" spans="1:17" hidden="1" x14ac:dyDescent="0.3">
      <c r="A1827" s="2">
        <v>44593</v>
      </c>
      <c r="B1827" s="3" t="s">
        <v>12</v>
      </c>
      <c r="C1827" s="3" t="s">
        <v>100</v>
      </c>
      <c r="D1827" s="3" t="s">
        <v>101</v>
      </c>
      <c r="E1827" s="3" t="s">
        <v>15</v>
      </c>
      <c r="F1827" s="37">
        <v>21360</v>
      </c>
      <c r="G1827" s="3" t="s">
        <v>102</v>
      </c>
      <c r="H1827" s="3" t="s">
        <v>103</v>
      </c>
      <c r="I1827" s="37">
        <f>INDEX('Currency Master'!B:B,MATCH(A1827,'Currency Master'!A:A,0))/INDEX('Currency Master'!C:C,MATCH(A1827,'Currency Master'!A:A,0))</f>
        <v>11.884456756071271</v>
      </c>
      <c r="J1827" s="37">
        <f t="shared" si="106"/>
        <v>90274.85</v>
      </c>
      <c r="K1827" s="3" t="s">
        <v>16</v>
      </c>
      <c r="L1827" s="38">
        <v>-3.2399999999999998E-2</v>
      </c>
      <c r="M1827" s="3"/>
      <c r="N1827" s="3">
        <v>2022</v>
      </c>
      <c r="O1827" s="3" t="s">
        <v>97</v>
      </c>
      <c r="P1827" s="3" t="s">
        <v>104</v>
      </c>
      <c r="Q1827" s="3"/>
    </row>
    <row r="1828" spans="1:17" hidden="1" x14ac:dyDescent="0.3">
      <c r="A1828" s="2">
        <v>44562</v>
      </c>
      <c r="B1828" s="3" t="s">
        <v>12</v>
      </c>
      <c r="C1828" s="3" t="s">
        <v>100</v>
      </c>
      <c r="D1828" s="3" t="s">
        <v>101</v>
      </c>
      <c r="E1828" s="3" t="s">
        <v>15</v>
      </c>
      <c r="F1828" s="37">
        <v>22075</v>
      </c>
      <c r="G1828" s="3" t="s">
        <v>102</v>
      </c>
      <c r="H1828" s="3" t="s">
        <v>103</v>
      </c>
      <c r="I1828" s="37">
        <f>INDEX('Currency Master'!B:B,MATCH(A1828,'Currency Master'!A:A,0))/INDEX('Currency Master'!C:C,MATCH(A1828,'Currency Master'!A:A,0))</f>
        <v>11.704113198647905</v>
      </c>
      <c r="J1828" s="37">
        <f t="shared" si="106"/>
        <v>91880.93</v>
      </c>
      <c r="K1828" s="3" t="s">
        <v>16</v>
      </c>
      <c r="L1828" s="38">
        <v>1.24E-2</v>
      </c>
      <c r="M1828" s="3"/>
      <c r="N1828" s="3">
        <v>2022</v>
      </c>
      <c r="O1828" s="3" t="s">
        <v>85</v>
      </c>
      <c r="P1828" s="3" t="s">
        <v>104</v>
      </c>
      <c r="Q1828" s="3"/>
    </row>
    <row r="1829" spans="1:17" hidden="1" x14ac:dyDescent="0.3">
      <c r="A1829" s="2">
        <v>44531</v>
      </c>
      <c r="B1829" s="3" t="s">
        <v>12</v>
      </c>
      <c r="C1829" s="3" t="s">
        <v>100</v>
      </c>
      <c r="D1829" s="3" t="s">
        <v>101</v>
      </c>
      <c r="E1829" s="3" t="s">
        <v>15</v>
      </c>
      <c r="F1829" s="37">
        <v>21805</v>
      </c>
      <c r="G1829" s="3" t="s">
        <v>102</v>
      </c>
      <c r="H1829" s="3" t="s">
        <v>103</v>
      </c>
      <c r="I1829" s="37">
        <f>INDEX('Currency Master'!B:B,MATCH(A1829,'Currency Master'!A:A,0))/INDEX('Currency Master'!C:C,MATCH(A1829,'Currency Master'!A:A,0))</f>
        <v>11.862596464161459</v>
      </c>
      <c r="J1829" s="37">
        <f t="shared" si="106"/>
        <v>91986.06</v>
      </c>
      <c r="K1829" s="3" t="s">
        <v>16</v>
      </c>
      <c r="L1829" s="38">
        <v>6.0299999999999999E-2</v>
      </c>
      <c r="M1829" s="3"/>
      <c r="N1829" s="3">
        <v>2021</v>
      </c>
      <c r="O1829" s="3" t="s">
        <v>87</v>
      </c>
      <c r="P1829" s="3" t="s">
        <v>104</v>
      </c>
      <c r="Q1829" s="3"/>
    </row>
    <row r="1830" spans="1:17" hidden="1" x14ac:dyDescent="0.3">
      <c r="A1830" s="2">
        <v>44501</v>
      </c>
      <c r="B1830" s="3" t="s">
        <v>12</v>
      </c>
      <c r="C1830" s="3" t="s">
        <v>100</v>
      </c>
      <c r="D1830" s="3" t="s">
        <v>101</v>
      </c>
      <c r="E1830" s="3" t="s">
        <v>15</v>
      </c>
      <c r="F1830" s="37">
        <v>20565</v>
      </c>
      <c r="G1830" s="3" t="s">
        <v>102</v>
      </c>
      <c r="H1830" s="3" t="s">
        <v>103</v>
      </c>
      <c r="I1830" s="37">
        <f>INDEX('Currency Master'!B:B,MATCH(A1830,'Currency Master'!A:A,0))/INDEX('Currency Master'!C:C,MATCH(A1830,'Currency Master'!A:A,0))</f>
        <v>11.702319453174105</v>
      </c>
      <c r="J1830" s="37">
        <f t="shared" si="106"/>
        <v>85582.87</v>
      </c>
      <c r="K1830" s="3" t="s">
        <v>16</v>
      </c>
      <c r="L1830" s="38">
        <v>-5.16E-2</v>
      </c>
      <c r="M1830" s="3"/>
      <c r="N1830" s="3">
        <v>2021</v>
      </c>
      <c r="O1830" s="3" t="s">
        <v>88</v>
      </c>
      <c r="P1830" s="3" t="s">
        <v>104</v>
      </c>
      <c r="Q1830" s="3"/>
    </row>
    <row r="1831" spans="1:17" hidden="1" x14ac:dyDescent="0.3">
      <c r="A1831" s="2">
        <v>44470</v>
      </c>
      <c r="B1831" s="3" t="s">
        <v>12</v>
      </c>
      <c r="C1831" s="3" t="s">
        <v>100</v>
      </c>
      <c r="D1831" s="3" t="s">
        <v>101</v>
      </c>
      <c r="E1831" s="3" t="s">
        <v>15</v>
      </c>
      <c r="F1831" s="37">
        <v>21685</v>
      </c>
      <c r="G1831" s="3" t="s">
        <v>102</v>
      </c>
      <c r="H1831" s="3" t="s">
        <v>103</v>
      </c>
      <c r="I1831" s="37">
        <f>INDEX('Currency Master'!B:B,MATCH(A1831,'Currency Master'!A:A,0))/INDEX('Currency Master'!C:C,MATCH(A1831,'Currency Master'!A:A,0))</f>
        <v>11.702385167837626</v>
      </c>
      <c r="J1831" s="37">
        <f t="shared" si="106"/>
        <v>90244.34</v>
      </c>
      <c r="K1831" s="3" t="s">
        <v>16</v>
      </c>
      <c r="L1831" s="38">
        <v>9.2700000000000005E-2</v>
      </c>
      <c r="M1831" s="3"/>
      <c r="N1831" s="3">
        <v>2021</v>
      </c>
      <c r="O1831" s="3" t="s">
        <v>89</v>
      </c>
      <c r="P1831" s="3" t="s">
        <v>104</v>
      </c>
      <c r="Q1831" s="3"/>
    </row>
    <row r="1832" spans="1:17" hidden="1" x14ac:dyDescent="0.3">
      <c r="A1832" s="2">
        <v>44440</v>
      </c>
      <c r="B1832" s="3" t="s">
        <v>12</v>
      </c>
      <c r="C1832" s="3" t="s">
        <v>100</v>
      </c>
      <c r="D1832" s="3" t="s">
        <v>101</v>
      </c>
      <c r="E1832" s="3" t="s">
        <v>15</v>
      </c>
      <c r="F1832" s="37">
        <v>19845</v>
      </c>
      <c r="G1832" s="3" t="s">
        <v>102</v>
      </c>
      <c r="H1832" s="3" t="s">
        <v>103</v>
      </c>
      <c r="I1832" s="37">
        <f>INDEX('Currency Master'!B:B,MATCH(A1832,'Currency Master'!A:A,0))/INDEX('Currency Master'!C:C,MATCH(A1832,'Currency Master'!A:A,0))</f>
        <v>11.420122106373737</v>
      </c>
      <c r="J1832" s="37">
        <f t="shared" si="106"/>
        <v>80594.990000000005</v>
      </c>
      <c r="K1832" s="3" t="s">
        <v>16</v>
      </c>
      <c r="L1832" s="38">
        <v>0.13039999999999999</v>
      </c>
      <c r="M1832" s="3"/>
      <c r="N1832" s="3">
        <v>2021</v>
      </c>
      <c r="O1832" s="3" t="s">
        <v>90</v>
      </c>
      <c r="P1832" s="3" t="s">
        <v>104</v>
      </c>
      <c r="Q1832" s="3"/>
    </row>
    <row r="1833" spans="1:17" hidden="1" x14ac:dyDescent="0.3">
      <c r="A1833" s="2">
        <v>44409</v>
      </c>
      <c r="B1833" s="3" t="s">
        <v>12</v>
      </c>
      <c r="C1833" s="3" t="s">
        <v>100</v>
      </c>
      <c r="D1833" s="3" t="s">
        <v>101</v>
      </c>
      <c r="E1833" s="3" t="s">
        <v>15</v>
      </c>
      <c r="F1833" s="37">
        <v>17555</v>
      </c>
      <c r="G1833" s="3" t="s">
        <v>102</v>
      </c>
      <c r="H1833" s="3" t="s">
        <v>103</v>
      </c>
      <c r="I1833" s="37">
        <f>INDEX('Currency Master'!B:B,MATCH(A1833,'Currency Master'!A:A,0))/INDEX('Currency Master'!C:C,MATCH(A1833,'Currency Master'!A:A,0))</f>
        <v>11.473662466720327</v>
      </c>
      <c r="J1833" s="37">
        <f t="shared" si="106"/>
        <v>71629.03</v>
      </c>
      <c r="K1833" s="3" t="s">
        <v>16</v>
      </c>
      <c r="L1833" s="38">
        <v>8.0000000000000002E-3</v>
      </c>
      <c r="M1833" s="3"/>
      <c r="N1833" s="3">
        <v>2021</v>
      </c>
      <c r="O1833" s="3" t="s">
        <v>91</v>
      </c>
      <c r="P1833" s="3" t="s">
        <v>104</v>
      </c>
      <c r="Q1833" s="3"/>
    </row>
    <row r="1834" spans="1:17" hidden="1" x14ac:dyDescent="0.3">
      <c r="A1834" s="2">
        <v>44378</v>
      </c>
      <c r="B1834" s="3" t="s">
        <v>12</v>
      </c>
      <c r="C1834" s="3" t="s">
        <v>100</v>
      </c>
      <c r="D1834" s="3" t="s">
        <v>101</v>
      </c>
      <c r="E1834" s="3" t="s">
        <v>15</v>
      </c>
      <c r="F1834" s="37">
        <v>17415</v>
      </c>
      <c r="G1834" s="3" t="s">
        <v>102</v>
      </c>
      <c r="H1834" s="3" t="s">
        <v>103</v>
      </c>
      <c r="I1834" s="37">
        <f>INDEX('Currency Master'!B:B,MATCH(A1834,'Currency Master'!A:A,0))/INDEX('Currency Master'!C:C,MATCH(A1834,'Currency Master'!A:A,0))</f>
        <v>11.536277453605535</v>
      </c>
      <c r="J1834" s="37">
        <f t="shared" si="106"/>
        <v>71445.58</v>
      </c>
      <c r="K1834" s="3" t="s">
        <v>16</v>
      </c>
      <c r="L1834" s="38">
        <v>9.9400000000000002E-2</v>
      </c>
      <c r="M1834" s="3"/>
      <c r="N1834" s="3">
        <v>2021</v>
      </c>
      <c r="O1834" s="3" t="s">
        <v>92</v>
      </c>
      <c r="P1834" s="3" t="s">
        <v>104</v>
      </c>
      <c r="Q1834" s="3"/>
    </row>
    <row r="1835" spans="1:17" hidden="1" x14ac:dyDescent="0.3">
      <c r="A1835" s="2">
        <v>44348</v>
      </c>
      <c r="B1835" s="3" t="s">
        <v>12</v>
      </c>
      <c r="C1835" s="3" t="s">
        <v>100</v>
      </c>
      <c r="D1835" s="3" t="s">
        <v>101</v>
      </c>
      <c r="E1835" s="3" t="s">
        <v>15</v>
      </c>
      <c r="F1835" s="37">
        <v>15840</v>
      </c>
      <c r="G1835" s="3" t="s">
        <v>102</v>
      </c>
      <c r="H1835" s="3" t="s">
        <v>103</v>
      </c>
      <c r="I1835" s="37">
        <f>INDEX('Currency Master'!B:B,MATCH(A1835,'Currency Master'!A:A,0))/INDEX('Currency Master'!C:C,MATCH(A1835,'Currency Master'!A:A,0))</f>
        <v>11.395393086144411</v>
      </c>
      <c r="J1835" s="37">
        <f t="shared" si="106"/>
        <v>64190.49</v>
      </c>
      <c r="K1835" s="3" t="s">
        <v>16</v>
      </c>
      <c r="L1835" s="38">
        <v>3.7699999999999997E-2</v>
      </c>
      <c r="M1835" s="3"/>
      <c r="N1835" s="3">
        <v>2021</v>
      </c>
      <c r="O1835" s="3" t="s">
        <v>93</v>
      </c>
      <c r="P1835" s="3" t="s">
        <v>104</v>
      </c>
      <c r="Q1835" s="3"/>
    </row>
    <row r="1836" spans="1:17" hidden="1" x14ac:dyDescent="0.3">
      <c r="A1836" s="2">
        <v>44317</v>
      </c>
      <c r="B1836" s="3" t="s">
        <v>12</v>
      </c>
      <c r="C1836" s="3" t="s">
        <v>100</v>
      </c>
      <c r="D1836" s="3" t="s">
        <v>101</v>
      </c>
      <c r="E1836" s="3" t="s">
        <v>15</v>
      </c>
      <c r="F1836" s="37">
        <v>15265</v>
      </c>
      <c r="G1836" s="3" t="s">
        <v>102</v>
      </c>
      <c r="H1836" s="3" t="s">
        <v>103</v>
      </c>
      <c r="I1836" s="37">
        <f>INDEX('Currency Master'!B:B,MATCH(A1836,'Currency Master'!A:A,0))/INDEX('Currency Master'!C:C,MATCH(A1836,'Currency Master'!A:A,0))</f>
        <v>11.495052443160406</v>
      </c>
      <c r="J1836" s="37">
        <f t="shared" si="106"/>
        <v>62401.34</v>
      </c>
      <c r="K1836" s="3" t="s">
        <v>16</v>
      </c>
      <c r="L1836" s="38">
        <v>-1.3599999999999999E-2</v>
      </c>
      <c r="M1836" s="3"/>
      <c r="N1836" s="3">
        <v>2021</v>
      </c>
      <c r="O1836" s="3" t="s">
        <v>94</v>
      </c>
      <c r="P1836" s="3" t="s">
        <v>104</v>
      </c>
      <c r="Q1836" s="3"/>
    </row>
    <row r="1837" spans="1:17" hidden="1" x14ac:dyDescent="0.3">
      <c r="A1837" s="2">
        <v>44287</v>
      </c>
      <c r="B1837" s="3" t="s">
        <v>12</v>
      </c>
      <c r="C1837" s="3" t="s">
        <v>100</v>
      </c>
      <c r="D1837" s="3" t="s">
        <v>101</v>
      </c>
      <c r="E1837" s="3" t="s">
        <v>15</v>
      </c>
      <c r="F1837" s="37">
        <v>15475</v>
      </c>
      <c r="G1837" s="3" t="s">
        <v>102</v>
      </c>
      <c r="H1837" s="3" t="s">
        <v>103</v>
      </c>
      <c r="I1837" s="37">
        <f>INDEX('Currency Master'!B:B,MATCH(A1837,'Currency Master'!A:A,0))/INDEX('Currency Master'!C:C,MATCH(A1837,'Currency Master'!A:A,0))</f>
        <v>11.531887841804419</v>
      </c>
      <c r="J1837" s="37">
        <f t="shared" si="106"/>
        <v>63462.51</v>
      </c>
      <c r="K1837" s="3" t="s">
        <v>16</v>
      </c>
      <c r="L1837" s="38">
        <v>4.5600000000000002E-2</v>
      </c>
      <c r="M1837" s="3"/>
      <c r="N1837" s="3">
        <v>2021</v>
      </c>
      <c r="O1837" s="3" t="s">
        <v>95</v>
      </c>
      <c r="P1837" s="3" t="s">
        <v>104</v>
      </c>
      <c r="Q1837" s="3"/>
    </row>
    <row r="1838" spans="1:17" hidden="1" x14ac:dyDescent="0.3">
      <c r="A1838" s="2">
        <v>44256</v>
      </c>
      <c r="B1838" s="3" t="s">
        <v>12</v>
      </c>
      <c r="C1838" s="3" t="s">
        <v>100</v>
      </c>
      <c r="D1838" s="3" t="s">
        <v>101</v>
      </c>
      <c r="E1838" s="3" t="s">
        <v>15</v>
      </c>
      <c r="F1838" s="37">
        <v>14800</v>
      </c>
      <c r="G1838" s="3" t="s">
        <v>102</v>
      </c>
      <c r="H1838" s="3" t="s">
        <v>103</v>
      </c>
      <c r="I1838" s="37">
        <f>INDEX('Currency Master'!B:B,MATCH(A1838,'Currency Master'!A:A,0))/INDEX('Currency Master'!C:C,MATCH(A1838,'Currency Master'!A:A,0))</f>
        <v>11.115226655270307</v>
      </c>
      <c r="J1838" s="37">
        <f t="shared" si="106"/>
        <v>58501.39</v>
      </c>
      <c r="K1838" s="3" t="s">
        <v>16</v>
      </c>
      <c r="L1838" s="38">
        <v>-8.3599999999999994E-2</v>
      </c>
      <c r="M1838" s="3"/>
      <c r="N1838" s="3">
        <v>2021</v>
      </c>
      <c r="O1838" s="3" t="s">
        <v>96</v>
      </c>
      <c r="P1838" s="3" t="s">
        <v>104</v>
      </c>
      <c r="Q1838" s="3"/>
    </row>
    <row r="1839" spans="1:17" hidden="1" x14ac:dyDescent="0.3">
      <c r="A1839" s="2">
        <v>44228</v>
      </c>
      <c r="B1839" s="3" t="s">
        <v>12</v>
      </c>
      <c r="C1839" s="3" t="s">
        <v>100</v>
      </c>
      <c r="D1839" s="3" t="s">
        <v>101</v>
      </c>
      <c r="E1839" s="3" t="s">
        <v>15</v>
      </c>
      <c r="F1839" s="37">
        <v>16150</v>
      </c>
      <c r="G1839" s="3" t="s">
        <v>102</v>
      </c>
      <c r="H1839" s="3" t="s">
        <v>103</v>
      </c>
      <c r="I1839" s="37">
        <f>INDEX('Currency Master'!B:B,MATCH(A1839,'Currency Master'!A:A,0))/INDEX('Currency Master'!C:C,MATCH(A1839,'Currency Master'!A:A,0))</f>
        <v>11.247161130851229</v>
      </c>
      <c r="J1839" s="37">
        <f t="shared" si="106"/>
        <v>64595.4</v>
      </c>
      <c r="K1839" s="3" t="s">
        <v>16</v>
      </c>
      <c r="L1839" s="38">
        <v>9.1600000000000001E-2</v>
      </c>
      <c r="M1839" s="3"/>
      <c r="N1839" s="3">
        <v>2021</v>
      </c>
      <c r="O1839" s="3" t="s">
        <v>97</v>
      </c>
      <c r="P1839" s="3" t="s">
        <v>104</v>
      </c>
      <c r="Q1839" s="3"/>
    </row>
    <row r="1840" spans="1:17" hidden="1" x14ac:dyDescent="0.3">
      <c r="A1840" s="2">
        <v>44197</v>
      </c>
      <c r="B1840" s="3" t="s">
        <v>12</v>
      </c>
      <c r="C1840" s="3" t="s">
        <v>100</v>
      </c>
      <c r="D1840" s="3" t="s">
        <v>101</v>
      </c>
      <c r="E1840" s="3" t="s">
        <v>15</v>
      </c>
      <c r="F1840" s="37">
        <v>14795</v>
      </c>
      <c r="G1840" s="3" t="s">
        <v>102</v>
      </c>
      <c r="H1840" s="3" t="s">
        <v>103</v>
      </c>
      <c r="I1840" s="37">
        <f>INDEX('Currency Master'!B:B,MATCH(A1840,'Currency Master'!A:A,0))/INDEX('Currency Master'!C:C,MATCH(A1840,'Currency Master'!A:A,0))</f>
        <v>11.380553151750972</v>
      </c>
      <c r="J1840" s="37">
        <f t="shared" si="106"/>
        <v>59877.62</v>
      </c>
      <c r="K1840" s="3" t="s">
        <v>16</v>
      </c>
      <c r="L1840" s="38">
        <v>-1.89E-2</v>
      </c>
      <c r="M1840" s="3"/>
      <c r="N1840" s="3">
        <v>2021</v>
      </c>
      <c r="O1840" s="3" t="s">
        <v>85</v>
      </c>
      <c r="P1840" s="3" t="s">
        <v>104</v>
      </c>
      <c r="Q1840" s="3"/>
    </row>
    <row r="1841" spans="1:17" hidden="1" x14ac:dyDescent="0.3">
      <c r="A1841" s="2">
        <v>44166</v>
      </c>
      <c r="B1841" s="3" t="s">
        <v>12</v>
      </c>
      <c r="C1841" s="3" t="s">
        <v>100</v>
      </c>
      <c r="D1841" s="3" t="s">
        <v>101</v>
      </c>
      <c r="E1841" s="3" t="s">
        <v>15</v>
      </c>
      <c r="F1841" s="37">
        <v>15080</v>
      </c>
      <c r="G1841" s="3" t="s">
        <v>102</v>
      </c>
      <c r="H1841" s="3" t="s">
        <v>103</v>
      </c>
      <c r="I1841" s="37">
        <f>INDEX('Currency Master'!B:B,MATCH(A1841,'Currency Master'!A:A,0))/INDEX('Currency Master'!C:C,MATCH(A1841,'Currency Master'!A:A,0))</f>
        <v>11.284700229885058</v>
      </c>
      <c r="J1841" s="37">
        <f t="shared" si="106"/>
        <v>60517.02</v>
      </c>
      <c r="K1841" s="3" t="s">
        <v>16</v>
      </c>
      <c r="L1841" s="38">
        <v>3.7499999999999999E-2</v>
      </c>
      <c r="M1841" s="3"/>
      <c r="N1841" s="3">
        <v>2020</v>
      </c>
      <c r="O1841" s="3" t="s">
        <v>87</v>
      </c>
      <c r="P1841" s="3" t="s">
        <v>104</v>
      </c>
      <c r="Q1841" s="3"/>
    </row>
    <row r="1842" spans="1:17" hidden="1" x14ac:dyDescent="0.3">
      <c r="A1842" s="2">
        <v>44136</v>
      </c>
      <c r="B1842" s="3" t="s">
        <v>12</v>
      </c>
      <c r="C1842" s="3" t="s">
        <v>100</v>
      </c>
      <c r="D1842" s="3" t="s">
        <v>101</v>
      </c>
      <c r="E1842" s="3" t="s">
        <v>15</v>
      </c>
      <c r="F1842" s="37">
        <v>14535</v>
      </c>
      <c r="G1842" s="3" t="s">
        <v>102</v>
      </c>
      <c r="H1842" s="3" t="s">
        <v>103</v>
      </c>
      <c r="I1842" s="37">
        <f>INDEX('Currency Master'!B:B,MATCH(A1842,'Currency Master'!A:A,0))/INDEX('Currency Master'!C:C,MATCH(A1842,'Currency Master'!A:A,0))</f>
        <v>11.285921989051095</v>
      </c>
      <c r="J1842" s="37">
        <f t="shared" si="106"/>
        <v>58336.22</v>
      </c>
      <c r="K1842" s="3" t="s">
        <v>16</v>
      </c>
      <c r="L1842" s="38">
        <v>2.4E-2</v>
      </c>
      <c r="M1842" s="3"/>
      <c r="N1842" s="3">
        <v>2020</v>
      </c>
      <c r="O1842" s="3" t="s">
        <v>88</v>
      </c>
      <c r="P1842" s="3" t="s">
        <v>104</v>
      </c>
      <c r="Q1842" s="3"/>
    </row>
    <row r="1843" spans="1:17" hidden="1" x14ac:dyDescent="0.3">
      <c r="A1843" s="2">
        <v>44105</v>
      </c>
      <c r="B1843" s="3" t="s">
        <v>12</v>
      </c>
      <c r="C1843" s="3" t="s">
        <v>100</v>
      </c>
      <c r="D1843" s="3" t="s">
        <v>101</v>
      </c>
      <c r="E1843" s="3" t="s">
        <v>15</v>
      </c>
      <c r="F1843" s="37">
        <v>14195</v>
      </c>
      <c r="G1843" s="3" t="s">
        <v>102</v>
      </c>
      <c r="H1843" s="3" t="s">
        <v>103</v>
      </c>
      <c r="I1843" s="37">
        <f>INDEX('Currency Master'!B:B,MATCH(A1843,'Currency Master'!A:A,0))/INDEX('Currency Master'!C:C,MATCH(A1843,'Currency Master'!A:A,0))</f>
        <v>10.988736233356743</v>
      </c>
      <c r="J1843" s="37">
        <f t="shared" si="106"/>
        <v>55471.43</v>
      </c>
      <c r="K1843" s="3" t="s">
        <v>16</v>
      </c>
      <c r="L1843" s="38">
        <v>0.13880000000000001</v>
      </c>
      <c r="M1843" s="3"/>
      <c r="N1843" s="3">
        <v>2020</v>
      </c>
      <c r="O1843" s="3" t="s">
        <v>89</v>
      </c>
      <c r="P1843" s="3" t="s">
        <v>104</v>
      </c>
      <c r="Q1843" s="3"/>
    </row>
    <row r="1844" spans="1:17" hidden="1" x14ac:dyDescent="0.3">
      <c r="A1844" s="2">
        <v>44075</v>
      </c>
      <c r="B1844" s="3" t="s">
        <v>12</v>
      </c>
      <c r="C1844" s="3" t="s">
        <v>100</v>
      </c>
      <c r="D1844" s="3" t="s">
        <v>101</v>
      </c>
      <c r="E1844" s="3" t="s">
        <v>15</v>
      </c>
      <c r="F1844" s="37">
        <v>12465</v>
      </c>
      <c r="G1844" s="3" t="s">
        <v>102</v>
      </c>
      <c r="H1844" s="3" t="s">
        <v>103</v>
      </c>
      <c r="I1844" s="37">
        <f>INDEX('Currency Master'!B:B,MATCH(A1844,'Currency Master'!A:A,0))/INDEX('Currency Master'!C:C,MATCH(A1844,'Currency Master'!A:A,0))</f>
        <v>10.832090992105572</v>
      </c>
      <c r="J1844" s="37">
        <f t="shared" si="106"/>
        <v>48016.53</v>
      </c>
      <c r="K1844" s="3" t="s">
        <v>16</v>
      </c>
      <c r="L1844" s="38">
        <v>2.8E-3</v>
      </c>
      <c r="M1844" s="3"/>
      <c r="N1844" s="3">
        <v>2020</v>
      </c>
      <c r="O1844" s="3" t="s">
        <v>90</v>
      </c>
      <c r="P1844" s="3" t="s">
        <v>104</v>
      </c>
      <c r="Q1844" s="3"/>
    </row>
    <row r="1845" spans="1:17" hidden="1" x14ac:dyDescent="0.3">
      <c r="A1845" s="2">
        <v>44044</v>
      </c>
      <c r="B1845" s="3" t="s">
        <v>12</v>
      </c>
      <c r="C1845" s="3" t="s">
        <v>100</v>
      </c>
      <c r="D1845" s="3" t="s">
        <v>101</v>
      </c>
      <c r="E1845" s="3" t="s">
        <v>15</v>
      </c>
      <c r="F1845" s="37">
        <v>12430</v>
      </c>
      <c r="G1845" s="3" t="s">
        <v>102</v>
      </c>
      <c r="H1845" s="3" t="s">
        <v>103</v>
      </c>
      <c r="I1845" s="37">
        <f>INDEX('Currency Master'!B:B,MATCH(A1845,'Currency Master'!A:A,0))/INDEX('Currency Master'!C:C,MATCH(A1845,'Currency Master'!A:A,0))</f>
        <v>10.894017729357127</v>
      </c>
      <c r="J1845" s="37">
        <f t="shared" si="106"/>
        <v>48155.44</v>
      </c>
      <c r="K1845" s="3" t="s">
        <v>16</v>
      </c>
      <c r="L1845" s="38">
        <v>3.5400000000000001E-2</v>
      </c>
      <c r="M1845" s="3"/>
      <c r="N1845" s="3">
        <v>2020</v>
      </c>
      <c r="O1845" s="3" t="s">
        <v>91</v>
      </c>
      <c r="P1845" s="3" t="s">
        <v>104</v>
      </c>
      <c r="Q1845" s="3"/>
    </row>
    <row r="1846" spans="1:17" hidden="1" x14ac:dyDescent="0.3">
      <c r="A1846" s="2">
        <v>44013</v>
      </c>
      <c r="B1846" s="3" t="s">
        <v>12</v>
      </c>
      <c r="C1846" s="3" t="s">
        <v>100</v>
      </c>
      <c r="D1846" s="3" t="s">
        <v>101</v>
      </c>
      <c r="E1846" s="3" t="s">
        <v>15</v>
      </c>
      <c r="F1846" s="37">
        <v>12005</v>
      </c>
      <c r="G1846" s="3" t="s">
        <v>102</v>
      </c>
      <c r="H1846" s="3" t="s">
        <v>103</v>
      </c>
      <c r="I1846" s="37">
        <f>INDEX('Currency Master'!B:B,MATCH(A1846,'Currency Master'!A:A,0))/INDEX('Currency Master'!C:C,MATCH(A1846,'Currency Master'!A:A,0))</f>
        <v>10.742484658178482</v>
      </c>
      <c r="J1846" s="37">
        <f t="shared" ref="J1846:J1909" si="107">ROUND(F1846*I1846/(1000/355.62),2)</f>
        <v>45862.01</v>
      </c>
      <c r="K1846" s="3" t="s">
        <v>16</v>
      </c>
      <c r="L1846" s="38">
        <v>5.6300000000000003E-2</v>
      </c>
      <c r="M1846" s="3"/>
      <c r="N1846" s="3">
        <v>2020</v>
      </c>
      <c r="O1846" s="3" t="s">
        <v>92</v>
      </c>
      <c r="P1846" s="3" t="s">
        <v>104</v>
      </c>
      <c r="Q1846" s="3"/>
    </row>
    <row r="1847" spans="1:17" hidden="1" x14ac:dyDescent="0.3">
      <c r="A1847" s="2">
        <v>43983</v>
      </c>
      <c r="B1847" s="3" t="s">
        <v>12</v>
      </c>
      <c r="C1847" s="3" t="s">
        <v>100</v>
      </c>
      <c r="D1847" s="3" t="s">
        <v>101</v>
      </c>
      <c r="E1847" s="3" t="s">
        <v>15</v>
      </c>
      <c r="F1847" s="37">
        <v>11365</v>
      </c>
      <c r="G1847" s="3" t="s">
        <v>102</v>
      </c>
      <c r="H1847" s="3" t="s">
        <v>103</v>
      </c>
      <c r="I1847" s="37">
        <f>INDEX('Currency Master'!B:B,MATCH(A1847,'Currency Master'!A:A,0))/INDEX('Currency Master'!C:C,MATCH(A1847,'Currency Master'!A:A,0))</f>
        <v>10.717647874764689</v>
      </c>
      <c r="J1847" s="37">
        <f t="shared" si="107"/>
        <v>43316.67</v>
      </c>
      <c r="K1847" s="3" t="s">
        <v>16</v>
      </c>
      <c r="L1847" s="38">
        <v>1.1599999999999999E-2</v>
      </c>
      <c r="M1847" s="3"/>
      <c r="N1847" s="3">
        <v>2020</v>
      </c>
      <c r="O1847" s="3" t="s">
        <v>93</v>
      </c>
      <c r="P1847" s="3" t="s">
        <v>104</v>
      </c>
      <c r="Q1847" s="3"/>
    </row>
    <row r="1848" spans="1:17" hidden="1" x14ac:dyDescent="0.3">
      <c r="A1848" s="2">
        <v>43952</v>
      </c>
      <c r="B1848" s="3" t="s">
        <v>12</v>
      </c>
      <c r="C1848" s="3" t="s">
        <v>100</v>
      </c>
      <c r="D1848" s="3" t="s">
        <v>101</v>
      </c>
      <c r="E1848" s="3" t="s">
        <v>15</v>
      </c>
      <c r="F1848" s="37">
        <v>11235</v>
      </c>
      <c r="G1848" s="3" t="s">
        <v>102</v>
      </c>
      <c r="H1848" s="3" t="s">
        <v>103</v>
      </c>
      <c r="I1848" s="37">
        <f>INDEX('Currency Master'!B:B,MATCH(A1848,'Currency Master'!A:A,0))/INDEX('Currency Master'!C:C,MATCH(A1848,'Currency Master'!A:A,0))</f>
        <v>10.606336968100017</v>
      </c>
      <c r="J1848" s="37">
        <f t="shared" si="107"/>
        <v>42376.46</v>
      </c>
      <c r="K1848" s="3" t="s">
        <v>16</v>
      </c>
      <c r="L1848" s="38">
        <v>1.2999999999999999E-3</v>
      </c>
      <c r="M1848" s="3"/>
      <c r="N1848" s="3">
        <v>2020</v>
      </c>
      <c r="O1848" s="3" t="s">
        <v>94</v>
      </c>
      <c r="P1848" s="3" t="s">
        <v>104</v>
      </c>
      <c r="Q1848" s="3"/>
    </row>
    <row r="1849" spans="1:17" hidden="1" x14ac:dyDescent="0.3">
      <c r="A1849" s="2">
        <v>43922</v>
      </c>
      <c r="B1849" s="3" t="s">
        <v>12</v>
      </c>
      <c r="C1849" s="3" t="s">
        <v>100</v>
      </c>
      <c r="D1849" s="3" t="s">
        <v>101</v>
      </c>
      <c r="E1849" s="3" t="s">
        <v>15</v>
      </c>
      <c r="F1849" s="37">
        <v>11220</v>
      </c>
      <c r="G1849" s="3" t="s">
        <v>102</v>
      </c>
      <c r="H1849" s="3" t="s">
        <v>103</v>
      </c>
      <c r="I1849" s="37">
        <f>INDEX('Currency Master'!B:B,MATCH(A1849,'Currency Master'!A:A,0))/INDEX('Currency Master'!C:C,MATCH(A1849,'Currency Master'!A:A,0))</f>
        <v>10.795692634560908</v>
      </c>
      <c r="J1849" s="37">
        <f t="shared" si="107"/>
        <v>43075.42</v>
      </c>
      <c r="K1849" s="3" t="s">
        <v>16</v>
      </c>
      <c r="L1849" s="38">
        <v>6.25E-2</v>
      </c>
      <c r="M1849" s="3"/>
      <c r="N1849" s="3">
        <v>2020</v>
      </c>
      <c r="O1849" s="3" t="s">
        <v>95</v>
      </c>
      <c r="P1849" s="3" t="s">
        <v>104</v>
      </c>
      <c r="Q1849" s="3"/>
    </row>
    <row r="1850" spans="1:17" hidden="1" x14ac:dyDescent="0.3">
      <c r="A1850" s="2">
        <v>43891</v>
      </c>
      <c r="B1850" s="3" t="s">
        <v>12</v>
      </c>
      <c r="C1850" s="3" t="s">
        <v>100</v>
      </c>
      <c r="D1850" s="3" t="s">
        <v>101</v>
      </c>
      <c r="E1850" s="3" t="s">
        <v>15</v>
      </c>
      <c r="F1850" s="37">
        <v>10560</v>
      </c>
      <c r="G1850" s="3" t="s">
        <v>102</v>
      </c>
      <c r="H1850" s="3" t="s">
        <v>103</v>
      </c>
      <c r="I1850" s="37">
        <f>INDEX('Currency Master'!B:B,MATCH(A1850,'Currency Master'!A:A,0))/INDEX('Currency Master'!C:C,MATCH(A1850,'Currency Master'!A:A,0))</f>
        <v>10.525143345384704</v>
      </c>
      <c r="J1850" s="37">
        <f t="shared" si="107"/>
        <v>39525.57</v>
      </c>
      <c r="K1850" s="3" t="s">
        <v>16</v>
      </c>
      <c r="L1850" s="38">
        <v>-0.12659999999999999</v>
      </c>
      <c r="M1850" s="3"/>
      <c r="N1850" s="3">
        <v>2020</v>
      </c>
      <c r="O1850" s="3" t="s">
        <v>96</v>
      </c>
      <c r="P1850" s="3" t="s">
        <v>104</v>
      </c>
      <c r="Q1850" s="3"/>
    </row>
    <row r="1851" spans="1:17" hidden="1" x14ac:dyDescent="0.3">
      <c r="A1851" s="2">
        <v>43862</v>
      </c>
      <c r="B1851" s="3" t="s">
        <v>12</v>
      </c>
      <c r="C1851" s="3" t="s">
        <v>100</v>
      </c>
      <c r="D1851" s="3" t="s">
        <v>101</v>
      </c>
      <c r="E1851" s="3" t="s">
        <v>15</v>
      </c>
      <c r="F1851" s="37">
        <v>12090</v>
      </c>
      <c r="G1851" s="3" t="s">
        <v>102</v>
      </c>
      <c r="H1851" s="3" t="s">
        <v>103</v>
      </c>
      <c r="I1851" s="37">
        <f>INDEX('Currency Master'!B:B,MATCH(A1851,'Currency Master'!A:A,0))/INDEX('Currency Master'!C:C,MATCH(A1851,'Currency Master'!A:A,0))</f>
        <v>10.229586301605014</v>
      </c>
      <c r="J1851" s="37">
        <f t="shared" si="107"/>
        <v>43981.55</v>
      </c>
      <c r="K1851" s="3" t="s">
        <v>16</v>
      </c>
      <c r="L1851" s="38">
        <v>-9.2999999999999999E-2</v>
      </c>
      <c r="M1851" s="3"/>
      <c r="N1851" s="3">
        <v>2020</v>
      </c>
      <c r="O1851" s="3" t="s">
        <v>97</v>
      </c>
      <c r="P1851" s="3" t="s">
        <v>104</v>
      </c>
      <c r="Q1851" s="3"/>
    </row>
    <row r="1852" spans="1:17" hidden="1" x14ac:dyDescent="0.3">
      <c r="A1852" s="2">
        <v>43831</v>
      </c>
      <c r="B1852" s="3" t="s">
        <v>12</v>
      </c>
      <c r="C1852" s="3" t="s">
        <v>100</v>
      </c>
      <c r="D1852" s="3" t="s">
        <v>101</v>
      </c>
      <c r="E1852" s="3" t="s">
        <v>15</v>
      </c>
      <c r="F1852" s="37">
        <v>13330</v>
      </c>
      <c r="G1852" s="3" t="s">
        <v>102</v>
      </c>
      <c r="H1852" s="3" t="s">
        <v>103</v>
      </c>
      <c r="I1852" s="37">
        <f>INDEX('Currency Master'!B:B,MATCH(A1852,'Currency Master'!A:A,0))/INDEX('Currency Master'!C:C,MATCH(A1852,'Currency Master'!A:A,0))</f>
        <v>10.277608701920304</v>
      </c>
      <c r="J1852" s="37">
        <f t="shared" si="107"/>
        <v>48720.13</v>
      </c>
      <c r="K1852" s="3" t="s">
        <v>16</v>
      </c>
      <c r="L1852" s="38">
        <v>-1.04E-2</v>
      </c>
      <c r="M1852" s="3"/>
      <c r="N1852" s="3">
        <v>2020</v>
      </c>
      <c r="O1852" s="3" t="s">
        <v>85</v>
      </c>
      <c r="P1852" s="3" t="s">
        <v>104</v>
      </c>
      <c r="Q1852" s="3"/>
    </row>
    <row r="1853" spans="1:17" hidden="1" x14ac:dyDescent="0.3">
      <c r="A1853" s="2">
        <v>43800</v>
      </c>
      <c r="B1853" s="3" t="s">
        <v>12</v>
      </c>
      <c r="C1853" s="3" t="s">
        <v>100</v>
      </c>
      <c r="D1853" s="3" t="s">
        <v>101</v>
      </c>
      <c r="E1853" s="3" t="s">
        <v>15</v>
      </c>
      <c r="F1853" s="37">
        <v>13470</v>
      </c>
      <c r="G1853" s="3" t="s">
        <v>102</v>
      </c>
      <c r="H1853" s="3" t="s">
        <v>103</v>
      </c>
      <c r="I1853" s="37">
        <f>INDEX('Currency Master'!B:B,MATCH(A1853,'Currency Master'!A:A,0))/INDEX('Currency Master'!C:C,MATCH(A1853,'Currency Master'!A:A,0))</f>
        <v>10.224878336062513</v>
      </c>
      <c r="J1853" s="37">
        <f t="shared" si="107"/>
        <v>48979.23</v>
      </c>
      <c r="K1853" s="3" t="s">
        <v>16</v>
      </c>
      <c r="L1853" s="38">
        <v>5.3600000000000002E-2</v>
      </c>
      <c r="M1853" s="3"/>
      <c r="N1853" s="3">
        <v>2019</v>
      </c>
      <c r="O1853" s="3" t="s">
        <v>87</v>
      </c>
      <c r="P1853" s="3" t="s">
        <v>104</v>
      </c>
      <c r="Q1853" s="3"/>
    </row>
    <row r="1854" spans="1:17" hidden="1" x14ac:dyDescent="0.3">
      <c r="A1854" s="2">
        <v>43770</v>
      </c>
      <c r="B1854" s="3" t="s">
        <v>12</v>
      </c>
      <c r="C1854" s="3" t="s">
        <v>100</v>
      </c>
      <c r="D1854" s="3" t="s">
        <v>101</v>
      </c>
      <c r="E1854" s="3" t="s">
        <v>15</v>
      </c>
      <c r="F1854" s="37">
        <v>12785</v>
      </c>
      <c r="G1854" s="3" t="s">
        <v>102</v>
      </c>
      <c r="H1854" s="3" t="s">
        <v>103</v>
      </c>
      <c r="I1854" s="37">
        <f>INDEX('Currency Master'!B:B,MATCH(A1854,'Currency Master'!A:A,0))/INDEX('Currency Master'!C:C,MATCH(A1854,'Currency Master'!A:A,0))</f>
        <v>10.165289867440404</v>
      </c>
      <c r="J1854" s="37">
        <f t="shared" si="107"/>
        <v>46217.52</v>
      </c>
      <c r="K1854" s="3" t="s">
        <v>16</v>
      </c>
      <c r="L1854" s="38">
        <v>8.0000000000000004E-4</v>
      </c>
      <c r="M1854" s="3"/>
      <c r="N1854" s="3">
        <v>2019</v>
      </c>
      <c r="O1854" s="3" t="s">
        <v>88</v>
      </c>
      <c r="P1854" s="3" t="s">
        <v>104</v>
      </c>
      <c r="Q1854" s="3"/>
    </row>
    <row r="1855" spans="1:17" hidden="1" x14ac:dyDescent="0.3">
      <c r="A1855" s="2">
        <v>43739</v>
      </c>
      <c r="B1855" s="3" t="s">
        <v>12</v>
      </c>
      <c r="C1855" s="3" t="s">
        <v>100</v>
      </c>
      <c r="D1855" s="3" t="s">
        <v>101</v>
      </c>
      <c r="E1855" s="3" t="s">
        <v>15</v>
      </c>
      <c r="F1855" s="37">
        <v>12775</v>
      </c>
      <c r="G1855" s="3" t="s">
        <v>102</v>
      </c>
      <c r="H1855" s="3" t="s">
        <v>103</v>
      </c>
      <c r="I1855" s="37">
        <f>INDEX('Currency Master'!B:B,MATCH(A1855,'Currency Master'!A:A,0))/INDEX('Currency Master'!C:C,MATCH(A1855,'Currency Master'!A:A,0))</f>
        <v>10.094025774733941</v>
      </c>
      <c r="J1855" s="37">
        <f t="shared" si="107"/>
        <v>45857.62</v>
      </c>
      <c r="K1855" s="3" t="s">
        <v>16</v>
      </c>
      <c r="L1855" s="38">
        <v>8.8200000000000001E-2</v>
      </c>
      <c r="M1855" s="3"/>
      <c r="N1855" s="3">
        <v>2019</v>
      </c>
      <c r="O1855" s="3" t="s">
        <v>89</v>
      </c>
      <c r="P1855" s="3" t="s">
        <v>104</v>
      </c>
      <c r="Q1855" s="3"/>
    </row>
    <row r="1856" spans="1:17" hidden="1" x14ac:dyDescent="0.3">
      <c r="A1856" s="2">
        <v>43709</v>
      </c>
      <c r="B1856" s="3" t="s">
        <v>12</v>
      </c>
      <c r="C1856" s="3" t="s">
        <v>100</v>
      </c>
      <c r="D1856" s="3" t="s">
        <v>101</v>
      </c>
      <c r="E1856" s="3" t="s">
        <v>15</v>
      </c>
      <c r="F1856" s="37">
        <v>11740</v>
      </c>
      <c r="G1856" s="3" t="s">
        <v>102</v>
      </c>
      <c r="H1856" s="3" t="s">
        <v>103</v>
      </c>
      <c r="I1856" s="37">
        <f>INDEX('Currency Master'!B:B,MATCH(A1856,'Currency Master'!A:A,0))/INDEX('Currency Master'!C:C,MATCH(A1856,'Currency Master'!A:A,0))</f>
        <v>9.9891478377659944</v>
      </c>
      <c r="J1856" s="37">
        <f t="shared" si="107"/>
        <v>41704.480000000003</v>
      </c>
      <c r="K1856" s="3" t="s">
        <v>16</v>
      </c>
      <c r="L1856" s="38">
        <v>-1.7600000000000001E-2</v>
      </c>
      <c r="M1856" s="3"/>
      <c r="N1856" s="3">
        <v>2019</v>
      </c>
      <c r="O1856" s="3" t="s">
        <v>90</v>
      </c>
      <c r="P1856" s="3" t="s">
        <v>104</v>
      </c>
      <c r="Q1856" s="3"/>
    </row>
    <row r="1857" spans="1:17" hidden="1" x14ac:dyDescent="0.3">
      <c r="A1857" s="2">
        <v>43678</v>
      </c>
      <c r="B1857" s="3" t="s">
        <v>12</v>
      </c>
      <c r="C1857" s="3" t="s">
        <v>100</v>
      </c>
      <c r="D1857" s="3" t="s">
        <v>101</v>
      </c>
      <c r="E1857" s="3" t="s">
        <v>15</v>
      </c>
      <c r="F1857" s="37">
        <v>11950</v>
      </c>
      <c r="G1857" s="3" t="s">
        <v>102</v>
      </c>
      <c r="H1857" s="3" t="s">
        <v>103</v>
      </c>
      <c r="I1857" s="37">
        <f>INDEX('Currency Master'!B:B,MATCH(A1857,'Currency Master'!A:A,0))/INDEX('Currency Master'!C:C,MATCH(A1857,'Currency Master'!A:A,0))</f>
        <v>9.9484985253623694</v>
      </c>
      <c r="J1857" s="37">
        <f t="shared" si="107"/>
        <v>42277.73</v>
      </c>
      <c r="K1857" s="3" t="s">
        <v>16</v>
      </c>
      <c r="L1857" s="38">
        <v>-8.7400000000000005E-2</v>
      </c>
      <c r="M1857" s="3"/>
      <c r="N1857" s="3">
        <v>2019</v>
      </c>
      <c r="O1857" s="3" t="s">
        <v>91</v>
      </c>
      <c r="P1857" s="3" t="s">
        <v>104</v>
      </c>
      <c r="Q1857" s="3"/>
    </row>
    <row r="1858" spans="1:17" hidden="1" x14ac:dyDescent="0.3">
      <c r="A1858" s="2">
        <v>43647</v>
      </c>
      <c r="B1858" s="3" t="s">
        <v>12</v>
      </c>
      <c r="C1858" s="3" t="s">
        <v>100</v>
      </c>
      <c r="D1858" s="3" t="s">
        <v>101</v>
      </c>
      <c r="E1858" s="3" t="s">
        <v>15</v>
      </c>
      <c r="F1858" s="37">
        <v>13095</v>
      </c>
      <c r="G1858" s="3" t="s">
        <v>102</v>
      </c>
      <c r="H1858" s="3" t="s">
        <v>103</v>
      </c>
      <c r="I1858" s="37">
        <f>INDEX('Currency Master'!B:B,MATCH(A1858,'Currency Master'!A:A,0))/INDEX('Currency Master'!C:C,MATCH(A1858,'Currency Master'!A:A,0))</f>
        <v>9.9881766013394735</v>
      </c>
      <c r="J1858" s="37">
        <f t="shared" si="107"/>
        <v>46513.38</v>
      </c>
      <c r="K1858" s="3" t="s">
        <v>16</v>
      </c>
      <c r="L1858" s="38">
        <v>-2.53E-2</v>
      </c>
      <c r="M1858" s="3"/>
      <c r="N1858" s="3">
        <v>2019</v>
      </c>
      <c r="O1858" s="3" t="s">
        <v>92</v>
      </c>
      <c r="P1858" s="3" t="s">
        <v>104</v>
      </c>
      <c r="Q1858" s="3"/>
    </row>
    <row r="1859" spans="1:17" hidden="1" x14ac:dyDescent="0.3">
      <c r="A1859" s="2">
        <v>43617</v>
      </c>
      <c r="B1859" s="3" t="s">
        <v>12</v>
      </c>
      <c r="C1859" s="3" t="s">
        <v>100</v>
      </c>
      <c r="D1859" s="3" t="s">
        <v>101</v>
      </c>
      <c r="E1859" s="3" t="s">
        <v>15</v>
      </c>
      <c r="F1859" s="37">
        <v>13435</v>
      </c>
      <c r="G1859" s="3" t="s">
        <v>102</v>
      </c>
      <c r="H1859" s="3" t="s">
        <v>103</v>
      </c>
      <c r="I1859" s="37">
        <f>INDEX('Currency Master'!B:B,MATCH(A1859,'Currency Master'!A:A,0))/INDEX('Currency Master'!C:C,MATCH(A1859,'Currency Master'!A:A,0))</f>
        <v>10.113422286962855</v>
      </c>
      <c r="J1859" s="37">
        <f t="shared" si="107"/>
        <v>48319.45</v>
      </c>
      <c r="K1859" s="3" t="s">
        <v>16</v>
      </c>
      <c r="L1859" s="38">
        <v>1.6299999999999999E-2</v>
      </c>
      <c r="M1859" s="3"/>
      <c r="N1859" s="3">
        <v>2019</v>
      </c>
      <c r="O1859" s="3" t="s">
        <v>93</v>
      </c>
      <c r="P1859" s="3" t="s">
        <v>104</v>
      </c>
      <c r="Q1859" s="3"/>
    </row>
    <row r="1860" spans="1:17" hidden="1" x14ac:dyDescent="0.3">
      <c r="A1860" s="2">
        <v>43586</v>
      </c>
      <c r="B1860" s="3" t="s">
        <v>12</v>
      </c>
      <c r="C1860" s="3" t="s">
        <v>100</v>
      </c>
      <c r="D1860" s="3" t="s">
        <v>101</v>
      </c>
      <c r="E1860" s="3" t="s">
        <v>15</v>
      </c>
      <c r="F1860" s="37">
        <v>13220</v>
      </c>
      <c r="G1860" s="3" t="s">
        <v>102</v>
      </c>
      <c r="H1860" s="3" t="s">
        <v>103</v>
      </c>
      <c r="I1860" s="37">
        <f>INDEX('Currency Master'!B:B,MATCH(A1860,'Currency Master'!A:A,0))/INDEX('Currency Master'!C:C,MATCH(A1860,'Currency Master'!A:A,0))</f>
        <v>10.113412143074449</v>
      </c>
      <c r="J1860" s="37">
        <f t="shared" si="107"/>
        <v>47546.15</v>
      </c>
      <c r="K1860" s="3" t="s">
        <v>16</v>
      </c>
      <c r="L1860" s="38">
        <v>-0.12330000000000001</v>
      </c>
      <c r="M1860" s="3"/>
      <c r="N1860" s="3">
        <v>2019</v>
      </c>
      <c r="O1860" s="3" t="s">
        <v>94</v>
      </c>
      <c r="P1860" s="3" t="s">
        <v>104</v>
      </c>
      <c r="Q1860" s="3"/>
    </row>
    <row r="1861" spans="1:17" hidden="1" x14ac:dyDescent="0.3">
      <c r="A1861" s="2">
        <v>43556</v>
      </c>
      <c r="B1861" s="3" t="s">
        <v>12</v>
      </c>
      <c r="C1861" s="3" t="s">
        <v>100</v>
      </c>
      <c r="D1861" s="3" t="s">
        <v>101</v>
      </c>
      <c r="E1861" s="3" t="s">
        <v>15</v>
      </c>
      <c r="F1861" s="37">
        <v>15080</v>
      </c>
      <c r="G1861" s="3" t="s">
        <v>102</v>
      </c>
      <c r="H1861" s="3" t="s">
        <v>103</v>
      </c>
      <c r="I1861" s="37">
        <f>INDEX('Currency Master'!B:B,MATCH(A1861,'Currency Master'!A:A,0))/INDEX('Currency Master'!C:C,MATCH(A1861,'Currency Master'!A:A,0))</f>
        <v>10.306210967080938</v>
      </c>
      <c r="J1861" s="37">
        <f t="shared" si="107"/>
        <v>55269.63</v>
      </c>
      <c r="K1861" s="3" t="s">
        <v>16</v>
      </c>
      <c r="L1861" s="38">
        <v>1.6999999999999999E-3</v>
      </c>
      <c r="M1861" s="3"/>
      <c r="N1861" s="3">
        <v>2019</v>
      </c>
      <c r="O1861" s="3" t="s">
        <v>95</v>
      </c>
      <c r="P1861" s="3" t="s">
        <v>104</v>
      </c>
      <c r="Q1861" s="3"/>
    </row>
    <row r="1862" spans="1:17" hidden="1" x14ac:dyDescent="0.3">
      <c r="A1862" s="2">
        <v>43525</v>
      </c>
      <c r="B1862" s="3" t="s">
        <v>12</v>
      </c>
      <c r="C1862" s="3" t="s">
        <v>100</v>
      </c>
      <c r="D1862" s="3" t="s">
        <v>101</v>
      </c>
      <c r="E1862" s="3" t="s">
        <v>15</v>
      </c>
      <c r="F1862" s="37">
        <v>15055</v>
      </c>
      <c r="G1862" s="3" t="s">
        <v>102</v>
      </c>
      <c r="H1862" s="3" t="s">
        <v>103</v>
      </c>
      <c r="I1862" s="37">
        <f>INDEX('Currency Master'!B:B,MATCH(A1862,'Currency Master'!A:A,0))/INDEX('Currency Master'!C:C,MATCH(A1862,'Currency Master'!A:A,0))</f>
        <v>10.356949576826796</v>
      </c>
      <c r="J1862" s="37">
        <f t="shared" si="107"/>
        <v>55449.65</v>
      </c>
      <c r="K1862" s="3" t="s">
        <v>16</v>
      </c>
      <c r="L1862" s="38">
        <v>2.98E-2</v>
      </c>
      <c r="M1862" s="3"/>
      <c r="N1862" s="3">
        <v>2019</v>
      </c>
      <c r="O1862" s="3" t="s">
        <v>96</v>
      </c>
      <c r="P1862" s="3" t="s">
        <v>104</v>
      </c>
      <c r="Q1862" s="3"/>
    </row>
    <row r="1863" spans="1:17" hidden="1" x14ac:dyDescent="0.3">
      <c r="A1863" s="2">
        <v>43497</v>
      </c>
      <c r="B1863" s="3" t="s">
        <v>12</v>
      </c>
      <c r="C1863" s="3" t="s">
        <v>100</v>
      </c>
      <c r="D1863" s="3" t="s">
        <v>101</v>
      </c>
      <c r="E1863" s="3" t="s">
        <v>15</v>
      </c>
      <c r="F1863" s="37">
        <v>14620</v>
      </c>
      <c r="G1863" s="3" t="s">
        <v>102</v>
      </c>
      <c r="H1863" s="3" t="s">
        <v>103</v>
      </c>
      <c r="I1863" s="37">
        <f>INDEX('Currency Master'!B:B,MATCH(A1863,'Currency Master'!A:A,0))/INDEX('Currency Master'!C:C,MATCH(A1863,'Currency Master'!A:A,0))</f>
        <v>10.646015512912481</v>
      </c>
      <c r="J1863" s="37">
        <f t="shared" si="107"/>
        <v>55350.38</v>
      </c>
      <c r="K1863" s="3" t="s">
        <v>16</v>
      </c>
      <c r="L1863" s="38">
        <v>-1.2800000000000001E-2</v>
      </c>
      <c r="M1863" s="3"/>
      <c r="N1863" s="3">
        <v>2019</v>
      </c>
      <c r="O1863" s="3" t="s">
        <v>97</v>
      </c>
      <c r="P1863" s="3" t="s">
        <v>104</v>
      </c>
      <c r="Q1863" s="3"/>
    </row>
    <row r="1864" spans="1:17" hidden="1" x14ac:dyDescent="0.3">
      <c r="A1864" s="2">
        <v>43466</v>
      </c>
      <c r="B1864" s="3" t="s">
        <v>12</v>
      </c>
      <c r="C1864" s="3" t="s">
        <v>100</v>
      </c>
      <c r="D1864" s="3" t="s">
        <v>101</v>
      </c>
      <c r="E1864" s="3" t="s">
        <v>15</v>
      </c>
      <c r="F1864" s="37">
        <v>14810</v>
      </c>
      <c r="G1864" s="3" t="s">
        <v>102</v>
      </c>
      <c r="H1864" s="3" t="s">
        <v>103</v>
      </c>
      <c r="I1864" s="37">
        <f>INDEX('Currency Master'!B:B,MATCH(A1864,'Currency Master'!A:A,0))/INDEX('Currency Master'!C:C,MATCH(A1864,'Currency Master'!A:A,0))</f>
        <v>10.569990740464172</v>
      </c>
      <c r="J1864" s="37">
        <f t="shared" si="107"/>
        <v>55669.31</v>
      </c>
      <c r="K1864" s="3" t="s">
        <v>16</v>
      </c>
      <c r="L1864" s="38">
        <v>5.11E-2</v>
      </c>
      <c r="M1864" s="3"/>
      <c r="N1864" s="3">
        <v>2019</v>
      </c>
      <c r="O1864" s="3" t="s">
        <v>85</v>
      </c>
      <c r="P1864" s="3" t="s">
        <v>104</v>
      </c>
      <c r="Q1864" s="3"/>
    </row>
    <row r="1865" spans="1:17" hidden="1" x14ac:dyDescent="0.3">
      <c r="A1865" s="2">
        <v>43435</v>
      </c>
      <c r="B1865" s="3" t="s">
        <v>12</v>
      </c>
      <c r="C1865" s="3" t="s">
        <v>100</v>
      </c>
      <c r="D1865" s="3" t="s">
        <v>101</v>
      </c>
      <c r="E1865" s="3" t="s">
        <v>15</v>
      </c>
      <c r="F1865" s="37">
        <v>14090</v>
      </c>
      <c r="G1865" s="3" t="s">
        <v>102</v>
      </c>
      <c r="H1865" s="3" t="s">
        <v>103</v>
      </c>
      <c r="I1865" s="37">
        <f>INDEX('Currency Master'!B:B,MATCH(A1865,'Currency Master'!A:A,0))/INDEX('Currency Master'!C:C,MATCH(A1865,'Currency Master'!A:A,0))</f>
        <v>10.299775434513855</v>
      </c>
      <c r="J1865" s="37">
        <f t="shared" si="107"/>
        <v>51608.94</v>
      </c>
      <c r="K1865" s="3" t="s">
        <v>16</v>
      </c>
      <c r="L1865" s="38">
        <v>-2.8899999999999999E-2</v>
      </c>
      <c r="M1865" s="3"/>
      <c r="N1865" s="3">
        <v>2018</v>
      </c>
      <c r="O1865" s="3" t="s">
        <v>87</v>
      </c>
      <c r="P1865" s="3" t="s">
        <v>104</v>
      </c>
      <c r="Q1865" s="3"/>
    </row>
    <row r="1866" spans="1:17" hidden="1" x14ac:dyDescent="0.3">
      <c r="A1866" s="2">
        <v>43405</v>
      </c>
      <c r="B1866" s="3" t="s">
        <v>12</v>
      </c>
      <c r="C1866" s="3" t="s">
        <v>100</v>
      </c>
      <c r="D1866" s="3" t="s">
        <v>101</v>
      </c>
      <c r="E1866" s="3" t="s">
        <v>15</v>
      </c>
      <c r="F1866" s="37">
        <v>14510</v>
      </c>
      <c r="G1866" s="3" t="s">
        <v>102</v>
      </c>
      <c r="H1866" s="3" t="s">
        <v>103</v>
      </c>
      <c r="I1866" s="37">
        <f>INDEX('Currency Master'!B:B,MATCH(A1866,'Currency Master'!A:A,0))/INDEX('Currency Master'!C:C,MATCH(A1866,'Currency Master'!A:A,0))</f>
        <v>10.315590442508411</v>
      </c>
      <c r="J1866" s="37">
        <f t="shared" si="107"/>
        <v>53228.92</v>
      </c>
      <c r="K1866" s="3" t="s">
        <v>16</v>
      </c>
      <c r="L1866" s="38">
        <v>5.1999999999999998E-3</v>
      </c>
      <c r="M1866" s="3"/>
      <c r="N1866" s="3">
        <v>2018</v>
      </c>
      <c r="O1866" s="3" t="s">
        <v>88</v>
      </c>
      <c r="P1866" s="3" t="s">
        <v>104</v>
      </c>
      <c r="Q1866" s="3"/>
    </row>
    <row r="1867" spans="1:17" hidden="1" x14ac:dyDescent="0.3">
      <c r="A1867" s="2">
        <v>43374</v>
      </c>
      <c r="B1867" s="3" t="s">
        <v>12</v>
      </c>
      <c r="C1867" s="3" t="s">
        <v>100</v>
      </c>
      <c r="D1867" s="3" t="s">
        <v>101</v>
      </c>
      <c r="E1867" s="3" t="s">
        <v>15</v>
      </c>
      <c r="F1867" s="37">
        <v>14435</v>
      </c>
      <c r="G1867" s="3" t="s">
        <v>102</v>
      </c>
      <c r="H1867" s="3" t="s">
        <v>103</v>
      </c>
      <c r="I1867" s="37">
        <f>INDEX('Currency Master'!B:B,MATCH(A1867,'Currency Master'!A:A,0))/INDEX('Currency Master'!C:C,MATCH(A1867,'Currency Master'!A:A,0))</f>
        <v>10.556726128167256</v>
      </c>
      <c r="J1867" s="37">
        <f t="shared" si="107"/>
        <v>54191.63</v>
      </c>
      <c r="K1867" s="3" t="s">
        <v>16</v>
      </c>
      <c r="L1867" s="38">
        <v>-5.1900000000000002E-2</v>
      </c>
      <c r="M1867" s="3"/>
      <c r="N1867" s="3">
        <v>2018</v>
      </c>
      <c r="O1867" s="3" t="s">
        <v>89</v>
      </c>
      <c r="P1867" s="3" t="s">
        <v>104</v>
      </c>
      <c r="Q1867" s="3"/>
    </row>
    <row r="1868" spans="1:17" hidden="1" x14ac:dyDescent="0.3">
      <c r="A1868" s="2">
        <v>43344</v>
      </c>
      <c r="B1868" s="3" t="s">
        <v>12</v>
      </c>
      <c r="C1868" s="3" t="s">
        <v>100</v>
      </c>
      <c r="D1868" s="3" t="s">
        <v>101</v>
      </c>
      <c r="E1868" s="3" t="s">
        <v>15</v>
      </c>
      <c r="F1868" s="37">
        <v>15225</v>
      </c>
      <c r="G1868" s="3" t="s">
        <v>102</v>
      </c>
      <c r="H1868" s="3" t="s">
        <v>103</v>
      </c>
      <c r="I1868" s="37">
        <f>INDEX('Currency Master'!B:B,MATCH(A1868,'Currency Master'!A:A,0))/INDEX('Currency Master'!C:C,MATCH(A1868,'Currency Master'!A:A,0))</f>
        <v>10.516744612696563</v>
      </c>
      <c r="J1868" s="37">
        <f t="shared" si="107"/>
        <v>56940.959999999999</v>
      </c>
      <c r="K1868" s="3" t="s">
        <v>16</v>
      </c>
      <c r="L1868" s="38">
        <v>-3.39E-2</v>
      </c>
      <c r="M1868" s="3"/>
      <c r="N1868" s="3">
        <v>2018</v>
      </c>
      <c r="O1868" s="3" t="s">
        <v>90</v>
      </c>
      <c r="P1868" s="3" t="s">
        <v>104</v>
      </c>
      <c r="Q1868" s="3"/>
    </row>
    <row r="1869" spans="1:17" hidden="1" x14ac:dyDescent="0.3">
      <c r="A1869" s="2">
        <v>43313</v>
      </c>
      <c r="B1869" s="3" t="s">
        <v>12</v>
      </c>
      <c r="C1869" s="3" t="s">
        <v>100</v>
      </c>
      <c r="D1869" s="3" t="s">
        <v>101</v>
      </c>
      <c r="E1869" s="3" t="s">
        <v>15</v>
      </c>
      <c r="F1869" s="37">
        <v>15760</v>
      </c>
      <c r="G1869" s="3" t="s">
        <v>102</v>
      </c>
      <c r="H1869" s="3" t="s">
        <v>103</v>
      </c>
      <c r="I1869" s="37">
        <f>INDEX('Currency Master'!B:B,MATCH(A1869,'Currency Master'!A:A,0))/INDEX('Currency Master'!C:C,MATCH(A1869,'Currency Master'!A:A,0))</f>
        <v>10.196163250366032</v>
      </c>
      <c r="J1869" s="37">
        <f t="shared" si="107"/>
        <v>57145.120000000003</v>
      </c>
      <c r="K1869" s="3" t="s">
        <v>16</v>
      </c>
      <c r="L1869" s="38">
        <v>-2.93E-2</v>
      </c>
      <c r="M1869" s="3"/>
      <c r="N1869" s="3">
        <v>2018</v>
      </c>
      <c r="O1869" s="3" t="s">
        <v>91</v>
      </c>
      <c r="P1869" s="3" t="s">
        <v>104</v>
      </c>
      <c r="Q1869" s="3"/>
    </row>
    <row r="1870" spans="1:17" hidden="1" x14ac:dyDescent="0.3">
      <c r="A1870" s="2">
        <v>43282</v>
      </c>
      <c r="B1870" s="3" t="s">
        <v>12</v>
      </c>
      <c r="C1870" s="3" t="s">
        <v>100</v>
      </c>
      <c r="D1870" s="3" t="s">
        <v>101</v>
      </c>
      <c r="E1870" s="3" t="s">
        <v>15</v>
      </c>
      <c r="F1870" s="37">
        <v>16235</v>
      </c>
      <c r="G1870" s="3" t="s">
        <v>102</v>
      </c>
      <c r="H1870" s="3" t="s">
        <v>103</v>
      </c>
      <c r="I1870" s="37">
        <f>INDEX('Currency Master'!B:B,MATCH(A1870,'Currency Master'!A:A,0))/INDEX('Currency Master'!C:C,MATCH(A1870,'Currency Master'!A:A,0))</f>
        <v>10.09965519268644</v>
      </c>
      <c r="J1870" s="37">
        <f t="shared" si="107"/>
        <v>58310.27</v>
      </c>
      <c r="K1870" s="3" t="s">
        <v>16</v>
      </c>
      <c r="L1870" s="38">
        <v>4.2999999999999997E-2</v>
      </c>
      <c r="M1870" s="3"/>
      <c r="N1870" s="3">
        <v>2018</v>
      </c>
      <c r="O1870" s="3" t="s">
        <v>92</v>
      </c>
      <c r="P1870" s="3" t="s">
        <v>104</v>
      </c>
      <c r="Q1870" s="3"/>
    </row>
    <row r="1871" spans="1:17" hidden="1" x14ac:dyDescent="0.3">
      <c r="A1871" s="2">
        <v>43252</v>
      </c>
      <c r="B1871" s="3" t="s">
        <v>12</v>
      </c>
      <c r="C1871" s="3" t="s">
        <v>100</v>
      </c>
      <c r="D1871" s="3" t="s">
        <v>101</v>
      </c>
      <c r="E1871" s="3" t="s">
        <v>15</v>
      </c>
      <c r="F1871" s="37">
        <v>15565</v>
      </c>
      <c r="G1871" s="3" t="s">
        <v>102</v>
      </c>
      <c r="H1871" s="3" t="s">
        <v>103</v>
      </c>
      <c r="I1871" s="37">
        <f>INDEX('Currency Master'!B:B,MATCH(A1871,'Currency Master'!A:A,0))/INDEX('Currency Master'!C:C,MATCH(A1871,'Currency Master'!A:A,0))</f>
        <v>10.244176905290837</v>
      </c>
      <c r="J1871" s="37">
        <f t="shared" si="107"/>
        <v>56703.83</v>
      </c>
      <c r="K1871" s="3" t="s">
        <v>16</v>
      </c>
      <c r="L1871" s="38">
        <v>-0.10730000000000001</v>
      </c>
      <c r="M1871" s="3"/>
      <c r="N1871" s="3">
        <v>2018</v>
      </c>
      <c r="O1871" s="3" t="s">
        <v>93</v>
      </c>
      <c r="P1871" s="3" t="s">
        <v>104</v>
      </c>
      <c r="Q1871" s="3"/>
    </row>
    <row r="1872" spans="1:17" hidden="1" x14ac:dyDescent="0.3">
      <c r="A1872" s="2">
        <v>43221</v>
      </c>
      <c r="B1872" s="3" t="s">
        <v>12</v>
      </c>
      <c r="C1872" s="3" t="s">
        <v>100</v>
      </c>
      <c r="D1872" s="3" t="s">
        <v>101</v>
      </c>
      <c r="E1872" s="3" t="s">
        <v>15</v>
      </c>
      <c r="F1872" s="37">
        <v>17435</v>
      </c>
      <c r="G1872" s="3" t="s">
        <v>102</v>
      </c>
      <c r="H1872" s="3" t="s">
        <v>103</v>
      </c>
      <c r="I1872" s="37">
        <f>INDEX('Currency Master'!B:B,MATCH(A1872,'Currency Master'!A:A,0))/INDEX('Currency Master'!C:C,MATCH(A1872,'Currency Master'!A:A,0))</f>
        <v>10.539036289316025</v>
      </c>
      <c r="J1872" s="37">
        <f t="shared" si="107"/>
        <v>65344.5</v>
      </c>
      <c r="K1872" s="3" t="s">
        <v>16</v>
      </c>
      <c r="L1872" s="38">
        <v>0.1749</v>
      </c>
      <c r="M1872" s="3"/>
      <c r="N1872" s="3">
        <v>2018</v>
      </c>
      <c r="O1872" s="3" t="s">
        <v>94</v>
      </c>
      <c r="P1872" s="3" t="s">
        <v>104</v>
      </c>
      <c r="Q1872" s="3"/>
    </row>
    <row r="1873" spans="1:17" hidden="1" x14ac:dyDescent="0.3">
      <c r="A1873" s="2">
        <v>43191</v>
      </c>
      <c r="B1873" s="3" t="s">
        <v>12</v>
      </c>
      <c r="C1873" s="3" t="s">
        <v>100</v>
      </c>
      <c r="D1873" s="3" t="s">
        <v>101</v>
      </c>
      <c r="E1873" s="3" t="s">
        <v>15</v>
      </c>
      <c r="F1873" s="37">
        <v>14840</v>
      </c>
      <c r="G1873" s="3" t="s">
        <v>102</v>
      </c>
      <c r="H1873" s="3" t="s">
        <v>103</v>
      </c>
      <c r="I1873" s="37">
        <f>INDEX('Currency Master'!B:B,MATCH(A1873,'Currency Master'!A:A,0))/INDEX('Currency Master'!C:C,MATCH(A1873,'Currency Master'!A:A,0))</f>
        <v>10.37548393209633</v>
      </c>
      <c r="J1873" s="37">
        <f t="shared" si="107"/>
        <v>54755.59</v>
      </c>
      <c r="K1873" s="3" t="s">
        <v>16</v>
      </c>
      <c r="L1873" s="38">
        <v>2E-3</v>
      </c>
      <c r="M1873" s="3"/>
      <c r="N1873" s="3">
        <v>2018</v>
      </c>
      <c r="O1873" s="3" t="s">
        <v>95</v>
      </c>
      <c r="P1873" s="3" t="s">
        <v>104</v>
      </c>
      <c r="Q1873" s="3"/>
    </row>
    <row r="1874" spans="1:17" hidden="1" x14ac:dyDescent="0.3">
      <c r="A1874" s="2">
        <v>43160</v>
      </c>
      <c r="B1874" s="3" t="s">
        <v>12</v>
      </c>
      <c r="C1874" s="3" t="s">
        <v>100</v>
      </c>
      <c r="D1874" s="3" t="s">
        <v>101</v>
      </c>
      <c r="E1874" s="3" t="s">
        <v>15</v>
      </c>
      <c r="F1874" s="37">
        <v>14810</v>
      </c>
      <c r="G1874" s="3" t="s">
        <v>102</v>
      </c>
      <c r="H1874" s="3" t="s">
        <v>103</v>
      </c>
      <c r="I1874" s="37">
        <f>INDEX('Currency Master'!B:B,MATCH(A1874,'Currency Master'!A:A,0))/INDEX('Currency Master'!C:C,MATCH(A1874,'Currency Master'!A:A,0))</f>
        <v>10.371286866690049</v>
      </c>
      <c r="J1874" s="37">
        <f t="shared" si="107"/>
        <v>54622.79</v>
      </c>
      <c r="K1874" s="3" t="s">
        <v>16</v>
      </c>
      <c r="L1874" s="38">
        <v>-8.9999999999999993E-3</v>
      </c>
      <c r="M1874" s="3"/>
      <c r="N1874" s="3">
        <v>2018</v>
      </c>
      <c r="O1874" s="3" t="s">
        <v>96</v>
      </c>
      <c r="P1874" s="3" t="s">
        <v>104</v>
      </c>
      <c r="Q1874" s="3"/>
    </row>
    <row r="1875" spans="1:17" hidden="1" x14ac:dyDescent="0.3">
      <c r="A1875" s="2">
        <v>43132</v>
      </c>
      <c r="B1875" s="3" t="s">
        <v>12</v>
      </c>
      <c r="C1875" s="3" t="s">
        <v>100</v>
      </c>
      <c r="D1875" s="3" t="s">
        <v>101</v>
      </c>
      <c r="E1875" s="3" t="s">
        <v>15</v>
      </c>
      <c r="F1875" s="37">
        <v>14945</v>
      </c>
      <c r="G1875" s="3" t="s">
        <v>102</v>
      </c>
      <c r="H1875" s="3" t="s">
        <v>103</v>
      </c>
      <c r="I1875" s="37">
        <f>INDEX('Currency Master'!B:B,MATCH(A1875,'Currency Master'!A:A,0))/INDEX('Currency Master'!C:C,MATCH(A1875,'Currency Master'!A:A,0))</f>
        <v>10.182587231352718</v>
      </c>
      <c r="J1875" s="37">
        <f t="shared" si="107"/>
        <v>54117.81</v>
      </c>
      <c r="K1875" s="3" t="s">
        <v>16</v>
      </c>
      <c r="L1875" s="38">
        <v>-2E-3</v>
      </c>
      <c r="M1875" s="3"/>
      <c r="N1875" s="3">
        <v>2018</v>
      </c>
      <c r="O1875" s="3" t="s">
        <v>97</v>
      </c>
      <c r="P1875" s="3" t="s">
        <v>104</v>
      </c>
      <c r="Q1875" s="3"/>
    </row>
    <row r="1876" spans="1:17" hidden="1" x14ac:dyDescent="0.3">
      <c r="A1876" s="2">
        <v>43101</v>
      </c>
      <c r="B1876" s="3" t="s">
        <v>12</v>
      </c>
      <c r="C1876" s="3" t="s">
        <v>100</v>
      </c>
      <c r="D1876" s="3" t="s">
        <v>101</v>
      </c>
      <c r="E1876" s="3" t="s">
        <v>15</v>
      </c>
      <c r="F1876" s="37">
        <v>14975</v>
      </c>
      <c r="G1876" s="3" t="s">
        <v>102</v>
      </c>
      <c r="H1876" s="3" t="s">
        <v>103</v>
      </c>
      <c r="I1876" s="37">
        <f>INDEX('Currency Master'!B:B,MATCH(A1876,'Currency Master'!A:A,0))/INDEX('Currency Master'!C:C,MATCH(A1876,'Currency Master'!A:A,0))</f>
        <v>10.129443993571078</v>
      </c>
      <c r="J1876" s="37">
        <f t="shared" si="107"/>
        <v>53943.44</v>
      </c>
      <c r="K1876" s="3" t="s">
        <v>16</v>
      </c>
      <c r="L1876" s="38">
        <v>1.84E-2</v>
      </c>
      <c r="M1876" s="3"/>
      <c r="N1876" s="3">
        <v>2018</v>
      </c>
      <c r="O1876" s="3" t="s">
        <v>85</v>
      </c>
      <c r="P1876" s="3" t="s">
        <v>104</v>
      </c>
      <c r="Q1876" s="3"/>
    </row>
    <row r="1877" spans="1:17" hidden="1" x14ac:dyDescent="0.3">
      <c r="A1877" s="2">
        <v>43070</v>
      </c>
      <c r="B1877" s="3" t="s">
        <v>12</v>
      </c>
      <c r="C1877" s="3" t="s">
        <v>100</v>
      </c>
      <c r="D1877" s="3" t="s">
        <v>101</v>
      </c>
      <c r="E1877" s="3" t="s">
        <v>15</v>
      </c>
      <c r="F1877" s="37">
        <v>14705</v>
      </c>
      <c r="G1877" s="3" t="s">
        <v>102</v>
      </c>
      <c r="H1877" s="3" t="s">
        <v>103</v>
      </c>
      <c r="I1877" s="37">
        <f>INDEX('Currency Master'!B:B,MATCH(A1877,'Currency Master'!A:A,0))/INDEX('Currency Master'!C:C,MATCH(A1877,'Currency Master'!A:A,0))</f>
        <v>9.8775548314710342</v>
      </c>
      <c r="J1877" s="37">
        <f t="shared" si="107"/>
        <v>51653.61</v>
      </c>
      <c r="K1877" s="3" t="s">
        <v>16</v>
      </c>
      <c r="L1877" s="38">
        <v>-2.4500000000000001E-2</v>
      </c>
      <c r="M1877" s="3"/>
      <c r="N1877" s="3">
        <v>2017</v>
      </c>
      <c r="O1877" s="3" t="s">
        <v>87</v>
      </c>
      <c r="P1877" s="3" t="s">
        <v>104</v>
      </c>
      <c r="Q1877" s="3"/>
    </row>
    <row r="1878" spans="1:17" hidden="1" x14ac:dyDescent="0.3">
      <c r="A1878" s="2">
        <v>43040</v>
      </c>
      <c r="B1878" s="3" t="s">
        <v>12</v>
      </c>
      <c r="C1878" s="3" t="s">
        <v>100</v>
      </c>
      <c r="D1878" s="3" t="s">
        <v>101</v>
      </c>
      <c r="E1878" s="3" t="s">
        <v>15</v>
      </c>
      <c r="F1878" s="37">
        <v>15075</v>
      </c>
      <c r="G1878" s="3" t="s">
        <v>102</v>
      </c>
      <c r="H1878" s="3" t="s">
        <v>103</v>
      </c>
      <c r="I1878" s="37">
        <f>INDEX('Currency Master'!B:B,MATCH(A1878,'Currency Master'!A:A,0))/INDEX('Currency Master'!C:C,MATCH(A1878,'Currency Master'!A:A,0))</f>
        <v>9.8130183083673774</v>
      </c>
      <c r="J1878" s="37">
        <f t="shared" si="107"/>
        <v>52607.31</v>
      </c>
      <c r="K1878" s="3" t="s">
        <v>16</v>
      </c>
      <c r="L1878" s="38">
        <v>2.06E-2</v>
      </c>
      <c r="M1878" s="3"/>
      <c r="N1878" s="3">
        <v>2017</v>
      </c>
      <c r="O1878" s="3" t="s">
        <v>88</v>
      </c>
      <c r="P1878" s="3" t="s">
        <v>104</v>
      </c>
      <c r="Q1878" s="3"/>
    </row>
    <row r="1879" spans="1:17" hidden="1" x14ac:dyDescent="0.3">
      <c r="A1879" s="2">
        <v>43009</v>
      </c>
      <c r="B1879" s="3" t="s">
        <v>12</v>
      </c>
      <c r="C1879" s="3" t="s">
        <v>100</v>
      </c>
      <c r="D1879" s="3" t="s">
        <v>101</v>
      </c>
      <c r="E1879" s="3" t="s">
        <v>15</v>
      </c>
      <c r="F1879" s="37">
        <v>14770</v>
      </c>
      <c r="G1879" s="3" t="s">
        <v>102</v>
      </c>
      <c r="H1879" s="3" t="s">
        <v>103</v>
      </c>
      <c r="I1879" s="37">
        <f>INDEX('Currency Master'!B:B,MATCH(A1879,'Currency Master'!A:A,0))/INDEX('Currency Master'!C:C,MATCH(A1879,'Currency Master'!A:A,0))</f>
        <v>9.8106208539380066</v>
      </c>
      <c r="J1879" s="37">
        <f t="shared" si="107"/>
        <v>51530.36</v>
      </c>
      <c r="K1879" s="3" t="s">
        <v>16</v>
      </c>
      <c r="L1879" s="38">
        <v>-1.6E-2</v>
      </c>
      <c r="M1879" s="3"/>
      <c r="N1879" s="3">
        <v>2017</v>
      </c>
      <c r="O1879" s="3" t="s">
        <v>89</v>
      </c>
      <c r="P1879" s="3" t="s">
        <v>104</v>
      </c>
      <c r="Q1879" s="3"/>
    </row>
    <row r="1880" spans="1:17" hidden="1" x14ac:dyDescent="0.3">
      <c r="A1880" s="2">
        <v>42979</v>
      </c>
      <c r="B1880" s="3" t="s">
        <v>12</v>
      </c>
      <c r="C1880" s="3" t="s">
        <v>100</v>
      </c>
      <c r="D1880" s="3" t="s">
        <v>101</v>
      </c>
      <c r="E1880" s="3" t="s">
        <v>15</v>
      </c>
      <c r="F1880" s="37">
        <v>15010</v>
      </c>
      <c r="G1880" s="3" t="s">
        <v>102</v>
      </c>
      <c r="H1880" s="3" t="s">
        <v>103</v>
      </c>
      <c r="I1880" s="37">
        <f>INDEX('Currency Master'!B:B,MATCH(A1880,'Currency Master'!A:A,0))/INDEX('Currency Master'!C:C,MATCH(A1880,'Currency Master'!A:A,0))</f>
        <v>9.6887848135511696</v>
      </c>
      <c r="J1880" s="37">
        <f t="shared" si="107"/>
        <v>51717.34</v>
      </c>
      <c r="K1880" s="3" t="s">
        <v>16</v>
      </c>
      <c r="L1880" s="38">
        <v>-1.7299999999999999E-2</v>
      </c>
      <c r="M1880" s="3"/>
      <c r="N1880" s="3">
        <v>2017</v>
      </c>
      <c r="O1880" s="3" t="s">
        <v>90</v>
      </c>
      <c r="P1880" s="3" t="s">
        <v>104</v>
      </c>
      <c r="Q1880" s="3"/>
    </row>
    <row r="1881" spans="1:17" hidden="1" x14ac:dyDescent="0.3">
      <c r="A1881" s="2">
        <v>42948</v>
      </c>
      <c r="B1881" s="3" t="s">
        <v>12</v>
      </c>
      <c r="C1881" s="3" t="s">
        <v>100</v>
      </c>
      <c r="D1881" s="3" t="s">
        <v>101</v>
      </c>
      <c r="E1881" s="3" t="s">
        <v>15</v>
      </c>
      <c r="F1881" s="37">
        <v>15275</v>
      </c>
      <c r="G1881" s="3" t="s">
        <v>102</v>
      </c>
      <c r="H1881" s="3" t="s">
        <v>103</v>
      </c>
      <c r="I1881" s="37">
        <f>INDEX('Currency Master'!B:B,MATCH(A1881,'Currency Master'!A:A,0))/INDEX('Currency Master'!C:C,MATCH(A1881,'Currency Master'!A:A,0))</f>
        <v>9.7115151469159784</v>
      </c>
      <c r="J1881" s="37">
        <f t="shared" si="107"/>
        <v>52753.88</v>
      </c>
      <c r="K1881" s="3" t="s">
        <v>16</v>
      </c>
      <c r="L1881" s="38">
        <v>4.2700000000000002E-2</v>
      </c>
      <c r="M1881" s="3"/>
      <c r="N1881" s="3">
        <v>2017</v>
      </c>
      <c r="O1881" s="3" t="s">
        <v>91</v>
      </c>
      <c r="P1881" s="3" t="s">
        <v>104</v>
      </c>
      <c r="Q1881" s="3"/>
    </row>
    <row r="1882" spans="1:17" hidden="1" x14ac:dyDescent="0.3">
      <c r="A1882" s="2">
        <v>42917</v>
      </c>
      <c r="B1882" s="3" t="s">
        <v>12</v>
      </c>
      <c r="C1882" s="3" t="s">
        <v>100</v>
      </c>
      <c r="D1882" s="3" t="s">
        <v>101</v>
      </c>
      <c r="E1882" s="3" t="s">
        <v>15</v>
      </c>
      <c r="F1882" s="37">
        <v>14650</v>
      </c>
      <c r="G1882" s="3" t="s">
        <v>102</v>
      </c>
      <c r="H1882" s="3" t="s">
        <v>103</v>
      </c>
      <c r="I1882" s="37">
        <f>INDEX('Currency Master'!B:B,MATCH(A1882,'Currency Master'!A:A,0))/INDEX('Currency Master'!C:C,MATCH(A1882,'Currency Master'!A:A,0))</f>
        <v>9.5860172516359299</v>
      </c>
      <c r="J1882" s="37">
        <f t="shared" si="107"/>
        <v>49941.55</v>
      </c>
      <c r="K1882" s="3" t="s">
        <v>16</v>
      </c>
      <c r="L1882" s="38">
        <v>-1E-3</v>
      </c>
      <c r="M1882" s="3"/>
      <c r="N1882" s="3">
        <v>2017</v>
      </c>
      <c r="O1882" s="3" t="s">
        <v>92</v>
      </c>
      <c r="P1882" s="3" t="s">
        <v>104</v>
      </c>
      <c r="Q1882" s="3"/>
    </row>
    <row r="1883" spans="1:17" hidden="1" x14ac:dyDescent="0.3">
      <c r="A1883" s="2">
        <v>42887</v>
      </c>
      <c r="B1883" s="3" t="s">
        <v>12</v>
      </c>
      <c r="C1883" s="3" t="s">
        <v>100</v>
      </c>
      <c r="D1883" s="3" t="s">
        <v>101</v>
      </c>
      <c r="E1883" s="3" t="s">
        <v>15</v>
      </c>
      <c r="F1883" s="37">
        <v>14665</v>
      </c>
      <c r="G1883" s="3" t="s">
        <v>102</v>
      </c>
      <c r="H1883" s="3" t="s">
        <v>103</v>
      </c>
      <c r="I1883" s="37">
        <f>INDEX('Currency Master'!B:B,MATCH(A1883,'Currency Master'!A:A,0))/INDEX('Currency Master'!C:C,MATCH(A1883,'Currency Master'!A:A,0))</f>
        <v>9.5076221733807316</v>
      </c>
      <c r="J1883" s="37">
        <f t="shared" si="107"/>
        <v>49583.839999999997</v>
      </c>
      <c r="K1883" s="3" t="s">
        <v>16</v>
      </c>
      <c r="L1883" s="38">
        <v>-3.8699999999999998E-2</v>
      </c>
      <c r="M1883" s="3"/>
      <c r="N1883" s="3">
        <v>2017</v>
      </c>
      <c r="O1883" s="3" t="s">
        <v>93</v>
      </c>
      <c r="P1883" s="3" t="s">
        <v>104</v>
      </c>
      <c r="Q1883" s="3"/>
    </row>
    <row r="1884" spans="1:17" hidden="1" x14ac:dyDescent="0.3">
      <c r="A1884" s="2">
        <v>42856</v>
      </c>
      <c r="B1884" s="3" t="s">
        <v>12</v>
      </c>
      <c r="C1884" s="3" t="s">
        <v>100</v>
      </c>
      <c r="D1884" s="3" t="s">
        <v>101</v>
      </c>
      <c r="E1884" s="3" t="s">
        <v>15</v>
      </c>
      <c r="F1884" s="37">
        <v>15255</v>
      </c>
      <c r="G1884" s="3" t="s">
        <v>102</v>
      </c>
      <c r="H1884" s="3" t="s">
        <v>103</v>
      </c>
      <c r="I1884" s="37">
        <f>INDEX('Currency Master'!B:B,MATCH(A1884,'Currency Master'!A:A,0))/INDEX('Currency Master'!C:C,MATCH(A1884,'Currency Master'!A:A,0))</f>
        <v>9.4644058562659694</v>
      </c>
      <c r="J1884" s="37">
        <f t="shared" si="107"/>
        <v>51344.24</v>
      </c>
      <c r="K1884" s="3" t="s">
        <v>16</v>
      </c>
      <c r="L1884" s="38">
        <v>-1.2E-2</v>
      </c>
      <c r="M1884" s="3"/>
      <c r="N1884" s="3">
        <v>2017</v>
      </c>
      <c r="O1884" s="3" t="s">
        <v>94</v>
      </c>
      <c r="P1884" s="3" t="s">
        <v>104</v>
      </c>
      <c r="Q1884" s="3"/>
    </row>
    <row r="1885" spans="1:17" hidden="1" x14ac:dyDescent="0.3">
      <c r="A1885" s="2">
        <v>42826</v>
      </c>
      <c r="B1885" s="3" t="s">
        <v>12</v>
      </c>
      <c r="C1885" s="3" t="s">
        <v>100</v>
      </c>
      <c r="D1885" s="3" t="s">
        <v>101</v>
      </c>
      <c r="E1885" s="3" t="s">
        <v>15</v>
      </c>
      <c r="F1885" s="37">
        <v>15440</v>
      </c>
      <c r="G1885" s="3" t="s">
        <v>102</v>
      </c>
      <c r="H1885" s="3" t="s">
        <v>103</v>
      </c>
      <c r="I1885" s="37">
        <f>INDEX('Currency Master'!B:B,MATCH(A1885,'Currency Master'!A:A,0))/INDEX('Currency Master'!C:C,MATCH(A1885,'Currency Master'!A:A,0))</f>
        <v>9.3670955007256893</v>
      </c>
      <c r="J1885" s="37">
        <f t="shared" si="107"/>
        <v>51432.59</v>
      </c>
      <c r="K1885" s="3" t="s">
        <v>16</v>
      </c>
      <c r="L1885" s="38">
        <v>3.7600000000000001E-2</v>
      </c>
      <c r="M1885" s="3"/>
      <c r="N1885" s="3">
        <v>2017</v>
      </c>
      <c r="O1885" s="3" t="s">
        <v>95</v>
      </c>
      <c r="P1885" s="3" t="s">
        <v>104</v>
      </c>
      <c r="Q1885" s="3"/>
    </row>
    <row r="1886" spans="1:17" hidden="1" x14ac:dyDescent="0.3">
      <c r="A1886" s="2">
        <v>42795</v>
      </c>
      <c r="B1886" s="3" t="s">
        <v>12</v>
      </c>
      <c r="C1886" s="3" t="s">
        <v>100</v>
      </c>
      <c r="D1886" s="3" t="s">
        <v>101</v>
      </c>
      <c r="E1886" s="3" t="s">
        <v>15</v>
      </c>
      <c r="F1886" s="37">
        <v>14880</v>
      </c>
      <c r="G1886" s="3" t="s">
        <v>102</v>
      </c>
      <c r="H1886" s="3" t="s">
        <v>103</v>
      </c>
      <c r="I1886" s="37">
        <f>INDEX('Currency Master'!B:B,MATCH(A1886,'Currency Master'!A:A,0))/INDEX('Currency Master'!C:C,MATCH(A1886,'Currency Master'!A:A,0))</f>
        <v>9.5629522605764752</v>
      </c>
      <c r="J1886" s="37">
        <f t="shared" si="107"/>
        <v>50603.56</v>
      </c>
      <c r="K1886" s="3" t="s">
        <v>16</v>
      </c>
      <c r="L1886" s="38">
        <v>-5.67E-2</v>
      </c>
      <c r="M1886" s="3"/>
      <c r="N1886" s="3">
        <v>2017</v>
      </c>
      <c r="O1886" s="3" t="s">
        <v>96</v>
      </c>
      <c r="P1886" s="3" t="s">
        <v>104</v>
      </c>
      <c r="Q1886" s="3"/>
    </row>
    <row r="1887" spans="1:17" hidden="1" x14ac:dyDescent="0.3">
      <c r="A1887" s="2">
        <v>42767</v>
      </c>
      <c r="B1887" s="3" t="s">
        <v>12</v>
      </c>
      <c r="C1887" s="3" t="s">
        <v>100</v>
      </c>
      <c r="D1887" s="3" t="s">
        <v>101</v>
      </c>
      <c r="E1887" s="3" t="s">
        <v>15</v>
      </c>
      <c r="F1887" s="37">
        <v>15775</v>
      </c>
      <c r="G1887" s="3" t="s">
        <v>102</v>
      </c>
      <c r="H1887" s="3" t="s">
        <v>103</v>
      </c>
      <c r="I1887" s="37">
        <f>INDEX('Currency Master'!B:B,MATCH(A1887,'Currency Master'!A:A,0))/INDEX('Currency Master'!C:C,MATCH(A1887,'Currency Master'!A:A,0))</f>
        <v>9.7553117308672537</v>
      </c>
      <c r="J1887" s="37">
        <f t="shared" si="107"/>
        <v>54726.38</v>
      </c>
      <c r="K1887" s="3" t="s">
        <v>16</v>
      </c>
      <c r="L1887" s="38">
        <v>1.38E-2</v>
      </c>
      <c r="M1887" s="3"/>
      <c r="N1887" s="3">
        <v>2017</v>
      </c>
      <c r="O1887" s="3" t="s">
        <v>97</v>
      </c>
      <c r="P1887" s="3" t="s">
        <v>104</v>
      </c>
      <c r="Q1887" s="3"/>
    </row>
    <row r="1888" spans="1:17" hidden="1" x14ac:dyDescent="0.3">
      <c r="A1888" s="2">
        <v>42736</v>
      </c>
      <c r="B1888" s="3" t="s">
        <v>12</v>
      </c>
      <c r="C1888" s="3" t="s">
        <v>100</v>
      </c>
      <c r="D1888" s="3" t="s">
        <v>101</v>
      </c>
      <c r="E1888" s="3" t="s">
        <v>15</v>
      </c>
      <c r="F1888" s="37">
        <v>15560</v>
      </c>
      <c r="G1888" s="3" t="s">
        <v>102</v>
      </c>
      <c r="H1888" s="3" t="s">
        <v>103</v>
      </c>
      <c r="I1888" s="37">
        <f>INDEX('Currency Master'!B:B,MATCH(A1888,'Currency Master'!A:A,0))/INDEX('Currency Master'!C:C,MATCH(A1888,'Currency Master'!A:A,0))</f>
        <v>9.9026984934853424</v>
      </c>
      <c r="J1888" s="37">
        <f t="shared" si="107"/>
        <v>54796.06</v>
      </c>
      <c r="K1888" s="3" t="s">
        <v>16</v>
      </c>
      <c r="L1888" s="38">
        <v>4.7800000000000002E-2</v>
      </c>
      <c r="M1888" s="3"/>
      <c r="N1888" s="3">
        <v>2017</v>
      </c>
      <c r="O1888" s="3" t="s">
        <v>85</v>
      </c>
      <c r="P1888" s="3" t="s">
        <v>104</v>
      </c>
      <c r="Q1888" s="3"/>
    </row>
    <row r="1889" spans="1:17" hidden="1" x14ac:dyDescent="0.3">
      <c r="A1889" s="2">
        <v>42705</v>
      </c>
      <c r="B1889" s="3" t="s">
        <v>12</v>
      </c>
      <c r="C1889" s="3" t="s">
        <v>100</v>
      </c>
      <c r="D1889" s="3" t="s">
        <v>101</v>
      </c>
      <c r="E1889" s="3" t="s">
        <v>15</v>
      </c>
      <c r="F1889" s="37">
        <v>14850</v>
      </c>
      <c r="G1889" s="3" t="s">
        <v>102</v>
      </c>
      <c r="H1889" s="3" t="s">
        <v>103</v>
      </c>
      <c r="I1889" s="37">
        <f>INDEX('Currency Master'!B:B,MATCH(A1889,'Currency Master'!A:A,0))/INDEX('Currency Master'!C:C,MATCH(A1889,'Currency Master'!A:A,0))</f>
        <v>9.7733170099380668</v>
      </c>
      <c r="J1889" s="37">
        <f t="shared" si="107"/>
        <v>51612.47</v>
      </c>
      <c r="K1889" s="3" t="s">
        <v>16</v>
      </c>
      <c r="L1889" s="38">
        <v>-5.6800000000000003E-2</v>
      </c>
      <c r="M1889" s="3"/>
      <c r="N1889" s="3">
        <v>2016</v>
      </c>
      <c r="O1889" s="3" t="s">
        <v>87</v>
      </c>
      <c r="P1889" s="3" t="s">
        <v>104</v>
      </c>
      <c r="Q1889" s="3"/>
    </row>
    <row r="1890" spans="1:17" hidden="1" x14ac:dyDescent="0.3">
      <c r="A1890" s="2">
        <v>42675</v>
      </c>
      <c r="B1890" s="3" t="s">
        <v>12</v>
      </c>
      <c r="C1890" s="3" t="s">
        <v>100</v>
      </c>
      <c r="D1890" s="3" t="s">
        <v>101</v>
      </c>
      <c r="E1890" s="3" t="s">
        <v>15</v>
      </c>
      <c r="F1890" s="37">
        <v>15745</v>
      </c>
      <c r="G1890" s="3" t="s">
        <v>102</v>
      </c>
      <c r="H1890" s="3" t="s">
        <v>103</v>
      </c>
      <c r="I1890" s="37">
        <f>INDEX('Currency Master'!B:B,MATCH(A1890,'Currency Master'!A:A,0))/INDEX('Currency Master'!C:C,MATCH(A1890,'Currency Master'!A:A,0))</f>
        <v>9.8296857794500045</v>
      </c>
      <c r="J1890" s="37">
        <f t="shared" si="107"/>
        <v>55038.74</v>
      </c>
      <c r="K1890" s="3" t="s">
        <v>16</v>
      </c>
      <c r="L1890" s="38">
        <v>3.4200000000000001E-2</v>
      </c>
      <c r="M1890" s="3"/>
      <c r="N1890" s="3">
        <v>2016</v>
      </c>
      <c r="O1890" s="3" t="s">
        <v>88</v>
      </c>
      <c r="P1890" s="3" t="s">
        <v>104</v>
      </c>
      <c r="Q1890" s="3"/>
    </row>
    <row r="1891" spans="1:17" hidden="1" x14ac:dyDescent="0.3">
      <c r="A1891" s="2">
        <v>42644</v>
      </c>
      <c r="B1891" s="3" t="s">
        <v>12</v>
      </c>
      <c r="C1891" s="3" t="s">
        <v>100</v>
      </c>
      <c r="D1891" s="3" t="s">
        <v>101</v>
      </c>
      <c r="E1891" s="3" t="s">
        <v>15</v>
      </c>
      <c r="F1891" s="37">
        <v>15225</v>
      </c>
      <c r="G1891" s="3" t="s">
        <v>102</v>
      </c>
      <c r="H1891" s="3" t="s">
        <v>103</v>
      </c>
      <c r="I1891" s="37">
        <f>INDEX('Currency Master'!B:B,MATCH(A1891,'Currency Master'!A:A,0))/INDEX('Currency Master'!C:C,MATCH(A1891,'Currency Master'!A:A,0))</f>
        <v>9.8518637336679706</v>
      </c>
      <c r="J1891" s="37">
        <f t="shared" si="107"/>
        <v>53341.09</v>
      </c>
      <c r="K1891" s="3" t="s">
        <v>16</v>
      </c>
      <c r="L1891" s="38">
        <v>1.4E-2</v>
      </c>
      <c r="M1891" s="3"/>
      <c r="N1891" s="3">
        <v>2016</v>
      </c>
      <c r="O1891" s="3" t="s">
        <v>89</v>
      </c>
      <c r="P1891" s="3" t="s">
        <v>104</v>
      </c>
      <c r="Q1891" s="3"/>
    </row>
    <row r="1892" spans="1:17" hidden="1" x14ac:dyDescent="0.3">
      <c r="A1892" s="2">
        <v>42614</v>
      </c>
      <c r="B1892" s="3" t="s">
        <v>12</v>
      </c>
      <c r="C1892" s="3" t="s">
        <v>100</v>
      </c>
      <c r="D1892" s="3" t="s">
        <v>101</v>
      </c>
      <c r="E1892" s="3" t="s">
        <v>15</v>
      </c>
      <c r="F1892" s="37">
        <v>15015</v>
      </c>
      <c r="G1892" s="3" t="s">
        <v>102</v>
      </c>
      <c r="H1892" s="3" t="s">
        <v>103</v>
      </c>
      <c r="I1892" s="37">
        <f>INDEX('Currency Master'!B:B,MATCH(A1892,'Currency Master'!A:A,0))/INDEX('Currency Master'!C:C,MATCH(A1892,'Currency Master'!A:A,0))</f>
        <v>10.007273899677589</v>
      </c>
      <c r="J1892" s="37">
        <f t="shared" si="107"/>
        <v>53435.18</v>
      </c>
      <c r="K1892" s="3" t="s">
        <v>16</v>
      </c>
      <c r="L1892" s="38">
        <v>0.1414</v>
      </c>
      <c r="M1892" s="3"/>
      <c r="N1892" s="3">
        <v>2016</v>
      </c>
      <c r="O1892" s="3" t="s">
        <v>90</v>
      </c>
      <c r="P1892" s="3" t="s">
        <v>104</v>
      </c>
      <c r="Q1892" s="3"/>
    </row>
    <row r="1893" spans="1:17" hidden="1" x14ac:dyDescent="0.3">
      <c r="A1893" s="2">
        <v>42583</v>
      </c>
      <c r="B1893" s="3" t="s">
        <v>12</v>
      </c>
      <c r="C1893" s="3" t="s">
        <v>100</v>
      </c>
      <c r="D1893" s="3" t="s">
        <v>101</v>
      </c>
      <c r="E1893" s="3" t="s">
        <v>15</v>
      </c>
      <c r="F1893" s="37">
        <v>13155</v>
      </c>
      <c r="G1893" s="3" t="s">
        <v>102</v>
      </c>
      <c r="H1893" s="3" t="s">
        <v>103</v>
      </c>
      <c r="I1893" s="37">
        <f>INDEX('Currency Master'!B:B,MATCH(A1893,'Currency Master'!A:A,0))/INDEX('Currency Master'!C:C,MATCH(A1893,'Currency Master'!A:A,0))</f>
        <v>10.02167889660956</v>
      </c>
      <c r="J1893" s="37">
        <f t="shared" si="107"/>
        <v>46883.23</v>
      </c>
      <c r="K1893" s="3" t="s">
        <v>16</v>
      </c>
      <c r="L1893" s="38">
        <v>-9.06E-2</v>
      </c>
      <c r="M1893" s="3"/>
      <c r="N1893" s="3">
        <v>2016</v>
      </c>
      <c r="O1893" s="3" t="s">
        <v>91</v>
      </c>
      <c r="P1893" s="3" t="s">
        <v>104</v>
      </c>
      <c r="Q1893" s="3"/>
    </row>
    <row r="1894" spans="1:17" hidden="1" x14ac:dyDescent="0.3">
      <c r="A1894" s="2">
        <v>42552</v>
      </c>
      <c r="B1894" s="3" t="s">
        <v>12</v>
      </c>
      <c r="C1894" s="3" t="s">
        <v>100</v>
      </c>
      <c r="D1894" s="3" t="s">
        <v>101</v>
      </c>
      <c r="E1894" s="3" t="s">
        <v>15</v>
      </c>
      <c r="F1894" s="37">
        <v>14465</v>
      </c>
      <c r="G1894" s="3" t="s">
        <v>102</v>
      </c>
      <c r="H1894" s="3" t="s">
        <v>103</v>
      </c>
      <c r="I1894" s="37">
        <f>INDEX('Currency Master'!B:B,MATCH(A1894,'Currency Master'!A:A,0))/INDEX('Currency Master'!C:C,MATCH(A1894,'Currency Master'!A:A,0))</f>
        <v>10.124021635955462</v>
      </c>
      <c r="J1894" s="37">
        <f t="shared" si="107"/>
        <v>52078.41</v>
      </c>
      <c r="K1894" s="3" t="s">
        <v>16</v>
      </c>
      <c r="L1894" s="38">
        <v>1.47E-2</v>
      </c>
      <c r="M1894" s="3"/>
      <c r="N1894" s="3">
        <v>2016</v>
      </c>
      <c r="O1894" s="3" t="s">
        <v>92</v>
      </c>
      <c r="P1894" s="3" t="s">
        <v>104</v>
      </c>
      <c r="Q1894" s="3"/>
    </row>
    <row r="1895" spans="1:17" hidden="1" x14ac:dyDescent="0.3">
      <c r="A1895" s="2">
        <v>42522</v>
      </c>
      <c r="B1895" s="3" t="s">
        <v>12</v>
      </c>
      <c r="C1895" s="3" t="s">
        <v>100</v>
      </c>
      <c r="D1895" s="3" t="s">
        <v>101</v>
      </c>
      <c r="E1895" s="3" t="s">
        <v>15</v>
      </c>
      <c r="F1895" s="37">
        <v>14255</v>
      </c>
      <c r="G1895" s="3" t="s">
        <v>102</v>
      </c>
      <c r="H1895" s="3" t="s">
        <v>103</v>
      </c>
      <c r="I1895" s="37">
        <f>INDEX('Currency Master'!B:B,MATCH(A1895,'Currency Master'!A:A,0))/INDEX('Currency Master'!C:C,MATCH(A1895,'Currency Master'!A:A,0))</f>
        <v>10.125472095577724</v>
      </c>
      <c r="J1895" s="37">
        <f t="shared" si="107"/>
        <v>51329.69</v>
      </c>
      <c r="K1895" s="3" t="s">
        <v>16</v>
      </c>
      <c r="L1895" s="38">
        <v>9.7799999999999998E-2</v>
      </c>
      <c r="M1895" s="3"/>
      <c r="N1895" s="3">
        <v>2016</v>
      </c>
      <c r="O1895" s="3" t="s">
        <v>93</v>
      </c>
      <c r="P1895" s="3" t="s">
        <v>104</v>
      </c>
      <c r="Q1895" s="3"/>
    </row>
    <row r="1896" spans="1:17" hidden="1" x14ac:dyDescent="0.3">
      <c r="A1896" s="2">
        <v>42491</v>
      </c>
      <c r="B1896" s="3" t="s">
        <v>12</v>
      </c>
      <c r="C1896" s="3" t="s">
        <v>100</v>
      </c>
      <c r="D1896" s="3" t="s">
        <v>101</v>
      </c>
      <c r="E1896" s="3" t="s">
        <v>15</v>
      </c>
      <c r="F1896" s="37">
        <v>12985</v>
      </c>
      <c r="G1896" s="3" t="s">
        <v>102</v>
      </c>
      <c r="H1896" s="3" t="s">
        <v>103</v>
      </c>
      <c r="I1896" s="37">
        <f>INDEX('Currency Master'!B:B,MATCH(A1896,'Currency Master'!A:A,0))/INDEX('Currency Master'!C:C,MATCH(A1896,'Currency Master'!A:A,0))</f>
        <v>10.172146265843947</v>
      </c>
      <c r="J1896" s="37">
        <f t="shared" si="107"/>
        <v>46972.18</v>
      </c>
      <c r="K1896" s="3" t="s">
        <v>16</v>
      </c>
      <c r="L1896" s="38">
        <v>7.3599999999999999E-2</v>
      </c>
      <c r="M1896" s="3"/>
      <c r="N1896" s="3">
        <v>2016</v>
      </c>
      <c r="O1896" s="3" t="s">
        <v>94</v>
      </c>
      <c r="P1896" s="3" t="s">
        <v>104</v>
      </c>
      <c r="Q1896" s="3"/>
    </row>
    <row r="1897" spans="1:17" hidden="1" x14ac:dyDescent="0.3">
      <c r="A1897" s="2">
        <v>42461</v>
      </c>
      <c r="B1897" s="3" t="s">
        <v>12</v>
      </c>
      <c r="C1897" s="3" t="s">
        <v>100</v>
      </c>
      <c r="D1897" s="3" t="s">
        <v>101</v>
      </c>
      <c r="E1897" s="3" t="s">
        <v>15</v>
      </c>
      <c r="F1897" s="37">
        <v>12095</v>
      </c>
      <c r="G1897" s="3" t="s">
        <v>102</v>
      </c>
      <c r="H1897" s="3" t="s">
        <v>103</v>
      </c>
      <c r="I1897" s="37">
        <f>INDEX('Currency Master'!B:B,MATCH(A1897,'Currency Master'!A:A,0))/INDEX('Currency Master'!C:C,MATCH(A1897,'Currency Master'!A:A,0))</f>
        <v>10.269054805523803</v>
      </c>
      <c r="J1897" s="37">
        <f t="shared" si="107"/>
        <v>44169.5</v>
      </c>
      <c r="K1897" s="3" t="s">
        <v>16</v>
      </c>
      <c r="L1897" s="38">
        <v>0.1081</v>
      </c>
      <c r="M1897" s="3"/>
      <c r="N1897" s="3">
        <v>2016</v>
      </c>
      <c r="O1897" s="3" t="s">
        <v>95</v>
      </c>
      <c r="P1897" s="3" t="s">
        <v>104</v>
      </c>
      <c r="Q1897" s="3"/>
    </row>
    <row r="1898" spans="1:17" hidden="1" x14ac:dyDescent="0.3">
      <c r="A1898" s="2">
        <v>42430</v>
      </c>
      <c r="B1898" s="3" t="s">
        <v>12</v>
      </c>
      <c r="C1898" s="3" t="s">
        <v>100</v>
      </c>
      <c r="D1898" s="3" t="s">
        <v>101</v>
      </c>
      <c r="E1898" s="3" t="s">
        <v>15</v>
      </c>
      <c r="F1898" s="37">
        <v>10915</v>
      </c>
      <c r="G1898" s="3" t="s">
        <v>102</v>
      </c>
      <c r="H1898" s="3" t="s">
        <v>103</v>
      </c>
      <c r="I1898" s="37">
        <f>INDEX('Currency Master'!B:B,MATCH(A1898,'Currency Master'!A:A,0))/INDEX('Currency Master'!C:C,MATCH(A1898,'Currency Master'!A:A,0))</f>
        <v>10.382377791563275</v>
      </c>
      <c r="J1898" s="37">
        <f t="shared" si="107"/>
        <v>40300.160000000003</v>
      </c>
      <c r="K1898" s="3" t="s">
        <v>16</v>
      </c>
      <c r="L1898" s="38">
        <v>3.7000000000000002E-3</v>
      </c>
      <c r="M1898" s="3"/>
      <c r="N1898" s="3">
        <v>2016</v>
      </c>
      <c r="O1898" s="3" t="s">
        <v>96</v>
      </c>
      <c r="P1898" s="3" t="s">
        <v>104</v>
      </c>
      <c r="Q1898" s="3"/>
    </row>
    <row r="1899" spans="1:17" hidden="1" x14ac:dyDescent="0.3">
      <c r="A1899" s="2">
        <v>42401</v>
      </c>
      <c r="B1899" s="3" t="s">
        <v>12</v>
      </c>
      <c r="C1899" s="3" t="s">
        <v>100</v>
      </c>
      <c r="D1899" s="3" t="s">
        <v>101</v>
      </c>
      <c r="E1899" s="3" t="s">
        <v>15</v>
      </c>
      <c r="F1899" s="37">
        <v>10875</v>
      </c>
      <c r="G1899" s="3" t="s">
        <v>102</v>
      </c>
      <c r="H1899" s="3" t="s">
        <v>103</v>
      </c>
      <c r="I1899" s="37">
        <f>INDEX('Currency Master'!B:B,MATCH(A1899,'Currency Master'!A:A,0))/INDEX('Currency Master'!C:C,MATCH(A1899,'Currency Master'!A:A,0))</f>
        <v>10.417069210225105</v>
      </c>
      <c r="J1899" s="37">
        <f t="shared" si="107"/>
        <v>40286.629999999997</v>
      </c>
      <c r="K1899" s="3" t="s">
        <v>16</v>
      </c>
      <c r="L1899" s="38">
        <v>-6.1699999999999998E-2</v>
      </c>
      <c r="M1899" s="3"/>
      <c r="N1899" s="3">
        <v>2016</v>
      </c>
      <c r="O1899" s="3" t="s">
        <v>97</v>
      </c>
      <c r="P1899" s="3" t="s">
        <v>104</v>
      </c>
      <c r="Q1899" s="3"/>
    </row>
    <row r="1900" spans="1:17" hidden="1" x14ac:dyDescent="0.3">
      <c r="A1900" s="2">
        <v>42370</v>
      </c>
      <c r="B1900" s="3" t="s">
        <v>12</v>
      </c>
      <c r="C1900" s="3" t="s">
        <v>100</v>
      </c>
      <c r="D1900" s="3" t="s">
        <v>101</v>
      </c>
      <c r="E1900" s="3" t="s">
        <v>15</v>
      </c>
      <c r="F1900" s="37">
        <v>11590</v>
      </c>
      <c r="G1900" s="3" t="s">
        <v>102</v>
      </c>
      <c r="H1900" s="3" t="s">
        <v>103</v>
      </c>
      <c r="I1900" s="37">
        <f>INDEX('Currency Master'!B:B,MATCH(A1900,'Currency Master'!A:A,0))/INDEX('Currency Master'!C:C,MATCH(A1900,'Currency Master'!A:A,0))</f>
        <v>10.251799032729043</v>
      </c>
      <c r="J1900" s="37">
        <f t="shared" si="107"/>
        <v>42254.18</v>
      </c>
      <c r="K1900" s="3" t="s">
        <v>16</v>
      </c>
      <c r="L1900" s="38">
        <v>-2.6499999999999999E-2</v>
      </c>
      <c r="M1900" s="3"/>
      <c r="N1900" s="3">
        <v>2016</v>
      </c>
      <c r="O1900" s="3" t="s">
        <v>85</v>
      </c>
      <c r="P1900" s="3" t="s">
        <v>104</v>
      </c>
      <c r="Q1900" s="3"/>
    </row>
    <row r="1901" spans="1:17" hidden="1" x14ac:dyDescent="0.3">
      <c r="A1901" s="2">
        <v>42339</v>
      </c>
      <c r="B1901" s="3" t="s">
        <v>12</v>
      </c>
      <c r="C1901" s="3" t="s">
        <v>100</v>
      </c>
      <c r="D1901" s="3" t="s">
        <v>101</v>
      </c>
      <c r="E1901" s="3" t="s">
        <v>15</v>
      </c>
      <c r="F1901" s="37">
        <v>11905</v>
      </c>
      <c r="G1901" s="3" t="s">
        <v>102</v>
      </c>
      <c r="H1901" s="3" t="s">
        <v>103</v>
      </c>
      <c r="I1901" s="37">
        <f>INDEX('Currency Master'!B:B,MATCH(A1901,'Currency Master'!A:A,0))/INDEX('Currency Master'!C:C,MATCH(A1901,'Currency Master'!A:A,0))</f>
        <v>10.250523097302876</v>
      </c>
      <c r="J1901" s="37">
        <f t="shared" si="107"/>
        <v>43397.19</v>
      </c>
      <c r="K1901" s="3" t="s">
        <v>16</v>
      </c>
      <c r="L1901" s="38">
        <v>-2.3400000000000001E-2</v>
      </c>
      <c r="M1901" s="3"/>
      <c r="N1901" s="3">
        <v>2015</v>
      </c>
      <c r="O1901" s="3" t="s">
        <v>87</v>
      </c>
      <c r="P1901" s="3" t="s">
        <v>104</v>
      </c>
      <c r="Q1901" s="3"/>
    </row>
    <row r="1902" spans="1:17" hidden="1" x14ac:dyDescent="0.3">
      <c r="A1902" s="2">
        <v>42309</v>
      </c>
      <c r="B1902" s="3" t="s">
        <v>12</v>
      </c>
      <c r="C1902" s="3" t="s">
        <v>100</v>
      </c>
      <c r="D1902" s="3" t="s">
        <v>101</v>
      </c>
      <c r="E1902" s="3" t="s">
        <v>15</v>
      </c>
      <c r="F1902" s="37">
        <v>12190</v>
      </c>
      <c r="G1902" s="3" t="s">
        <v>102</v>
      </c>
      <c r="H1902" s="3" t="s">
        <v>103</v>
      </c>
      <c r="I1902" s="37">
        <f>INDEX('Currency Master'!B:B,MATCH(A1902,'Currency Master'!A:A,0))/INDEX('Currency Master'!C:C,MATCH(A1902,'Currency Master'!A:A,0))</f>
        <v>10.342736749972646</v>
      </c>
      <c r="J1902" s="37">
        <f t="shared" si="107"/>
        <v>44835.839999999997</v>
      </c>
      <c r="K1902" s="3" t="s">
        <v>16</v>
      </c>
      <c r="L1902" s="38">
        <v>1.1999999999999999E-3</v>
      </c>
      <c r="M1902" s="3"/>
      <c r="N1902" s="3">
        <v>2015</v>
      </c>
      <c r="O1902" s="3" t="s">
        <v>88</v>
      </c>
      <c r="P1902" s="3" t="s">
        <v>104</v>
      </c>
      <c r="Q1902" s="3"/>
    </row>
    <row r="1903" spans="1:17" hidden="1" x14ac:dyDescent="0.3">
      <c r="A1903" s="2">
        <v>42278</v>
      </c>
      <c r="B1903" s="3" t="s">
        <v>12</v>
      </c>
      <c r="C1903" s="3" t="s">
        <v>100</v>
      </c>
      <c r="D1903" s="3" t="s">
        <v>101</v>
      </c>
      <c r="E1903" s="3" t="s">
        <v>15</v>
      </c>
      <c r="F1903" s="37">
        <v>12175</v>
      </c>
      <c r="G1903" s="3" t="s">
        <v>102</v>
      </c>
      <c r="H1903" s="3" t="s">
        <v>103</v>
      </c>
      <c r="I1903" s="37">
        <f>INDEX('Currency Master'!B:B,MATCH(A1903,'Currency Master'!A:A,0))/INDEX('Currency Master'!C:C,MATCH(A1903,'Currency Master'!A:A,0))</f>
        <v>10.300020892687559</v>
      </c>
      <c r="J1903" s="37">
        <f t="shared" si="107"/>
        <v>44595.73</v>
      </c>
      <c r="K1903" s="3" t="s">
        <v>16</v>
      </c>
      <c r="L1903" s="38">
        <v>-2.2100000000000002E-2</v>
      </c>
      <c r="M1903" s="3"/>
      <c r="N1903" s="3">
        <v>2015</v>
      </c>
      <c r="O1903" s="3" t="s">
        <v>89</v>
      </c>
      <c r="P1903" s="3" t="s">
        <v>104</v>
      </c>
      <c r="Q1903" s="3"/>
    </row>
    <row r="1904" spans="1:17" hidden="1" x14ac:dyDescent="0.3">
      <c r="A1904" s="2">
        <v>42248</v>
      </c>
      <c r="B1904" s="3" t="s">
        <v>12</v>
      </c>
      <c r="C1904" s="3" t="s">
        <v>100</v>
      </c>
      <c r="D1904" s="3" t="s">
        <v>101</v>
      </c>
      <c r="E1904" s="3" t="s">
        <v>15</v>
      </c>
      <c r="F1904" s="37">
        <v>12450</v>
      </c>
      <c r="G1904" s="3" t="s">
        <v>102</v>
      </c>
      <c r="H1904" s="3" t="s">
        <v>103</v>
      </c>
      <c r="I1904" s="37">
        <f>INDEX('Currency Master'!B:B,MATCH(A1904,'Currency Master'!A:A,0))/INDEX('Currency Master'!C:C,MATCH(A1904,'Currency Master'!A:A,0))</f>
        <v>10.418166026811001</v>
      </c>
      <c r="J1904" s="37">
        <f t="shared" si="107"/>
        <v>46126.11</v>
      </c>
      <c r="K1904" s="3" t="s">
        <v>16</v>
      </c>
      <c r="L1904" s="38">
        <v>3.32E-2</v>
      </c>
      <c r="M1904" s="3"/>
      <c r="N1904" s="3">
        <v>2015</v>
      </c>
      <c r="O1904" s="3" t="s">
        <v>90</v>
      </c>
      <c r="P1904" s="3" t="s">
        <v>104</v>
      </c>
      <c r="Q1904" s="3"/>
    </row>
    <row r="1905" spans="1:17" hidden="1" x14ac:dyDescent="0.3">
      <c r="A1905" s="2">
        <v>42217</v>
      </c>
      <c r="B1905" s="3" t="s">
        <v>12</v>
      </c>
      <c r="C1905" s="3" t="s">
        <v>100</v>
      </c>
      <c r="D1905" s="3" t="s">
        <v>101</v>
      </c>
      <c r="E1905" s="3" t="s">
        <v>15</v>
      </c>
      <c r="F1905" s="37">
        <v>12050</v>
      </c>
      <c r="G1905" s="3" t="s">
        <v>102</v>
      </c>
      <c r="H1905" s="3" t="s">
        <v>103</v>
      </c>
      <c r="I1905" s="37">
        <f>INDEX('Currency Master'!B:B,MATCH(A1905,'Currency Master'!A:A,0))/INDEX('Currency Master'!C:C,MATCH(A1905,'Currency Master'!A:A,0))</f>
        <v>10.210854454203263</v>
      </c>
      <c r="J1905" s="37">
        <f t="shared" si="107"/>
        <v>43755.77</v>
      </c>
      <c r="K1905" s="3" t="s">
        <v>16</v>
      </c>
      <c r="L1905" s="38">
        <v>-3.95E-2</v>
      </c>
      <c r="M1905" s="3"/>
      <c r="N1905" s="3">
        <v>2015</v>
      </c>
      <c r="O1905" s="3" t="s">
        <v>91</v>
      </c>
      <c r="P1905" s="3" t="s">
        <v>104</v>
      </c>
      <c r="Q1905" s="3"/>
    </row>
    <row r="1906" spans="1:17" hidden="1" x14ac:dyDescent="0.3">
      <c r="A1906" s="2">
        <v>42186</v>
      </c>
      <c r="B1906" s="3" t="s">
        <v>12</v>
      </c>
      <c r="C1906" s="3" t="s">
        <v>100</v>
      </c>
      <c r="D1906" s="3" t="s">
        <v>101</v>
      </c>
      <c r="E1906" s="3" t="s">
        <v>15</v>
      </c>
      <c r="F1906" s="37">
        <v>12545</v>
      </c>
      <c r="G1906" s="3" t="s">
        <v>102</v>
      </c>
      <c r="H1906" s="3" t="s">
        <v>103</v>
      </c>
      <c r="I1906" s="37">
        <f>INDEX('Currency Master'!B:B,MATCH(A1906,'Currency Master'!A:A,0))/INDEX('Currency Master'!C:C,MATCH(A1906,'Currency Master'!A:A,0))</f>
        <v>10.251293782308325</v>
      </c>
      <c r="J1906" s="37">
        <f t="shared" si="107"/>
        <v>45733.61</v>
      </c>
      <c r="K1906" s="3" t="s">
        <v>16</v>
      </c>
      <c r="L1906" s="38">
        <v>8.3999999999999995E-3</v>
      </c>
      <c r="M1906" s="3"/>
      <c r="N1906" s="3">
        <v>2015</v>
      </c>
      <c r="O1906" s="3" t="s">
        <v>92</v>
      </c>
      <c r="P1906" s="3" t="s">
        <v>104</v>
      </c>
      <c r="Q1906" s="3"/>
    </row>
    <row r="1907" spans="1:17" hidden="1" x14ac:dyDescent="0.3">
      <c r="A1907" s="2">
        <v>42156</v>
      </c>
      <c r="B1907" s="3" t="s">
        <v>12</v>
      </c>
      <c r="C1907" s="3" t="s">
        <v>100</v>
      </c>
      <c r="D1907" s="3" t="s">
        <v>101</v>
      </c>
      <c r="E1907" s="3" t="s">
        <v>15</v>
      </c>
      <c r="F1907" s="37">
        <v>12440</v>
      </c>
      <c r="G1907" s="3" t="s">
        <v>102</v>
      </c>
      <c r="H1907" s="3" t="s">
        <v>103</v>
      </c>
      <c r="I1907" s="37">
        <f>INDEX('Currency Master'!B:B,MATCH(A1907,'Currency Master'!A:A,0))/INDEX('Currency Master'!C:C,MATCH(A1907,'Currency Master'!A:A,0))</f>
        <v>10.297066935483871</v>
      </c>
      <c r="J1907" s="37">
        <f t="shared" si="107"/>
        <v>45553.33</v>
      </c>
      <c r="K1907" s="3" t="s">
        <v>16</v>
      </c>
      <c r="L1907" s="38">
        <v>-3.3000000000000002E-2</v>
      </c>
      <c r="M1907" s="3"/>
      <c r="N1907" s="3">
        <v>2015</v>
      </c>
      <c r="O1907" s="3" t="s">
        <v>93</v>
      </c>
      <c r="P1907" s="3" t="s">
        <v>104</v>
      </c>
      <c r="Q1907" s="3"/>
    </row>
    <row r="1908" spans="1:17" hidden="1" x14ac:dyDescent="0.3">
      <c r="A1908" s="2">
        <v>42125</v>
      </c>
      <c r="B1908" s="3" t="s">
        <v>12</v>
      </c>
      <c r="C1908" s="3" t="s">
        <v>100</v>
      </c>
      <c r="D1908" s="3" t="s">
        <v>101</v>
      </c>
      <c r="E1908" s="3" t="s">
        <v>15</v>
      </c>
      <c r="F1908" s="37">
        <v>12865</v>
      </c>
      <c r="G1908" s="3" t="s">
        <v>102</v>
      </c>
      <c r="H1908" s="3" t="s">
        <v>103</v>
      </c>
      <c r="I1908" s="37">
        <f>INDEX('Currency Master'!B:B,MATCH(A1908,'Currency Master'!A:A,0))/INDEX('Currency Master'!C:C,MATCH(A1908,'Currency Master'!A:A,0))</f>
        <v>10.29094707970313</v>
      </c>
      <c r="J1908" s="37">
        <f t="shared" si="107"/>
        <v>47081.61</v>
      </c>
      <c r="K1908" s="3" t="s">
        <v>16</v>
      </c>
      <c r="L1908" s="38">
        <v>-9.5999999999999992E-3</v>
      </c>
      <c r="M1908" s="3"/>
      <c r="N1908" s="3">
        <v>2015</v>
      </c>
      <c r="O1908" s="3" t="s">
        <v>94</v>
      </c>
      <c r="P1908" s="3" t="s">
        <v>104</v>
      </c>
      <c r="Q1908" s="3"/>
    </row>
    <row r="1909" spans="1:17" hidden="1" x14ac:dyDescent="0.3">
      <c r="A1909" s="2">
        <v>42095</v>
      </c>
      <c r="B1909" s="3" t="s">
        <v>12</v>
      </c>
      <c r="C1909" s="3" t="s">
        <v>100</v>
      </c>
      <c r="D1909" s="3" t="s">
        <v>101</v>
      </c>
      <c r="E1909" s="3" t="s">
        <v>15</v>
      </c>
      <c r="F1909" s="37">
        <v>12990</v>
      </c>
      <c r="G1909" s="3" t="s">
        <v>102</v>
      </c>
      <c r="H1909" s="3" t="s">
        <v>103</v>
      </c>
      <c r="I1909" s="37">
        <f>INDEX('Currency Master'!B:B,MATCH(A1909,'Currency Master'!A:A,0))/INDEX('Currency Master'!C:C,MATCH(A1909,'Currency Master'!A:A,0))</f>
        <v>10.117883195201392</v>
      </c>
      <c r="J1909" s="37">
        <f t="shared" si="107"/>
        <v>46739.6</v>
      </c>
      <c r="K1909" s="3" t="s">
        <v>16</v>
      </c>
      <c r="L1909" s="38">
        <v>9.7000000000000003E-3</v>
      </c>
      <c r="M1909" s="3"/>
      <c r="N1909" s="3">
        <v>2015</v>
      </c>
      <c r="O1909" s="3" t="s">
        <v>95</v>
      </c>
      <c r="P1909" s="3" t="s">
        <v>104</v>
      </c>
      <c r="Q1909" s="3"/>
    </row>
    <row r="1910" spans="1:17" hidden="1" x14ac:dyDescent="0.3">
      <c r="A1910" s="2">
        <v>42064</v>
      </c>
      <c r="B1910" s="3" t="s">
        <v>12</v>
      </c>
      <c r="C1910" s="3" t="s">
        <v>100</v>
      </c>
      <c r="D1910" s="3" t="s">
        <v>101</v>
      </c>
      <c r="E1910" s="3" t="s">
        <v>15</v>
      </c>
      <c r="F1910" s="37">
        <v>12865</v>
      </c>
      <c r="G1910" s="3" t="s">
        <v>102</v>
      </c>
      <c r="H1910" s="3" t="s">
        <v>103</v>
      </c>
      <c r="I1910" s="37">
        <f>INDEX('Currency Master'!B:B,MATCH(A1910,'Currency Master'!A:A,0))/INDEX('Currency Master'!C:C,MATCH(A1910,'Currency Master'!A:A,0))</f>
        <v>10.08343636070334</v>
      </c>
      <c r="J1910" s="37">
        <f t="shared" ref="J1910:J1973" si="108">ROUND(F1910*I1910/(1000/355.62),2)</f>
        <v>46132.24</v>
      </c>
      <c r="K1910" s="3" t="s">
        <v>16</v>
      </c>
      <c r="L1910" s="38">
        <v>-2.5399999999999999E-2</v>
      </c>
      <c r="M1910" s="3"/>
      <c r="N1910" s="3">
        <v>2015</v>
      </c>
      <c r="O1910" s="3" t="s">
        <v>96</v>
      </c>
      <c r="P1910" s="3" t="s">
        <v>104</v>
      </c>
      <c r="Q1910" s="3"/>
    </row>
    <row r="1911" spans="1:17" hidden="1" x14ac:dyDescent="0.3">
      <c r="A1911" s="2">
        <v>42036</v>
      </c>
      <c r="B1911" s="3" t="s">
        <v>12</v>
      </c>
      <c r="C1911" s="3" t="s">
        <v>100</v>
      </c>
      <c r="D1911" s="3" t="s">
        <v>101</v>
      </c>
      <c r="E1911" s="3" t="s">
        <v>15</v>
      </c>
      <c r="F1911" s="37">
        <v>13200</v>
      </c>
      <c r="G1911" s="3" t="s">
        <v>102</v>
      </c>
      <c r="H1911" s="3" t="s">
        <v>103</v>
      </c>
      <c r="I1911" s="37">
        <f>INDEX('Currency Master'!B:B,MATCH(A1911,'Currency Master'!A:A,0))/INDEX('Currency Master'!C:C,MATCH(A1911,'Currency Master'!A:A,0))</f>
        <v>9.8987164845681477</v>
      </c>
      <c r="J1911" s="37">
        <f t="shared" si="108"/>
        <v>46466.400000000001</v>
      </c>
      <c r="K1911" s="3" t="s">
        <v>16</v>
      </c>
      <c r="L1911" s="38">
        <v>1.89E-2</v>
      </c>
      <c r="M1911" s="3"/>
      <c r="N1911" s="3">
        <v>2015</v>
      </c>
      <c r="O1911" s="3" t="s">
        <v>97</v>
      </c>
      <c r="P1911" s="3" t="s">
        <v>104</v>
      </c>
      <c r="Q1911" s="3"/>
    </row>
    <row r="1912" spans="1:17" hidden="1" x14ac:dyDescent="0.3">
      <c r="A1912" s="2">
        <v>42005</v>
      </c>
      <c r="B1912" s="3" t="s">
        <v>12</v>
      </c>
      <c r="C1912" s="3" t="s">
        <v>100</v>
      </c>
      <c r="D1912" s="3" t="s">
        <v>101</v>
      </c>
      <c r="E1912" s="3" t="s">
        <v>15</v>
      </c>
      <c r="F1912" s="37">
        <v>12955</v>
      </c>
      <c r="G1912" s="3" t="s">
        <v>102</v>
      </c>
      <c r="H1912" s="3" t="s">
        <v>103</v>
      </c>
      <c r="I1912" s="37">
        <f>INDEX('Currency Master'!B:B,MATCH(A1912,'Currency Master'!A:A,0))/INDEX('Currency Master'!C:C,MATCH(A1912,'Currency Master'!A:A,0))</f>
        <v>9.9412729018321464</v>
      </c>
      <c r="J1912" s="37">
        <f t="shared" si="108"/>
        <v>45800.01</v>
      </c>
      <c r="K1912" s="3" t="s">
        <v>16</v>
      </c>
      <c r="L1912" s="38">
        <v>-1.7399999999999999E-2</v>
      </c>
      <c r="M1912" s="3"/>
      <c r="N1912" s="3">
        <v>2015</v>
      </c>
      <c r="O1912" s="3" t="s">
        <v>85</v>
      </c>
      <c r="P1912" s="3" t="s">
        <v>104</v>
      </c>
      <c r="Q1912" s="3"/>
    </row>
    <row r="1913" spans="1:17" hidden="1" x14ac:dyDescent="0.3">
      <c r="A1913" s="2">
        <v>41974</v>
      </c>
      <c r="B1913" s="3" t="s">
        <v>12</v>
      </c>
      <c r="C1913" s="3" t="s">
        <v>100</v>
      </c>
      <c r="D1913" s="3" t="s">
        <v>101</v>
      </c>
      <c r="E1913" s="3" t="s">
        <v>15</v>
      </c>
      <c r="F1913" s="37">
        <v>13185</v>
      </c>
      <c r="G1913" s="3" t="s">
        <v>102</v>
      </c>
      <c r="H1913" s="3" t="s">
        <v>103</v>
      </c>
      <c r="I1913" s="37">
        <f>INDEX('Currency Master'!B:B,MATCH(A1913,'Currency Master'!A:A,0))/INDEX('Currency Master'!C:C,MATCH(A1913,'Currency Master'!A:A,0))</f>
        <v>10.113589433646004</v>
      </c>
      <c r="J1913" s="37">
        <f t="shared" si="108"/>
        <v>47421.1</v>
      </c>
      <c r="K1913" s="3" t="s">
        <v>16</v>
      </c>
      <c r="L1913" s="38">
        <v>3.8E-3</v>
      </c>
      <c r="M1913" s="3"/>
      <c r="N1913" s="3">
        <v>2014</v>
      </c>
      <c r="O1913" s="3" t="s">
        <v>87</v>
      </c>
      <c r="P1913" s="3" t="s">
        <v>104</v>
      </c>
      <c r="Q1913" s="3"/>
    </row>
    <row r="1914" spans="1:17" hidden="1" x14ac:dyDescent="0.3">
      <c r="A1914" s="2">
        <v>41944</v>
      </c>
      <c r="B1914" s="3" t="s">
        <v>12</v>
      </c>
      <c r="C1914" s="3" t="s">
        <v>100</v>
      </c>
      <c r="D1914" s="3" t="s">
        <v>101</v>
      </c>
      <c r="E1914" s="3" t="s">
        <v>15</v>
      </c>
      <c r="F1914" s="37">
        <v>13135</v>
      </c>
      <c r="G1914" s="3" t="s">
        <v>102</v>
      </c>
      <c r="H1914" s="3" t="s">
        <v>103</v>
      </c>
      <c r="I1914" s="37">
        <f>INDEX('Currency Master'!B:B,MATCH(A1914,'Currency Master'!A:A,0))/INDEX('Currency Master'!C:C,MATCH(A1914,'Currency Master'!A:A,0))</f>
        <v>10.044521642872258</v>
      </c>
      <c r="J1914" s="37">
        <f t="shared" si="108"/>
        <v>46918.65</v>
      </c>
      <c r="K1914" s="3" t="s">
        <v>16</v>
      </c>
      <c r="L1914" s="38">
        <v>-9.4799999999999995E-2</v>
      </c>
      <c r="M1914" s="3"/>
      <c r="N1914" s="3">
        <v>2014</v>
      </c>
      <c r="O1914" s="3" t="s">
        <v>88</v>
      </c>
      <c r="P1914" s="3" t="s">
        <v>104</v>
      </c>
      <c r="Q1914" s="3"/>
    </row>
    <row r="1915" spans="1:17" hidden="1" x14ac:dyDescent="0.3">
      <c r="A1915" s="2">
        <v>41913</v>
      </c>
      <c r="B1915" s="3" t="s">
        <v>12</v>
      </c>
      <c r="C1915" s="3" t="s">
        <v>100</v>
      </c>
      <c r="D1915" s="3" t="s">
        <v>101</v>
      </c>
      <c r="E1915" s="3" t="s">
        <v>15</v>
      </c>
      <c r="F1915" s="37">
        <v>14510</v>
      </c>
      <c r="G1915" s="3" t="s">
        <v>102</v>
      </c>
      <c r="H1915" s="3" t="s">
        <v>103</v>
      </c>
      <c r="I1915" s="37">
        <f>INDEX('Currency Master'!B:B,MATCH(A1915,'Currency Master'!A:A,0))/INDEX('Currency Master'!C:C,MATCH(A1915,'Currency Master'!A:A,0))</f>
        <v>10.042506871278057</v>
      </c>
      <c r="J1915" s="37">
        <f t="shared" si="108"/>
        <v>51819.8</v>
      </c>
      <c r="K1915" s="3" t="s">
        <v>16</v>
      </c>
      <c r="L1915" s="38">
        <v>1.47E-2</v>
      </c>
      <c r="M1915" s="3"/>
      <c r="N1915" s="3">
        <v>2014</v>
      </c>
      <c r="O1915" s="3" t="s">
        <v>89</v>
      </c>
      <c r="P1915" s="3" t="s">
        <v>104</v>
      </c>
      <c r="Q1915" s="3"/>
    </row>
    <row r="1916" spans="1:17" hidden="1" x14ac:dyDescent="0.3">
      <c r="A1916" s="2">
        <v>41883</v>
      </c>
      <c r="B1916" s="3" t="s">
        <v>12</v>
      </c>
      <c r="C1916" s="3" t="s">
        <v>100</v>
      </c>
      <c r="D1916" s="3" t="s">
        <v>101</v>
      </c>
      <c r="E1916" s="3" t="s">
        <v>15</v>
      </c>
      <c r="F1916" s="37">
        <v>14300</v>
      </c>
      <c r="G1916" s="3" t="s">
        <v>102</v>
      </c>
      <c r="H1916" s="3" t="s">
        <v>103</v>
      </c>
      <c r="I1916" s="37">
        <f>INDEX('Currency Master'!B:B,MATCH(A1916,'Currency Master'!A:A,0))/INDEX('Currency Master'!C:C,MATCH(A1916,'Currency Master'!A:A,0))</f>
        <v>9.9221445096122523</v>
      </c>
      <c r="J1916" s="37">
        <f t="shared" si="108"/>
        <v>50457.74</v>
      </c>
      <c r="K1916" s="3" t="s">
        <v>16</v>
      </c>
      <c r="L1916" s="38">
        <v>-0.17530000000000001</v>
      </c>
      <c r="M1916" s="3"/>
      <c r="N1916" s="3">
        <v>2014</v>
      </c>
      <c r="O1916" s="3" t="s">
        <v>90</v>
      </c>
      <c r="P1916" s="3" t="s">
        <v>104</v>
      </c>
      <c r="Q1916" s="3"/>
    </row>
    <row r="1917" spans="1:17" hidden="1" x14ac:dyDescent="0.3">
      <c r="A1917" s="2">
        <v>41852</v>
      </c>
      <c r="B1917" s="3" t="s">
        <v>12</v>
      </c>
      <c r="C1917" s="3" t="s">
        <v>100</v>
      </c>
      <c r="D1917" s="3" t="s">
        <v>101</v>
      </c>
      <c r="E1917" s="3" t="s">
        <v>15</v>
      </c>
      <c r="F1917" s="37">
        <v>17340</v>
      </c>
      <c r="G1917" s="3" t="s">
        <v>102</v>
      </c>
      <c r="H1917" s="3" t="s">
        <v>103</v>
      </c>
      <c r="I1917" s="37">
        <f>INDEX('Currency Master'!B:B,MATCH(A1917,'Currency Master'!A:A,0))/INDEX('Currency Master'!C:C,MATCH(A1917,'Currency Master'!A:A,0))</f>
        <v>9.9105541266482167</v>
      </c>
      <c r="J1917" s="37">
        <f t="shared" si="108"/>
        <v>61112.94</v>
      </c>
      <c r="K1917" s="3" t="s">
        <v>16</v>
      </c>
      <c r="L1917" s="38">
        <v>1.23E-2</v>
      </c>
      <c r="M1917" s="3"/>
      <c r="N1917" s="3">
        <v>2014</v>
      </c>
      <c r="O1917" s="3" t="s">
        <v>91</v>
      </c>
      <c r="P1917" s="3" t="s">
        <v>104</v>
      </c>
      <c r="Q1917" s="3"/>
    </row>
    <row r="1918" spans="1:17" hidden="1" x14ac:dyDescent="0.3">
      <c r="A1918" s="2">
        <v>41821</v>
      </c>
      <c r="B1918" s="3" t="s">
        <v>12</v>
      </c>
      <c r="C1918" s="3" t="s">
        <v>100</v>
      </c>
      <c r="D1918" s="3" t="s">
        <v>101</v>
      </c>
      <c r="E1918" s="3" t="s">
        <v>15</v>
      </c>
      <c r="F1918" s="37">
        <v>17130</v>
      </c>
      <c r="G1918" s="3" t="s">
        <v>102</v>
      </c>
      <c r="H1918" s="3" t="s">
        <v>103</v>
      </c>
      <c r="I1918" s="37">
        <f>INDEX('Currency Master'!B:B,MATCH(A1918,'Currency Master'!A:A,0))/INDEX('Currency Master'!C:C,MATCH(A1918,'Currency Master'!A:A,0))</f>
        <v>9.7272491374702366</v>
      </c>
      <c r="J1918" s="37">
        <f t="shared" si="108"/>
        <v>59256.17</v>
      </c>
      <c r="K1918" s="3" t="s">
        <v>16</v>
      </c>
      <c r="L1918" s="38">
        <v>3.0099999999999998E-2</v>
      </c>
      <c r="M1918" s="3"/>
      <c r="N1918" s="3">
        <v>2014</v>
      </c>
      <c r="O1918" s="3" t="s">
        <v>92</v>
      </c>
      <c r="P1918" s="3" t="s">
        <v>104</v>
      </c>
      <c r="Q1918" s="3"/>
    </row>
    <row r="1919" spans="1:17" hidden="1" x14ac:dyDescent="0.3">
      <c r="A1919" s="2">
        <v>41791</v>
      </c>
      <c r="B1919" s="3" t="s">
        <v>12</v>
      </c>
      <c r="C1919" s="3" t="s">
        <v>100</v>
      </c>
      <c r="D1919" s="3" t="s">
        <v>101</v>
      </c>
      <c r="E1919" s="3" t="s">
        <v>15</v>
      </c>
      <c r="F1919" s="37">
        <v>16630</v>
      </c>
      <c r="G1919" s="3" t="s">
        <v>102</v>
      </c>
      <c r="H1919" s="3" t="s">
        <v>103</v>
      </c>
      <c r="I1919" s="37">
        <f>INDEX('Currency Master'!B:B,MATCH(A1919,'Currency Master'!A:A,0))/INDEX('Currency Master'!C:C,MATCH(A1919,'Currency Master'!A:A,0))</f>
        <v>9.6303140112192924</v>
      </c>
      <c r="J1919" s="37">
        <f t="shared" si="108"/>
        <v>56953.3</v>
      </c>
      <c r="K1919" s="3" t="s">
        <v>16</v>
      </c>
      <c r="L1919" s="38">
        <v>-2.35E-2</v>
      </c>
      <c r="M1919" s="3"/>
      <c r="N1919" s="3">
        <v>2014</v>
      </c>
      <c r="O1919" s="3" t="s">
        <v>93</v>
      </c>
      <c r="P1919" s="3" t="s">
        <v>104</v>
      </c>
      <c r="Q1919" s="3"/>
    </row>
    <row r="1920" spans="1:17" hidden="1" x14ac:dyDescent="0.3">
      <c r="A1920" s="2">
        <v>41760</v>
      </c>
      <c r="B1920" s="3" t="s">
        <v>12</v>
      </c>
      <c r="C1920" s="3" t="s">
        <v>100</v>
      </c>
      <c r="D1920" s="3" t="s">
        <v>101</v>
      </c>
      <c r="E1920" s="3" t="s">
        <v>15</v>
      </c>
      <c r="F1920" s="37">
        <v>17030</v>
      </c>
      <c r="G1920" s="3" t="s">
        <v>102</v>
      </c>
      <c r="H1920" s="3" t="s">
        <v>103</v>
      </c>
      <c r="I1920" s="37">
        <f>INDEX('Currency Master'!B:B,MATCH(A1920,'Currency Master'!A:A,0))/INDEX('Currency Master'!C:C,MATCH(A1920,'Currency Master'!A:A,0))</f>
        <v>9.4917750636295235</v>
      </c>
      <c r="J1920" s="37">
        <f t="shared" si="108"/>
        <v>57484.17</v>
      </c>
      <c r="K1920" s="3" t="s">
        <v>16</v>
      </c>
      <c r="L1920" s="38">
        <v>-2.9999999999999997E-4</v>
      </c>
      <c r="M1920" s="3"/>
      <c r="N1920" s="3">
        <v>2014</v>
      </c>
      <c r="O1920" s="3" t="s">
        <v>94</v>
      </c>
      <c r="P1920" s="3" t="s">
        <v>104</v>
      </c>
      <c r="Q1920" s="3"/>
    </row>
    <row r="1921" spans="1:17" hidden="1" x14ac:dyDescent="0.3">
      <c r="A1921" s="2">
        <v>41730</v>
      </c>
      <c r="B1921" s="3" t="s">
        <v>12</v>
      </c>
      <c r="C1921" s="3" t="s">
        <v>100</v>
      </c>
      <c r="D1921" s="3" t="s">
        <v>101</v>
      </c>
      <c r="E1921" s="3" t="s">
        <v>15</v>
      </c>
      <c r="F1921" s="37">
        <v>17035</v>
      </c>
      <c r="G1921" s="3" t="s">
        <v>102</v>
      </c>
      <c r="H1921" s="3" t="s">
        <v>103</v>
      </c>
      <c r="I1921" s="37">
        <f>INDEX('Currency Master'!B:B,MATCH(A1921,'Currency Master'!A:A,0))/INDEX('Currency Master'!C:C,MATCH(A1921,'Currency Master'!A:A,0))</f>
        <v>9.6423645572047096</v>
      </c>
      <c r="J1921" s="37">
        <f t="shared" si="108"/>
        <v>58413.32</v>
      </c>
      <c r="K1921" s="3" t="s">
        <v>16</v>
      </c>
      <c r="L1921" s="38">
        <v>-7.2900000000000006E-2</v>
      </c>
      <c r="M1921" s="3"/>
      <c r="N1921" s="3">
        <v>2014</v>
      </c>
      <c r="O1921" s="3" t="s">
        <v>95</v>
      </c>
      <c r="P1921" s="3" t="s">
        <v>104</v>
      </c>
      <c r="Q1921" s="3"/>
    </row>
    <row r="1922" spans="1:17" hidden="1" x14ac:dyDescent="0.3">
      <c r="A1922" s="2">
        <v>41699</v>
      </c>
      <c r="B1922" s="3" t="s">
        <v>12</v>
      </c>
      <c r="C1922" s="3" t="s">
        <v>100</v>
      </c>
      <c r="D1922" s="3" t="s">
        <v>101</v>
      </c>
      <c r="E1922" s="3" t="s">
        <v>15</v>
      </c>
      <c r="F1922" s="37">
        <v>18375</v>
      </c>
      <c r="G1922" s="3" t="s">
        <v>102</v>
      </c>
      <c r="H1922" s="3" t="s">
        <v>103</v>
      </c>
      <c r="I1922" s="37">
        <f>INDEX('Currency Master'!B:B,MATCH(A1922,'Currency Master'!A:A,0))/INDEX('Currency Master'!C:C,MATCH(A1922,'Currency Master'!A:A,0))</f>
        <v>9.8105821697445457</v>
      </c>
      <c r="J1922" s="37">
        <f t="shared" si="108"/>
        <v>64107.42</v>
      </c>
      <c r="K1922" s="3" t="s">
        <v>16</v>
      </c>
      <c r="L1922" s="38">
        <v>-5.7700000000000001E-2</v>
      </c>
      <c r="M1922" s="3"/>
      <c r="N1922" s="3">
        <v>2014</v>
      </c>
      <c r="O1922" s="3" t="s">
        <v>96</v>
      </c>
      <c r="P1922" s="3" t="s">
        <v>104</v>
      </c>
      <c r="Q1922" s="3"/>
    </row>
    <row r="1923" spans="1:17" hidden="1" x14ac:dyDescent="0.3">
      <c r="A1923" s="2">
        <v>41671</v>
      </c>
      <c r="B1923" s="3" t="s">
        <v>12</v>
      </c>
      <c r="C1923" s="3" t="s">
        <v>100</v>
      </c>
      <c r="D1923" s="3" t="s">
        <v>101</v>
      </c>
      <c r="E1923" s="3" t="s">
        <v>15</v>
      </c>
      <c r="F1923" s="37">
        <v>19500</v>
      </c>
      <c r="G1923" s="3" t="s">
        <v>102</v>
      </c>
      <c r="H1923" s="3" t="s">
        <v>103</v>
      </c>
      <c r="I1923" s="37">
        <f>INDEX('Currency Master'!B:B,MATCH(A1923,'Currency Master'!A:A,0))/INDEX('Currency Master'!C:C,MATCH(A1923,'Currency Master'!A:A,0))</f>
        <v>10.121912185913292</v>
      </c>
      <c r="J1923" s="37">
        <f t="shared" si="108"/>
        <v>70191.31</v>
      </c>
      <c r="K1923" s="3" t="s">
        <v>16</v>
      </c>
      <c r="L1923" s="38">
        <v>-3.3E-3</v>
      </c>
      <c r="M1923" s="3"/>
      <c r="N1923" s="3">
        <v>2014</v>
      </c>
      <c r="O1923" s="3" t="s">
        <v>97</v>
      </c>
      <c r="P1923" s="3" t="s">
        <v>104</v>
      </c>
      <c r="Q1923" s="3"/>
    </row>
    <row r="1924" spans="1:17" hidden="1" x14ac:dyDescent="0.3">
      <c r="A1924" s="2">
        <v>41640</v>
      </c>
      <c r="B1924" s="3" t="s">
        <v>12</v>
      </c>
      <c r="C1924" s="3" t="s">
        <v>100</v>
      </c>
      <c r="D1924" s="3" t="s">
        <v>101</v>
      </c>
      <c r="E1924" s="3" t="s">
        <v>15</v>
      </c>
      <c r="F1924" s="37">
        <v>19565</v>
      </c>
      <c r="G1924" s="3" t="s">
        <v>102</v>
      </c>
      <c r="H1924" s="3" t="s">
        <v>103</v>
      </c>
      <c r="I1924" s="37">
        <f>INDEX('Currency Master'!B:B,MATCH(A1924,'Currency Master'!A:A,0))/INDEX('Currency Master'!C:C,MATCH(A1924,'Currency Master'!A:A,0))</f>
        <v>10.24634405940594</v>
      </c>
      <c r="J1924" s="37">
        <f t="shared" si="108"/>
        <v>71291.039999999994</v>
      </c>
      <c r="K1924" s="3" t="s">
        <v>16</v>
      </c>
      <c r="L1924" s="38">
        <v>3.85E-2</v>
      </c>
      <c r="M1924" s="3"/>
      <c r="N1924" s="3">
        <v>2014</v>
      </c>
      <c r="O1924" s="3" t="s">
        <v>85</v>
      </c>
      <c r="P1924" s="3" t="s">
        <v>104</v>
      </c>
      <c r="Q1924" s="3"/>
    </row>
    <row r="1925" spans="1:17" hidden="1" x14ac:dyDescent="0.3">
      <c r="A1925" s="2">
        <v>41609</v>
      </c>
      <c r="B1925" s="3" t="s">
        <v>12</v>
      </c>
      <c r="C1925" s="3" t="s">
        <v>100</v>
      </c>
      <c r="D1925" s="3" t="s">
        <v>101</v>
      </c>
      <c r="E1925" s="3" t="s">
        <v>15</v>
      </c>
      <c r="F1925" s="37">
        <v>18840</v>
      </c>
      <c r="G1925" s="3" t="s">
        <v>102</v>
      </c>
      <c r="H1925" s="3" t="s">
        <v>103</v>
      </c>
      <c r="I1925" s="37">
        <f>INDEX('Currency Master'!B:B,MATCH(A1925,'Currency Master'!A:A,0))/INDEX('Currency Master'!C:C,MATCH(A1925,'Currency Master'!A:A,0))</f>
        <v>10.217777227150338</v>
      </c>
      <c r="J1925" s="37">
        <f t="shared" si="108"/>
        <v>68457.89</v>
      </c>
      <c r="K1925" s="3" t="s">
        <v>16</v>
      </c>
      <c r="L1925" s="38">
        <v>-4.4900000000000002E-2</v>
      </c>
      <c r="M1925" s="3"/>
      <c r="N1925" s="3">
        <v>2013</v>
      </c>
      <c r="O1925" s="3" t="s">
        <v>87</v>
      </c>
      <c r="P1925" s="3" t="s">
        <v>104</v>
      </c>
      <c r="Q1925" s="3"/>
    </row>
    <row r="1926" spans="1:17" hidden="1" x14ac:dyDescent="0.3">
      <c r="A1926" s="2">
        <v>41579</v>
      </c>
      <c r="B1926" s="3" t="s">
        <v>12</v>
      </c>
      <c r="C1926" s="3" t="s">
        <v>100</v>
      </c>
      <c r="D1926" s="3" t="s">
        <v>101</v>
      </c>
      <c r="E1926" s="3" t="s">
        <v>15</v>
      </c>
      <c r="F1926" s="37">
        <v>19725</v>
      </c>
      <c r="G1926" s="3" t="s">
        <v>102</v>
      </c>
      <c r="H1926" s="3" t="s">
        <v>103</v>
      </c>
      <c r="I1926" s="37">
        <f>INDEX('Currency Master'!B:B,MATCH(A1926,'Currency Master'!A:A,0))/INDEX('Currency Master'!C:C,MATCH(A1926,'Currency Master'!A:A,0))</f>
        <v>10.279724237549654</v>
      </c>
      <c r="J1926" s="37">
        <f t="shared" si="108"/>
        <v>72108.2</v>
      </c>
      <c r="K1926" s="3" t="s">
        <v>16</v>
      </c>
      <c r="L1926" s="38">
        <v>-1.4E-2</v>
      </c>
      <c r="M1926" s="3"/>
      <c r="N1926" s="3">
        <v>2013</v>
      </c>
      <c r="O1926" s="3" t="s">
        <v>88</v>
      </c>
      <c r="P1926" s="3" t="s">
        <v>104</v>
      </c>
      <c r="Q1926" s="3"/>
    </row>
    <row r="1927" spans="1:17" hidden="1" x14ac:dyDescent="0.3">
      <c r="A1927" s="2">
        <v>41548</v>
      </c>
      <c r="B1927" s="3" t="s">
        <v>12</v>
      </c>
      <c r="C1927" s="3" t="s">
        <v>100</v>
      </c>
      <c r="D1927" s="3" t="s">
        <v>101</v>
      </c>
      <c r="E1927" s="3" t="s">
        <v>15</v>
      </c>
      <c r="F1927" s="37">
        <v>20005</v>
      </c>
      <c r="G1927" s="3" t="s">
        <v>102</v>
      </c>
      <c r="H1927" s="3" t="s">
        <v>103</v>
      </c>
      <c r="I1927" s="37">
        <f>INDEX('Currency Master'!B:B,MATCH(A1927,'Currency Master'!A:A,0))/INDEX('Currency Master'!C:C,MATCH(A1927,'Currency Master'!A:A,0))</f>
        <v>10.109871027025253</v>
      </c>
      <c r="J1927" s="37">
        <f t="shared" si="108"/>
        <v>71923.42</v>
      </c>
      <c r="K1927" s="3" t="s">
        <v>16</v>
      </c>
      <c r="L1927" s="38">
        <v>-1.6E-2</v>
      </c>
      <c r="M1927" s="3"/>
      <c r="N1927" s="3">
        <v>2013</v>
      </c>
      <c r="O1927" s="3" t="s">
        <v>89</v>
      </c>
      <c r="P1927" s="3" t="s">
        <v>104</v>
      </c>
      <c r="Q1927" s="3"/>
    </row>
    <row r="1928" spans="1:17" hidden="1" x14ac:dyDescent="0.3">
      <c r="A1928" s="2">
        <v>41518</v>
      </c>
      <c r="B1928" s="3" t="s">
        <v>12</v>
      </c>
      <c r="C1928" s="3" t="s">
        <v>100</v>
      </c>
      <c r="D1928" s="3" t="s">
        <v>101</v>
      </c>
      <c r="E1928" s="3" t="s">
        <v>15</v>
      </c>
      <c r="F1928" s="37">
        <v>20330</v>
      </c>
      <c r="G1928" s="3" t="s">
        <v>102</v>
      </c>
      <c r="H1928" s="3" t="s">
        <v>103</v>
      </c>
      <c r="I1928" s="37">
        <f>INDEX('Currency Master'!B:B,MATCH(A1928,'Currency Master'!A:A,0))/INDEX('Currency Master'!C:C,MATCH(A1928,'Currency Master'!A:A,0))</f>
        <v>10.440594444444445</v>
      </c>
      <c r="J1928" s="37">
        <f t="shared" si="108"/>
        <v>75482.94</v>
      </c>
      <c r="K1928" s="3" t="s">
        <v>16</v>
      </c>
      <c r="L1928" s="38">
        <v>-3.3700000000000001E-2</v>
      </c>
      <c r="M1928" s="3"/>
      <c r="N1928" s="3">
        <v>2013</v>
      </c>
      <c r="O1928" s="3" t="s">
        <v>90</v>
      </c>
      <c r="P1928" s="3" t="s">
        <v>104</v>
      </c>
      <c r="Q1928" s="3"/>
    </row>
    <row r="1929" spans="1:17" hidden="1" x14ac:dyDescent="0.3">
      <c r="A1929" s="2">
        <v>41487</v>
      </c>
      <c r="B1929" s="3" t="s">
        <v>12</v>
      </c>
      <c r="C1929" s="3" t="s">
        <v>100</v>
      </c>
      <c r="D1929" s="3" t="s">
        <v>101</v>
      </c>
      <c r="E1929" s="3" t="s">
        <v>15</v>
      </c>
      <c r="F1929" s="37">
        <v>21040</v>
      </c>
      <c r="G1929" s="3" t="s">
        <v>102</v>
      </c>
      <c r="H1929" s="3" t="s">
        <v>103</v>
      </c>
      <c r="I1929" s="37">
        <f>INDEX('Currency Master'!B:B,MATCH(A1929,'Currency Master'!A:A,0))/INDEX('Currency Master'!C:C,MATCH(A1929,'Currency Master'!A:A,0))</f>
        <v>10.306941643652053</v>
      </c>
      <c r="J1929" s="37">
        <f t="shared" si="108"/>
        <v>77119.06</v>
      </c>
      <c r="K1929" s="3" t="s">
        <v>16</v>
      </c>
      <c r="L1929" s="38">
        <v>6.8999999999999999E-3</v>
      </c>
      <c r="M1929" s="3"/>
      <c r="N1929" s="3">
        <v>2013</v>
      </c>
      <c r="O1929" s="3" t="s">
        <v>91</v>
      </c>
      <c r="P1929" s="3" t="s">
        <v>104</v>
      </c>
      <c r="Q1929" s="3"/>
    </row>
    <row r="1930" spans="1:17" hidden="1" x14ac:dyDescent="0.3">
      <c r="A1930" s="2">
        <v>41456</v>
      </c>
      <c r="B1930" s="3" t="s">
        <v>12</v>
      </c>
      <c r="C1930" s="3" t="s">
        <v>100</v>
      </c>
      <c r="D1930" s="3" t="s">
        <v>101</v>
      </c>
      <c r="E1930" s="3" t="s">
        <v>15</v>
      </c>
      <c r="F1930" s="37">
        <v>20895</v>
      </c>
      <c r="G1930" s="3" t="s">
        <v>102</v>
      </c>
      <c r="H1930" s="3" t="s">
        <v>103</v>
      </c>
      <c r="I1930" s="37">
        <f>INDEX('Currency Master'!B:B,MATCH(A1930,'Currency Master'!A:A,0))/INDEX('Currency Master'!C:C,MATCH(A1930,'Currency Master'!A:A,0))</f>
        <v>9.7528478885190264</v>
      </c>
      <c r="J1930" s="37">
        <f t="shared" si="108"/>
        <v>72470.289999999994</v>
      </c>
      <c r="K1930" s="3" t="s">
        <v>16</v>
      </c>
      <c r="L1930" s="38">
        <v>4.3400000000000001E-2</v>
      </c>
      <c r="M1930" s="3"/>
      <c r="N1930" s="3">
        <v>2013</v>
      </c>
      <c r="O1930" s="3" t="s">
        <v>92</v>
      </c>
      <c r="P1930" s="3" t="s">
        <v>104</v>
      </c>
      <c r="Q1930" s="3"/>
    </row>
    <row r="1931" spans="1:17" hidden="1" x14ac:dyDescent="0.3">
      <c r="A1931" s="2">
        <v>41426</v>
      </c>
      <c r="B1931" s="3" t="s">
        <v>12</v>
      </c>
      <c r="C1931" s="3" t="s">
        <v>100</v>
      </c>
      <c r="D1931" s="3" t="s">
        <v>101</v>
      </c>
      <c r="E1931" s="3" t="s">
        <v>15</v>
      </c>
      <c r="F1931" s="37">
        <v>20025</v>
      </c>
      <c r="G1931" s="3" t="s">
        <v>102</v>
      </c>
      <c r="H1931" s="3" t="s">
        <v>103</v>
      </c>
      <c r="I1931" s="37">
        <f>INDEX('Currency Master'!B:B,MATCH(A1931,'Currency Master'!A:A,0))/INDEX('Currency Master'!C:C,MATCH(A1931,'Currency Master'!A:A,0))</f>
        <v>9.5164260110144347</v>
      </c>
      <c r="J1931" s="37">
        <f t="shared" si="108"/>
        <v>67769.23</v>
      </c>
      <c r="K1931" s="3" t="s">
        <v>16</v>
      </c>
      <c r="L1931" s="38">
        <v>1.1900000000000001E-2</v>
      </c>
      <c r="M1931" s="3"/>
      <c r="N1931" s="3">
        <v>2013</v>
      </c>
      <c r="O1931" s="3" t="s">
        <v>93</v>
      </c>
      <c r="P1931" s="3" t="s">
        <v>104</v>
      </c>
      <c r="Q1931" s="3"/>
    </row>
    <row r="1932" spans="1:17" hidden="1" x14ac:dyDescent="0.3">
      <c r="A1932" s="2">
        <v>41395</v>
      </c>
      <c r="B1932" s="3" t="s">
        <v>12</v>
      </c>
      <c r="C1932" s="3" t="s">
        <v>100</v>
      </c>
      <c r="D1932" s="3" t="s">
        <v>101</v>
      </c>
      <c r="E1932" s="3" t="s">
        <v>15</v>
      </c>
      <c r="F1932" s="37">
        <v>19790</v>
      </c>
      <c r="G1932" s="3" t="s">
        <v>102</v>
      </c>
      <c r="H1932" s="3" t="s">
        <v>103</v>
      </c>
      <c r="I1932" s="37">
        <f>INDEX('Currency Master'!B:B,MATCH(A1932,'Currency Master'!A:A,0))/INDEX('Currency Master'!C:C,MATCH(A1932,'Currency Master'!A:A,0))</f>
        <v>8.975707718640475</v>
      </c>
      <c r="J1932" s="37">
        <f t="shared" si="108"/>
        <v>63168.52</v>
      </c>
      <c r="K1932" s="3" t="s">
        <v>16</v>
      </c>
      <c r="L1932" s="38">
        <v>-4.2599999999999999E-2</v>
      </c>
      <c r="M1932" s="3"/>
      <c r="N1932" s="3">
        <v>2013</v>
      </c>
      <c r="O1932" s="3" t="s">
        <v>94</v>
      </c>
      <c r="P1932" s="3" t="s">
        <v>104</v>
      </c>
      <c r="Q1932" s="3"/>
    </row>
    <row r="1933" spans="1:17" hidden="1" x14ac:dyDescent="0.3">
      <c r="A1933" s="2">
        <v>41365</v>
      </c>
      <c r="B1933" s="3" t="s">
        <v>12</v>
      </c>
      <c r="C1933" s="3" t="s">
        <v>100</v>
      </c>
      <c r="D1933" s="3" t="s">
        <v>101</v>
      </c>
      <c r="E1933" s="3" t="s">
        <v>15</v>
      </c>
      <c r="F1933" s="37">
        <v>20670</v>
      </c>
      <c r="G1933" s="3" t="s">
        <v>102</v>
      </c>
      <c r="H1933" s="3" t="s">
        <v>103</v>
      </c>
      <c r="I1933" s="37">
        <f>INDEX('Currency Master'!B:B,MATCH(A1933,'Currency Master'!A:A,0))/INDEX('Currency Master'!C:C,MATCH(A1933,'Currency Master'!A:A,0))</f>
        <v>8.8136585721932956</v>
      </c>
      <c r="J1933" s="37">
        <f t="shared" si="108"/>
        <v>64786.26</v>
      </c>
      <c r="K1933" s="3" t="s">
        <v>16</v>
      </c>
      <c r="L1933" s="38">
        <v>1.67E-2</v>
      </c>
      <c r="M1933" s="3"/>
      <c r="N1933" s="3">
        <v>2013</v>
      </c>
      <c r="O1933" s="3" t="s">
        <v>95</v>
      </c>
      <c r="P1933" s="3" t="s">
        <v>104</v>
      </c>
      <c r="Q1933" s="3"/>
    </row>
    <row r="1934" spans="1:17" hidden="1" x14ac:dyDescent="0.3">
      <c r="A1934" s="2">
        <v>41334</v>
      </c>
      <c r="B1934" s="3" t="s">
        <v>12</v>
      </c>
      <c r="C1934" s="3" t="s">
        <v>100</v>
      </c>
      <c r="D1934" s="3" t="s">
        <v>101</v>
      </c>
      <c r="E1934" s="3" t="s">
        <v>15</v>
      </c>
      <c r="F1934" s="37">
        <v>20330</v>
      </c>
      <c r="G1934" s="3" t="s">
        <v>102</v>
      </c>
      <c r="H1934" s="3" t="s">
        <v>103</v>
      </c>
      <c r="I1934" s="37">
        <f>INDEX('Currency Master'!B:B,MATCH(A1934,'Currency Master'!A:A,0))/INDEX('Currency Master'!C:C,MATCH(A1934,'Currency Master'!A:A,0))</f>
        <v>8.7636394229221004</v>
      </c>
      <c r="J1934" s="37">
        <f t="shared" si="108"/>
        <v>63358.96</v>
      </c>
      <c r="K1934" s="3" t="s">
        <v>16</v>
      </c>
      <c r="L1934" s="38">
        <v>6.0199999999999997E-2</v>
      </c>
      <c r="M1934" s="3"/>
      <c r="N1934" s="3">
        <v>2013</v>
      </c>
      <c r="O1934" s="3" t="s">
        <v>96</v>
      </c>
      <c r="P1934" s="3" t="s">
        <v>104</v>
      </c>
      <c r="Q1934" s="3"/>
    </row>
    <row r="1935" spans="1:17" hidden="1" x14ac:dyDescent="0.3">
      <c r="A1935" s="2">
        <v>41306</v>
      </c>
      <c r="B1935" s="3" t="s">
        <v>12</v>
      </c>
      <c r="C1935" s="3" t="s">
        <v>100</v>
      </c>
      <c r="D1935" s="3" t="s">
        <v>101</v>
      </c>
      <c r="E1935" s="3" t="s">
        <v>15</v>
      </c>
      <c r="F1935" s="37">
        <v>19175</v>
      </c>
      <c r="G1935" s="3" t="s">
        <v>102</v>
      </c>
      <c r="H1935" s="3" t="s">
        <v>103</v>
      </c>
      <c r="I1935" s="37">
        <f>INDEX('Currency Master'!B:B,MATCH(A1935,'Currency Master'!A:A,0))/INDEX('Currency Master'!C:C,MATCH(A1935,'Currency Master'!A:A,0))</f>
        <v>8.6558640477070696</v>
      </c>
      <c r="J1935" s="37">
        <f t="shared" si="108"/>
        <v>59024.45</v>
      </c>
      <c r="K1935" s="3" t="s">
        <v>16</v>
      </c>
      <c r="L1935" s="38">
        <v>-5.3999999999999999E-2</v>
      </c>
      <c r="M1935" s="3"/>
      <c r="N1935" s="3">
        <v>2013</v>
      </c>
      <c r="O1935" s="3" t="s">
        <v>97</v>
      </c>
      <c r="P1935" s="3" t="s">
        <v>104</v>
      </c>
      <c r="Q1935" s="3"/>
    </row>
    <row r="1936" spans="1:17" hidden="1" x14ac:dyDescent="0.3">
      <c r="A1936" s="2">
        <v>41275</v>
      </c>
      <c r="B1936" s="3" t="s">
        <v>12</v>
      </c>
      <c r="C1936" s="3" t="s">
        <v>100</v>
      </c>
      <c r="D1936" s="3" t="s">
        <v>101</v>
      </c>
      <c r="E1936" s="3" t="s">
        <v>15</v>
      </c>
      <c r="F1936" s="37">
        <v>20270</v>
      </c>
      <c r="G1936" s="3" t="s">
        <v>102</v>
      </c>
      <c r="H1936" s="3" t="s">
        <v>103</v>
      </c>
      <c r="I1936" s="37">
        <f>INDEX('Currency Master'!B:B,MATCH(A1936,'Currency Master'!A:A,0))/INDEX('Currency Master'!C:C,MATCH(A1936,'Currency Master'!A:A,0))</f>
        <v>8.7225236380009008</v>
      </c>
      <c r="J1936" s="37">
        <f t="shared" si="108"/>
        <v>62875.59</v>
      </c>
      <c r="K1936" s="3" t="s">
        <v>16</v>
      </c>
      <c r="L1936" s="38">
        <v>1.4800000000000001E-2</v>
      </c>
      <c r="M1936" s="3"/>
      <c r="N1936" s="3">
        <v>2013</v>
      </c>
      <c r="O1936" s="3" t="s">
        <v>85</v>
      </c>
      <c r="P1936" s="3" t="s">
        <v>104</v>
      </c>
      <c r="Q1936" s="3"/>
    </row>
    <row r="1937" spans="1:17" hidden="1" x14ac:dyDescent="0.3">
      <c r="A1937" s="2">
        <v>41244</v>
      </c>
      <c r="B1937" s="3" t="s">
        <v>12</v>
      </c>
      <c r="C1937" s="3" t="s">
        <v>100</v>
      </c>
      <c r="D1937" s="3" t="s">
        <v>101</v>
      </c>
      <c r="E1937" s="3" t="s">
        <v>15</v>
      </c>
      <c r="F1937" s="37">
        <v>19975</v>
      </c>
      <c r="G1937" s="3" t="s">
        <v>102</v>
      </c>
      <c r="H1937" s="3" t="s">
        <v>103</v>
      </c>
      <c r="I1937" s="37">
        <f>INDEX('Currency Master'!B:B,MATCH(A1937,'Currency Master'!A:A,0))/INDEX('Currency Master'!C:C,MATCH(A1937,'Currency Master'!A:A,0))</f>
        <v>8.77107266102756</v>
      </c>
      <c r="J1937" s="37">
        <f t="shared" si="108"/>
        <v>62305.4</v>
      </c>
      <c r="K1937" s="3" t="s">
        <v>16</v>
      </c>
      <c r="L1937" s="38">
        <v>6.3E-3</v>
      </c>
      <c r="M1937" s="3"/>
      <c r="N1937" s="3">
        <v>2012</v>
      </c>
      <c r="O1937" s="3" t="s">
        <v>87</v>
      </c>
      <c r="P1937" s="3" t="s">
        <v>104</v>
      </c>
      <c r="Q1937" s="3"/>
    </row>
    <row r="1938" spans="1:17" hidden="1" x14ac:dyDescent="0.3">
      <c r="A1938" s="2">
        <v>41214</v>
      </c>
      <c r="B1938" s="3" t="s">
        <v>12</v>
      </c>
      <c r="C1938" s="3" t="s">
        <v>100</v>
      </c>
      <c r="D1938" s="3" t="s">
        <v>101</v>
      </c>
      <c r="E1938" s="3" t="s">
        <v>15</v>
      </c>
      <c r="F1938" s="37">
        <v>19850</v>
      </c>
      <c r="G1938" s="3" t="s">
        <v>102</v>
      </c>
      <c r="H1938" s="3" t="s">
        <v>103</v>
      </c>
      <c r="I1938" s="37">
        <f>INDEX('Currency Master'!B:B,MATCH(A1938,'Currency Master'!A:A,0))/INDEX('Currency Master'!C:C,MATCH(A1938,'Currency Master'!A:A,0))</f>
        <v>8.8043848266336902</v>
      </c>
      <c r="J1938" s="37">
        <f t="shared" si="108"/>
        <v>62150.65</v>
      </c>
      <c r="K1938" s="3" t="s">
        <v>16</v>
      </c>
      <c r="L1938" s="38">
        <v>3.5999999999999997E-2</v>
      </c>
      <c r="M1938" s="3"/>
      <c r="N1938" s="3">
        <v>2012</v>
      </c>
      <c r="O1938" s="3" t="s">
        <v>88</v>
      </c>
      <c r="P1938" s="3" t="s">
        <v>104</v>
      </c>
      <c r="Q1938" s="3"/>
    </row>
    <row r="1939" spans="1:17" hidden="1" x14ac:dyDescent="0.3">
      <c r="A1939" s="2">
        <v>41183</v>
      </c>
      <c r="B1939" s="3" t="s">
        <v>12</v>
      </c>
      <c r="C1939" s="3" t="s">
        <v>100</v>
      </c>
      <c r="D1939" s="3" t="s">
        <v>101</v>
      </c>
      <c r="E1939" s="3" t="s">
        <v>15</v>
      </c>
      <c r="F1939" s="37">
        <v>19160</v>
      </c>
      <c r="G1939" s="3" t="s">
        <v>102</v>
      </c>
      <c r="H1939" s="3" t="s">
        <v>103</v>
      </c>
      <c r="I1939" s="37">
        <f>INDEX('Currency Master'!B:B,MATCH(A1939,'Currency Master'!A:A,0))/INDEX('Currency Master'!C:C,MATCH(A1939,'Currency Master'!A:A,0))</f>
        <v>8.5091451292246525</v>
      </c>
      <c r="J1939" s="37">
        <f t="shared" si="108"/>
        <v>57978.59</v>
      </c>
      <c r="K1939" s="3" t="s">
        <v>16</v>
      </c>
      <c r="L1939" s="38">
        <v>1.03E-2</v>
      </c>
      <c r="M1939" s="3"/>
      <c r="N1939" s="3">
        <v>2012</v>
      </c>
      <c r="O1939" s="3" t="s">
        <v>89</v>
      </c>
      <c r="P1939" s="3" t="s">
        <v>104</v>
      </c>
      <c r="Q1939" s="3"/>
    </row>
    <row r="1940" spans="1:17" hidden="1" x14ac:dyDescent="0.3">
      <c r="A1940" s="2">
        <v>41153</v>
      </c>
      <c r="B1940" s="3" t="s">
        <v>12</v>
      </c>
      <c r="C1940" s="3" t="s">
        <v>100</v>
      </c>
      <c r="D1940" s="3" t="s">
        <v>101</v>
      </c>
      <c r="E1940" s="3" t="s">
        <v>15</v>
      </c>
      <c r="F1940" s="37">
        <v>18965</v>
      </c>
      <c r="G1940" s="3" t="s">
        <v>102</v>
      </c>
      <c r="H1940" s="3" t="s">
        <v>103</v>
      </c>
      <c r="I1940" s="37">
        <f>INDEX('Currency Master'!B:B,MATCH(A1940,'Currency Master'!A:A,0))/INDEX('Currency Master'!C:C,MATCH(A1940,'Currency Master'!A:A,0))</f>
        <v>8.67120852892036</v>
      </c>
      <c r="J1940" s="37">
        <f t="shared" si="108"/>
        <v>58481.52</v>
      </c>
      <c r="K1940" s="3" t="s">
        <v>16</v>
      </c>
      <c r="L1940" s="38">
        <v>1.34E-2</v>
      </c>
      <c r="M1940" s="3"/>
      <c r="N1940" s="3">
        <v>2012</v>
      </c>
      <c r="O1940" s="3" t="s">
        <v>90</v>
      </c>
      <c r="P1940" s="3" t="s">
        <v>104</v>
      </c>
      <c r="Q1940" s="3"/>
    </row>
    <row r="1941" spans="1:17" hidden="1" x14ac:dyDescent="0.3">
      <c r="A1941" s="2">
        <v>41122</v>
      </c>
      <c r="B1941" s="3" t="s">
        <v>12</v>
      </c>
      <c r="C1941" s="3" t="s">
        <v>100</v>
      </c>
      <c r="D1941" s="3" t="s">
        <v>101</v>
      </c>
      <c r="E1941" s="3" t="s">
        <v>15</v>
      </c>
      <c r="F1941" s="37">
        <v>18715</v>
      </c>
      <c r="G1941" s="3" t="s">
        <v>102</v>
      </c>
      <c r="H1941" s="3" t="s">
        <v>103</v>
      </c>
      <c r="I1941" s="37">
        <f>INDEX('Currency Master'!B:B,MATCH(A1941,'Currency Master'!A:A,0))/INDEX('Currency Master'!C:C,MATCH(A1941,'Currency Master'!A:A,0))</f>
        <v>8.7477664015121697</v>
      </c>
      <c r="J1941" s="37">
        <f t="shared" si="108"/>
        <v>58220.13</v>
      </c>
      <c r="K1941" s="3" t="s">
        <v>16</v>
      </c>
      <c r="L1941" s="38">
        <v>2.1299999999999999E-2</v>
      </c>
      <c r="M1941" s="3"/>
      <c r="N1941" s="3">
        <v>2012</v>
      </c>
      <c r="O1941" s="3" t="s">
        <v>91</v>
      </c>
      <c r="P1941" s="3" t="s">
        <v>104</v>
      </c>
      <c r="Q1941" s="3"/>
    </row>
    <row r="1942" spans="1:17" hidden="1" x14ac:dyDescent="0.3">
      <c r="A1942" s="2">
        <v>41091</v>
      </c>
      <c r="B1942" s="3" t="s">
        <v>12</v>
      </c>
      <c r="C1942" s="3" t="s">
        <v>100</v>
      </c>
      <c r="D1942" s="3" t="s">
        <v>101</v>
      </c>
      <c r="E1942" s="3" t="s">
        <v>15</v>
      </c>
      <c r="F1942" s="37">
        <v>18325</v>
      </c>
      <c r="G1942" s="3" t="s">
        <v>102</v>
      </c>
      <c r="H1942" s="3" t="s">
        <v>103</v>
      </c>
      <c r="I1942" s="37">
        <f>INDEX('Currency Master'!B:B,MATCH(A1942,'Currency Master'!A:A,0))/INDEX('Currency Master'!C:C,MATCH(A1942,'Currency Master'!A:A,0))</f>
        <v>8.7121139578748821</v>
      </c>
      <c r="J1942" s="37">
        <f t="shared" si="108"/>
        <v>56774.55</v>
      </c>
      <c r="K1942" s="3" t="s">
        <v>16</v>
      </c>
      <c r="L1942" s="38">
        <v>1.55E-2</v>
      </c>
      <c r="M1942" s="3"/>
      <c r="N1942" s="3">
        <v>2012</v>
      </c>
      <c r="O1942" s="3" t="s">
        <v>92</v>
      </c>
      <c r="P1942" s="3" t="s">
        <v>104</v>
      </c>
      <c r="Q1942" s="3"/>
    </row>
    <row r="1943" spans="1:17" hidden="1" x14ac:dyDescent="0.3">
      <c r="A1943" s="2">
        <v>41061</v>
      </c>
      <c r="B1943" s="3" t="s">
        <v>12</v>
      </c>
      <c r="C1943" s="3" t="s">
        <v>100</v>
      </c>
      <c r="D1943" s="3" t="s">
        <v>101</v>
      </c>
      <c r="E1943" s="3" t="s">
        <v>15</v>
      </c>
      <c r="F1943" s="37">
        <v>18045</v>
      </c>
      <c r="G1943" s="3" t="s">
        <v>102</v>
      </c>
      <c r="H1943" s="3" t="s">
        <v>103</v>
      </c>
      <c r="I1943" s="37">
        <f>INDEX('Currency Master'!B:B,MATCH(A1943,'Currency Master'!A:A,0))/INDEX('Currency Master'!C:C,MATCH(A1943,'Currency Master'!A:A,0))</f>
        <v>8.8163416591907087</v>
      </c>
      <c r="J1943" s="37">
        <f t="shared" si="108"/>
        <v>56575.9</v>
      </c>
      <c r="K1943" s="3" t="s">
        <v>16</v>
      </c>
      <c r="L1943" s="38">
        <v>-1.12E-2</v>
      </c>
      <c r="M1943" s="3"/>
      <c r="N1943" s="3">
        <v>2012</v>
      </c>
      <c r="O1943" s="3" t="s">
        <v>93</v>
      </c>
      <c r="P1943" s="3" t="s">
        <v>104</v>
      </c>
      <c r="Q1943" s="3"/>
    </row>
    <row r="1944" spans="1:17" hidden="1" x14ac:dyDescent="0.3">
      <c r="A1944" s="2">
        <v>41030</v>
      </c>
      <c r="B1944" s="3" t="s">
        <v>12</v>
      </c>
      <c r="C1944" s="3" t="s">
        <v>100</v>
      </c>
      <c r="D1944" s="3" t="s">
        <v>101</v>
      </c>
      <c r="E1944" s="3" t="s">
        <v>15</v>
      </c>
      <c r="F1944" s="37">
        <v>18250</v>
      </c>
      <c r="G1944" s="3" t="s">
        <v>102</v>
      </c>
      <c r="H1944" s="3" t="s">
        <v>103</v>
      </c>
      <c r="I1944" s="37">
        <f>INDEX('Currency Master'!B:B,MATCH(A1944,'Currency Master'!A:A,0))/INDEX('Currency Master'!C:C,MATCH(A1944,'Currency Master'!A:A,0))</f>
        <v>8.5528482602688101</v>
      </c>
      <c r="J1944" s="37">
        <f t="shared" si="108"/>
        <v>55508.54</v>
      </c>
      <c r="K1944" s="3" t="s">
        <v>16</v>
      </c>
      <c r="L1944" s="38">
        <v>-0.1041</v>
      </c>
      <c r="M1944" s="3"/>
      <c r="N1944" s="3">
        <v>2012</v>
      </c>
      <c r="O1944" s="3" t="s">
        <v>94</v>
      </c>
      <c r="P1944" s="3" t="s">
        <v>104</v>
      </c>
      <c r="Q1944" s="3"/>
    </row>
    <row r="1945" spans="1:17" hidden="1" x14ac:dyDescent="0.3">
      <c r="A1945" s="2">
        <v>41000</v>
      </c>
      <c r="B1945" s="3" t="s">
        <v>12</v>
      </c>
      <c r="C1945" s="3" t="s">
        <v>100</v>
      </c>
      <c r="D1945" s="3" t="s">
        <v>101</v>
      </c>
      <c r="E1945" s="3" t="s">
        <v>15</v>
      </c>
      <c r="F1945" s="37">
        <v>20370</v>
      </c>
      <c r="G1945" s="3" t="s">
        <v>102</v>
      </c>
      <c r="H1945" s="3" t="s">
        <v>103</v>
      </c>
      <c r="I1945" s="37">
        <f>INDEX('Currency Master'!B:B,MATCH(A1945,'Currency Master'!A:A,0))/INDEX('Currency Master'!C:C,MATCH(A1945,'Currency Master'!A:A,0))</f>
        <v>8.2112987527536099</v>
      </c>
      <c r="J1945" s="37">
        <f t="shared" si="108"/>
        <v>59482.48</v>
      </c>
      <c r="K1945" s="3" t="s">
        <v>16</v>
      </c>
      <c r="L1945" s="38">
        <v>-8.3000000000000001E-3</v>
      </c>
      <c r="M1945" s="3"/>
      <c r="N1945" s="3">
        <v>2012</v>
      </c>
      <c r="O1945" s="3" t="s">
        <v>95</v>
      </c>
      <c r="P1945" s="3" t="s">
        <v>104</v>
      </c>
      <c r="Q1945" s="3"/>
    </row>
    <row r="1946" spans="1:17" hidden="1" x14ac:dyDescent="0.3">
      <c r="A1946" s="2">
        <v>40969</v>
      </c>
      <c r="B1946" s="3" t="s">
        <v>12</v>
      </c>
      <c r="C1946" s="3" t="s">
        <v>100</v>
      </c>
      <c r="D1946" s="3" t="s">
        <v>101</v>
      </c>
      <c r="E1946" s="3" t="s">
        <v>15</v>
      </c>
      <c r="F1946" s="37">
        <v>20540</v>
      </c>
      <c r="G1946" s="3" t="s">
        <v>102</v>
      </c>
      <c r="H1946" s="3" t="s">
        <v>103</v>
      </c>
      <c r="I1946" s="37">
        <f>INDEX('Currency Master'!B:B,MATCH(A1946,'Currency Master'!A:A,0))/INDEX('Currency Master'!C:C,MATCH(A1946,'Currency Master'!A:A,0))</f>
        <v>8.0031695776436962</v>
      </c>
      <c r="J1946" s="37">
        <f t="shared" si="108"/>
        <v>58458.63</v>
      </c>
      <c r="K1946" s="3" t="s">
        <v>16</v>
      </c>
      <c r="L1946" s="38">
        <v>2.0000000000000001E-4</v>
      </c>
      <c r="M1946" s="3"/>
      <c r="N1946" s="3">
        <v>2012</v>
      </c>
      <c r="O1946" s="3" t="s">
        <v>96</v>
      </c>
      <c r="P1946" s="3" t="s">
        <v>104</v>
      </c>
      <c r="Q1946" s="3"/>
    </row>
    <row r="1947" spans="1:17" hidden="1" x14ac:dyDescent="0.3">
      <c r="A1947" s="2">
        <v>40940</v>
      </c>
      <c r="B1947" s="3" t="s">
        <v>12</v>
      </c>
      <c r="C1947" s="3" t="s">
        <v>100</v>
      </c>
      <c r="D1947" s="3" t="s">
        <v>101</v>
      </c>
      <c r="E1947" s="3" t="s">
        <v>15</v>
      </c>
      <c r="F1947" s="37">
        <v>20535</v>
      </c>
      <c r="G1947" s="3" t="s">
        <v>102</v>
      </c>
      <c r="H1947" s="3" t="s">
        <v>103</v>
      </c>
      <c r="I1947" s="37">
        <f>INDEX('Currency Master'!B:B,MATCH(A1947,'Currency Master'!A:A,0))/INDEX('Currency Master'!C:C,MATCH(A1947,'Currency Master'!A:A,0))</f>
        <v>7.8168673933076995</v>
      </c>
      <c r="J1947" s="37">
        <f t="shared" si="108"/>
        <v>57083.9</v>
      </c>
      <c r="K1947" s="3" t="s">
        <v>16</v>
      </c>
      <c r="L1947" s="38">
        <v>-1.8200000000000001E-2</v>
      </c>
      <c r="M1947" s="3"/>
      <c r="N1947" s="3">
        <v>2012</v>
      </c>
      <c r="O1947" s="3" t="s">
        <v>97</v>
      </c>
      <c r="P1947" s="3" t="s">
        <v>104</v>
      </c>
      <c r="Q1947" s="3"/>
    </row>
    <row r="1948" spans="1:17" hidden="1" x14ac:dyDescent="0.3">
      <c r="A1948" s="2">
        <v>40909</v>
      </c>
      <c r="B1948" s="3" t="s">
        <v>12</v>
      </c>
      <c r="C1948" s="3" t="s">
        <v>100</v>
      </c>
      <c r="D1948" s="3" t="s">
        <v>101</v>
      </c>
      <c r="E1948" s="3" t="s">
        <v>15</v>
      </c>
      <c r="F1948" s="37">
        <v>20915</v>
      </c>
      <c r="G1948" s="3" t="s">
        <v>102</v>
      </c>
      <c r="H1948" s="3" t="s">
        <v>103</v>
      </c>
      <c r="I1948" s="37">
        <f>INDEX('Currency Master'!B:B,MATCH(A1948,'Currency Master'!A:A,0))/INDEX('Currency Master'!C:C,MATCH(A1948,'Currency Master'!A:A,0))</f>
        <v>8.115007608178793</v>
      </c>
      <c r="J1948" s="37">
        <f t="shared" si="108"/>
        <v>60357.74</v>
      </c>
      <c r="K1948" s="3" t="s">
        <v>16</v>
      </c>
      <c r="L1948" s="38">
        <v>5.4699999999999999E-2</v>
      </c>
      <c r="M1948" s="3"/>
      <c r="N1948" s="3">
        <v>2012</v>
      </c>
      <c r="O1948" s="3" t="s">
        <v>85</v>
      </c>
      <c r="P1948" s="3" t="s">
        <v>104</v>
      </c>
      <c r="Q1948" s="3"/>
    </row>
    <row r="1949" spans="1:17" hidden="1" x14ac:dyDescent="0.3">
      <c r="A1949" s="2">
        <v>40878</v>
      </c>
      <c r="B1949" s="3" t="s">
        <v>12</v>
      </c>
      <c r="C1949" s="3" t="s">
        <v>100</v>
      </c>
      <c r="D1949" s="3" t="s">
        <v>101</v>
      </c>
      <c r="E1949" s="3" t="s">
        <v>15</v>
      </c>
      <c r="F1949" s="37">
        <v>19830</v>
      </c>
      <c r="G1949" s="3" t="s">
        <v>102</v>
      </c>
      <c r="H1949" s="3" t="s">
        <v>103</v>
      </c>
      <c r="I1949" s="37">
        <f>INDEX('Currency Master'!B:B,MATCH(A1949,'Currency Master'!A:A,0))/INDEX('Currency Master'!C:C,MATCH(A1949,'Currency Master'!A:A,0))</f>
        <v>8.3450250242298107</v>
      </c>
      <c r="J1949" s="37">
        <f t="shared" si="108"/>
        <v>58848.65</v>
      </c>
      <c r="K1949" s="3" t="s">
        <v>16</v>
      </c>
      <c r="L1949" s="38">
        <v>-2.12E-2</v>
      </c>
      <c r="M1949" s="3"/>
      <c r="N1949" s="3">
        <v>2011</v>
      </c>
      <c r="O1949" s="3" t="s">
        <v>87</v>
      </c>
      <c r="P1949" s="3" t="s">
        <v>104</v>
      </c>
      <c r="Q1949" s="3"/>
    </row>
    <row r="1950" spans="1:17" hidden="1" x14ac:dyDescent="0.3">
      <c r="A1950" s="2">
        <v>40848</v>
      </c>
      <c r="B1950" s="3" t="s">
        <v>12</v>
      </c>
      <c r="C1950" s="3" t="s">
        <v>100</v>
      </c>
      <c r="D1950" s="3" t="s">
        <v>101</v>
      </c>
      <c r="E1950" s="3" t="s">
        <v>15</v>
      </c>
      <c r="F1950" s="37">
        <v>20260</v>
      </c>
      <c r="G1950" s="3" t="s">
        <v>102</v>
      </c>
      <c r="H1950" s="3" t="s">
        <v>103</v>
      </c>
      <c r="I1950" s="37">
        <f>INDEX('Currency Master'!B:B,MATCH(A1950,'Currency Master'!A:A,0))/INDEX('Currency Master'!C:C,MATCH(A1950,'Currency Master'!A:A,0))</f>
        <v>7.9624824418385902</v>
      </c>
      <c r="J1950" s="37">
        <f t="shared" si="108"/>
        <v>57368.58</v>
      </c>
      <c r="K1950" s="3" t="s">
        <v>16</v>
      </c>
      <c r="L1950" s="38">
        <v>4.0800000000000003E-2</v>
      </c>
      <c r="M1950" s="3"/>
      <c r="N1950" s="3">
        <v>2011</v>
      </c>
      <c r="O1950" s="3" t="s">
        <v>88</v>
      </c>
      <c r="P1950" s="3" t="s">
        <v>104</v>
      </c>
      <c r="Q1950" s="3"/>
    </row>
    <row r="1951" spans="1:17" hidden="1" x14ac:dyDescent="0.3">
      <c r="A1951" s="2">
        <v>40817</v>
      </c>
      <c r="B1951" s="3" t="s">
        <v>12</v>
      </c>
      <c r="C1951" s="3" t="s">
        <v>100</v>
      </c>
      <c r="D1951" s="3" t="s">
        <v>101</v>
      </c>
      <c r="E1951" s="3" t="s">
        <v>15</v>
      </c>
      <c r="F1951" s="37">
        <v>19465</v>
      </c>
      <c r="G1951" s="3" t="s">
        <v>102</v>
      </c>
      <c r="H1951" s="3" t="s">
        <v>103</v>
      </c>
      <c r="I1951" s="37">
        <f>INDEX('Currency Master'!B:B,MATCH(A1951,'Currency Master'!A:A,0))/INDEX('Currency Master'!C:C,MATCH(A1951,'Currency Master'!A:A,0))</f>
        <v>7.7551608131923464</v>
      </c>
      <c r="J1951" s="37">
        <f t="shared" si="108"/>
        <v>53682.33</v>
      </c>
      <c r="K1951" s="3" t="s">
        <v>16</v>
      </c>
      <c r="L1951" s="38">
        <v>-1.4200000000000001E-2</v>
      </c>
      <c r="M1951" s="3"/>
      <c r="N1951" s="3">
        <v>2011</v>
      </c>
      <c r="O1951" s="3" t="s">
        <v>89</v>
      </c>
      <c r="P1951" s="3" t="s">
        <v>104</v>
      </c>
      <c r="Q1951" s="3"/>
    </row>
    <row r="1952" spans="1:17" hidden="1" x14ac:dyDescent="0.3">
      <c r="A1952" s="2">
        <v>40787</v>
      </c>
      <c r="B1952" s="3" t="s">
        <v>12</v>
      </c>
      <c r="C1952" s="3" t="s">
        <v>100</v>
      </c>
      <c r="D1952" s="3" t="s">
        <v>101</v>
      </c>
      <c r="E1952" s="3" t="s">
        <v>15</v>
      </c>
      <c r="F1952" s="37">
        <v>19745</v>
      </c>
      <c r="G1952" s="3" t="s">
        <v>102</v>
      </c>
      <c r="H1952" s="3" t="s">
        <v>103</v>
      </c>
      <c r="I1952" s="37">
        <f>INDEX('Currency Master'!B:B,MATCH(A1952,'Currency Master'!A:A,0))/INDEX('Currency Master'!C:C,MATCH(A1952,'Currency Master'!A:A,0))</f>
        <v>7.4674129610479145</v>
      </c>
      <c r="J1952" s="37">
        <f t="shared" si="108"/>
        <v>52434.06</v>
      </c>
      <c r="K1952" s="3" t="s">
        <v>16</v>
      </c>
      <c r="L1952" s="38">
        <v>-1.84E-2</v>
      </c>
      <c r="M1952" s="3"/>
      <c r="N1952" s="3">
        <v>2011</v>
      </c>
      <c r="O1952" s="3" t="s">
        <v>90</v>
      </c>
      <c r="P1952" s="3" t="s">
        <v>104</v>
      </c>
      <c r="Q1952" s="3"/>
    </row>
    <row r="1953" spans="1:17" hidden="1" x14ac:dyDescent="0.3">
      <c r="A1953" s="2">
        <v>40756</v>
      </c>
      <c r="B1953" s="3" t="s">
        <v>12</v>
      </c>
      <c r="C1953" s="3" t="s">
        <v>100</v>
      </c>
      <c r="D1953" s="3" t="s">
        <v>101</v>
      </c>
      <c r="E1953" s="3" t="s">
        <v>15</v>
      </c>
      <c r="F1953" s="37">
        <v>20115</v>
      </c>
      <c r="G1953" s="3" t="s">
        <v>102</v>
      </c>
      <c r="H1953" s="3" t="s">
        <v>103</v>
      </c>
      <c r="I1953" s="37">
        <f>INDEX('Currency Master'!B:B,MATCH(A1953,'Currency Master'!A:A,0))/INDEX('Currency Master'!C:C,MATCH(A1953,'Currency Master'!A:A,0))</f>
        <v>7.1116099702147686</v>
      </c>
      <c r="J1953" s="37">
        <f t="shared" si="108"/>
        <v>50871.45</v>
      </c>
      <c r="K1953" s="3" t="s">
        <v>16</v>
      </c>
      <c r="L1953" s="38">
        <v>-4.0099999999999997E-2</v>
      </c>
      <c r="M1953" s="3"/>
      <c r="N1953" s="3">
        <v>2011</v>
      </c>
      <c r="O1953" s="3" t="s">
        <v>91</v>
      </c>
      <c r="P1953" s="3" t="s">
        <v>104</v>
      </c>
      <c r="Q1953" s="3"/>
    </row>
    <row r="1954" spans="1:17" hidden="1" x14ac:dyDescent="0.3">
      <c r="A1954" s="2">
        <v>40725</v>
      </c>
      <c r="B1954" s="3" t="s">
        <v>12</v>
      </c>
      <c r="C1954" s="3" t="s">
        <v>100</v>
      </c>
      <c r="D1954" s="3" t="s">
        <v>101</v>
      </c>
      <c r="E1954" s="3" t="s">
        <v>15</v>
      </c>
      <c r="F1954" s="37">
        <v>20955</v>
      </c>
      <c r="G1954" s="3" t="s">
        <v>102</v>
      </c>
      <c r="H1954" s="3" t="s">
        <v>103</v>
      </c>
      <c r="I1954" s="37">
        <f>INDEX('Currency Master'!B:B,MATCH(A1954,'Currency Master'!A:A,0))/INDEX('Currency Master'!C:C,MATCH(A1954,'Currency Master'!A:A,0))</f>
        <v>6.8999638030138257</v>
      </c>
      <c r="J1954" s="37">
        <f t="shared" si="108"/>
        <v>51418.65</v>
      </c>
      <c r="K1954" s="3" t="s">
        <v>16</v>
      </c>
      <c r="L1954" s="38">
        <v>-0.1111</v>
      </c>
      <c r="M1954" s="3"/>
      <c r="N1954" s="3">
        <v>2011</v>
      </c>
      <c r="O1954" s="3" t="s">
        <v>92</v>
      </c>
      <c r="P1954" s="3" t="s">
        <v>104</v>
      </c>
      <c r="Q1954" s="3"/>
    </row>
    <row r="1955" spans="1:17" hidden="1" x14ac:dyDescent="0.3">
      <c r="A1955" s="2">
        <v>40695</v>
      </c>
      <c r="B1955" s="3" t="s">
        <v>12</v>
      </c>
      <c r="C1955" s="3" t="s">
        <v>100</v>
      </c>
      <c r="D1955" s="3" t="s">
        <v>101</v>
      </c>
      <c r="E1955" s="3" t="s">
        <v>15</v>
      </c>
      <c r="F1955" s="37">
        <v>23575</v>
      </c>
      <c r="G1955" s="3" t="s">
        <v>102</v>
      </c>
      <c r="H1955" s="3" t="s">
        <v>103</v>
      </c>
      <c r="I1955" s="37">
        <f>INDEX('Currency Master'!B:B,MATCH(A1955,'Currency Master'!A:A,0))/INDEX('Currency Master'!C:C,MATCH(A1955,'Currency Master'!A:A,0))</f>
        <v>6.9370667677361473</v>
      </c>
      <c r="J1955" s="37">
        <f t="shared" si="108"/>
        <v>58158.57</v>
      </c>
      <c r="K1955" s="3" t="s">
        <v>16</v>
      </c>
      <c r="L1955" s="38">
        <v>-9.1200000000000003E-2</v>
      </c>
      <c r="M1955" s="3"/>
      <c r="N1955" s="3">
        <v>2011</v>
      </c>
      <c r="O1955" s="3" t="s">
        <v>93</v>
      </c>
      <c r="P1955" s="3" t="s">
        <v>104</v>
      </c>
      <c r="Q1955" s="3"/>
    </row>
    <row r="1956" spans="1:17" hidden="1" x14ac:dyDescent="0.3">
      <c r="A1956" s="2">
        <v>40664</v>
      </c>
      <c r="B1956" s="3" t="s">
        <v>12</v>
      </c>
      <c r="C1956" s="3" t="s">
        <v>100</v>
      </c>
      <c r="D1956" s="3" t="s">
        <v>101</v>
      </c>
      <c r="E1956" s="3" t="s">
        <v>15</v>
      </c>
      <c r="F1956" s="37">
        <v>25940</v>
      </c>
      <c r="G1956" s="3" t="s">
        <v>102</v>
      </c>
      <c r="H1956" s="3" t="s">
        <v>103</v>
      </c>
      <c r="I1956" s="37">
        <f>INDEX('Currency Master'!B:B,MATCH(A1956,'Currency Master'!A:A,0))/INDEX('Currency Master'!C:C,MATCH(A1956,'Currency Master'!A:A,0))</f>
        <v>6.9353652287985188</v>
      </c>
      <c r="J1956" s="37">
        <f t="shared" si="108"/>
        <v>63977.24</v>
      </c>
      <c r="K1956" s="3" t="s">
        <v>16</v>
      </c>
      <c r="L1956" s="38">
        <v>-1.3299999999999999E-2</v>
      </c>
      <c r="M1956" s="3"/>
      <c r="N1956" s="3">
        <v>2011</v>
      </c>
      <c r="O1956" s="3" t="s">
        <v>94</v>
      </c>
      <c r="P1956" s="3" t="s">
        <v>104</v>
      </c>
      <c r="Q1956" s="3"/>
    </row>
    <row r="1957" spans="1:17" hidden="1" x14ac:dyDescent="0.3">
      <c r="A1957" s="2">
        <v>40634</v>
      </c>
      <c r="B1957" s="3" t="s">
        <v>12</v>
      </c>
      <c r="C1957" s="3" t="s">
        <v>100</v>
      </c>
      <c r="D1957" s="3" t="s">
        <v>101</v>
      </c>
      <c r="E1957" s="3" t="s">
        <v>15</v>
      </c>
      <c r="F1957" s="37">
        <v>26290</v>
      </c>
      <c r="G1957" s="3" t="s">
        <v>102</v>
      </c>
      <c r="H1957" s="3" t="s">
        <v>103</v>
      </c>
      <c r="I1957" s="37">
        <f>INDEX('Currency Master'!B:B,MATCH(A1957,'Currency Master'!A:A,0))/INDEX('Currency Master'!C:C,MATCH(A1957,'Currency Master'!A:A,0))</f>
        <v>6.8393506393467884</v>
      </c>
      <c r="J1957" s="37">
        <f t="shared" si="108"/>
        <v>63942.8</v>
      </c>
      <c r="K1957" s="3" t="s">
        <v>16</v>
      </c>
      <c r="L1957" s="38">
        <v>-9.11E-2</v>
      </c>
      <c r="M1957" s="3"/>
      <c r="N1957" s="3">
        <v>2011</v>
      </c>
      <c r="O1957" s="3" t="s">
        <v>95</v>
      </c>
      <c r="P1957" s="3" t="s">
        <v>104</v>
      </c>
      <c r="Q1957" s="3"/>
    </row>
    <row r="1958" spans="1:17" hidden="1" x14ac:dyDescent="0.3">
      <c r="A1958" s="2">
        <v>40603</v>
      </c>
      <c r="B1958" s="3" t="s">
        <v>12</v>
      </c>
      <c r="C1958" s="3" t="s">
        <v>100</v>
      </c>
      <c r="D1958" s="3" t="s">
        <v>101</v>
      </c>
      <c r="E1958" s="3" t="s">
        <v>15</v>
      </c>
      <c r="F1958" s="37">
        <v>28925</v>
      </c>
      <c r="G1958" s="3" t="s">
        <v>102</v>
      </c>
      <c r="H1958" s="3" t="s">
        <v>103</v>
      </c>
      <c r="I1958" s="37">
        <f>INDEX('Currency Master'!B:B,MATCH(A1958,'Currency Master'!A:A,0))/INDEX('Currency Master'!C:C,MATCH(A1958,'Currency Master'!A:A,0))</f>
        <v>6.8672748373698189</v>
      </c>
      <c r="J1958" s="37">
        <f t="shared" si="108"/>
        <v>70638.91</v>
      </c>
      <c r="K1958" s="3" t="s">
        <v>16</v>
      </c>
      <c r="L1958" s="38">
        <v>-8.8499999999999995E-2</v>
      </c>
      <c r="M1958" s="3"/>
      <c r="N1958" s="3">
        <v>2011</v>
      </c>
      <c r="O1958" s="3" t="s">
        <v>96</v>
      </c>
      <c r="P1958" s="3" t="s">
        <v>104</v>
      </c>
      <c r="Q1958" s="3"/>
    </row>
    <row r="1959" spans="1:17" hidden="1" x14ac:dyDescent="0.3">
      <c r="A1959" s="2">
        <v>40575</v>
      </c>
      <c r="B1959" s="3" t="s">
        <v>12</v>
      </c>
      <c r="C1959" s="3" t="s">
        <v>100</v>
      </c>
      <c r="D1959" s="3" t="s">
        <v>101</v>
      </c>
      <c r="E1959" s="3" t="s">
        <v>15</v>
      </c>
      <c r="F1959" s="37">
        <v>31735</v>
      </c>
      <c r="G1959" s="3" t="s">
        <v>102</v>
      </c>
      <c r="H1959" s="3" t="s">
        <v>103</v>
      </c>
      <c r="I1959" s="37">
        <f>INDEX('Currency Master'!B:B,MATCH(A1959,'Currency Master'!A:A,0))/INDEX('Currency Master'!C:C,MATCH(A1959,'Currency Master'!A:A,0))</f>
        <v>6.9139093980157043</v>
      </c>
      <c r="J1959" s="37">
        <f t="shared" si="108"/>
        <v>78027.62</v>
      </c>
      <c r="K1959" s="3" t="s">
        <v>16</v>
      </c>
      <c r="L1959" s="38">
        <v>3.2000000000000002E-3</v>
      </c>
      <c r="M1959" s="3"/>
      <c r="N1959" s="3">
        <v>2011</v>
      </c>
      <c r="O1959" s="3" t="s">
        <v>97</v>
      </c>
      <c r="P1959" s="3" t="s">
        <v>104</v>
      </c>
      <c r="Q1959" s="3"/>
    </row>
    <row r="1960" spans="1:17" hidden="1" x14ac:dyDescent="0.3">
      <c r="A1960" s="2">
        <v>40544</v>
      </c>
      <c r="B1960" s="3" t="s">
        <v>12</v>
      </c>
      <c r="C1960" s="3" t="s">
        <v>100</v>
      </c>
      <c r="D1960" s="3" t="s">
        <v>101</v>
      </c>
      <c r="E1960" s="3" t="s">
        <v>15</v>
      </c>
      <c r="F1960" s="37">
        <v>31635</v>
      </c>
      <c r="G1960" s="3" t="s">
        <v>102</v>
      </c>
      <c r="H1960" s="3" t="s">
        <v>103</v>
      </c>
      <c r="I1960" s="37">
        <f>INDEX('Currency Master'!B:B,MATCH(A1960,'Currency Master'!A:A,0))/INDEX('Currency Master'!C:C,MATCH(A1960,'Currency Master'!A:A,0))</f>
        <v>6.88028039364118</v>
      </c>
      <c r="J1960" s="37">
        <f t="shared" si="108"/>
        <v>77403.42</v>
      </c>
      <c r="K1960" s="3" t="s">
        <v>16</v>
      </c>
      <c r="L1960" s="38">
        <v>0.1038</v>
      </c>
      <c r="M1960" s="3"/>
      <c r="N1960" s="3">
        <v>2011</v>
      </c>
      <c r="O1960" s="3" t="s">
        <v>85</v>
      </c>
      <c r="P1960" s="3" t="s">
        <v>104</v>
      </c>
      <c r="Q1960" s="3"/>
    </row>
    <row r="1961" spans="1:17" hidden="1" x14ac:dyDescent="0.3">
      <c r="A1961" s="2">
        <v>40513</v>
      </c>
      <c r="B1961" s="3" t="s">
        <v>12</v>
      </c>
      <c r="C1961" s="3" t="s">
        <v>100</v>
      </c>
      <c r="D1961" s="3" t="s">
        <v>101</v>
      </c>
      <c r="E1961" s="3" t="s">
        <v>15</v>
      </c>
      <c r="F1961" s="37">
        <v>28660</v>
      </c>
      <c r="G1961" s="3" t="s">
        <v>102</v>
      </c>
      <c r="H1961" s="3" t="s">
        <v>103</v>
      </c>
      <c r="I1961" s="37">
        <f>INDEX('Currency Master'!B:B,MATCH(A1961,'Currency Master'!A:A,0))/INDEX('Currency Master'!C:C,MATCH(A1961,'Currency Master'!A:A,0))</f>
        <v>6.8459894395047485</v>
      </c>
      <c r="J1961" s="37">
        <f t="shared" si="108"/>
        <v>69774.8</v>
      </c>
      <c r="K1961" s="3" t="s">
        <v>16</v>
      </c>
      <c r="L1961" s="38">
        <v>0.1012</v>
      </c>
      <c r="M1961" s="3"/>
      <c r="N1961" s="3">
        <v>2010</v>
      </c>
      <c r="O1961" s="3" t="s">
        <v>87</v>
      </c>
      <c r="P1961" s="3" t="s">
        <v>104</v>
      </c>
      <c r="Q1961" s="3"/>
    </row>
    <row r="1962" spans="1:17" hidden="1" x14ac:dyDescent="0.3">
      <c r="A1962" s="2">
        <v>40483</v>
      </c>
      <c r="B1962" s="3" t="s">
        <v>12</v>
      </c>
      <c r="C1962" s="3" t="s">
        <v>100</v>
      </c>
      <c r="D1962" s="3" t="s">
        <v>101</v>
      </c>
      <c r="E1962" s="3" t="s">
        <v>15</v>
      </c>
      <c r="F1962" s="37">
        <v>26025</v>
      </c>
      <c r="G1962" s="3" t="s">
        <v>102</v>
      </c>
      <c r="H1962" s="3" t="s">
        <v>103</v>
      </c>
      <c r="I1962" s="37">
        <f>INDEX('Currency Master'!B:B,MATCH(A1962,'Currency Master'!A:A,0))/INDEX('Currency Master'!C:C,MATCH(A1962,'Currency Master'!A:A,0))</f>
        <v>6.7494486275686212</v>
      </c>
      <c r="J1962" s="37">
        <f t="shared" si="108"/>
        <v>62466.22</v>
      </c>
      <c r="K1962" s="3" t="s">
        <v>16</v>
      </c>
      <c r="L1962" s="38">
        <v>-0.1439</v>
      </c>
      <c r="M1962" s="3"/>
      <c r="N1962" s="3">
        <v>2010</v>
      </c>
      <c r="O1962" s="3" t="s">
        <v>88</v>
      </c>
      <c r="P1962" s="3" t="s">
        <v>104</v>
      </c>
      <c r="Q1962" s="3"/>
    </row>
    <row r="1963" spans="1:17" hidden="1" x14ac:dyDescent="0.3">
      <c r="A1963" s="2">
        <v>40452</v>
      </c>
      <c r="B1963" s="3" t="s">
        <v>12</v>
      </c>
      <c r="C1963" s="3" t="s">
        <v>100</v>
      </c>
      <c r="D1963" s="3" t="s">
        <v>101</v>
      </c>
      <c r="E1963" s="3" t="s">
        <v>15</v>
      </c>
      <c r="F1963" s="37">
        <v>30400</v>
      </c>
      <c r="G1963" s="3" t="s">
        <v>102</v>
      </c>
      <c r="H1963" s="3" t="s">
        <v>103</v>
      </c>
      <c r="I1963" s="37">
        <f>INDEX('Currency Master'!B:B,MATCH(A1963,'Currency Master'!A:A,0))/INDEX('Currency Master'!C:C,MATCH(A1963,'Currency Master'!A:A,0))</f>
        <v>6.6597255160627817</v>
      </c>
      <c r="J1963" s="37">
        <f t="shared" si="108"/>
        <v>71997.279999999999</v>
      </c>
      <c r="K1963" s="3" t="s">
        <v>16</v>
      </c>
      <c r="L1963" s="38">
        <v>0.38019999999999998</v>
      </c>
      <c r="M1963" s="3"/>
      <c r="N1963" s="3">
        <v>2010</v>
      </c>
      <c r="O1963" s="3" t="s">
        <v>89</v>
      </c>
      <c r="P1963" s="3" t="s">
        <v>104</v>
      </c>
      <c r="Q1963" s="3"/>
    </row>
    <row r="1964" spans="1:17" hidden="1" x14ac:dyDescent="0.3">
      <c r="A1964" s="2">
        <v>40422</v>
      </c>
      <c r="B1964" s="3" t="s">
        <v>12</v>
      </c>
      <c r="C1964" s="3" t="s">
        <v>100</v>
      </c>
      <c r="D1964" s="3" t="s">
        <v>101</v>
      </c>
      <c r="E1964" s="3" t="s">
        <v>15</v>
      </c>
      <c r="F1964" s="37">
        <v>22025</v>
      </c>
      <c r="G1964" s="3" t="s">
        <v>102</v>
      </c>
      <c r="H1964" s="3" t="s">
        <v>103</v>
      </c>
      <c r="I1964" s="37">
        <f>INDEX('Currency Master'!B:B,MATCH(A1964,'Currency Master'!A:A,0))/INDEX('Currency Master'!C:C,MATCH(A1964,'Currency Master'!A:A,0))</f>
        <v>6.8727566985967687</v>
      </c>
      <c r="J1964" s="37">
        <f t="shared" si="108"/>
        <v>53831.08</v>
      </c>
      <c r="K1964" s="3" t="s">
        <v>16</v>
      </c>
      <c r="L1964" s="38">
        <v>0.18260000000000001</v>
      </c>
      <c r="M1964" s="3"/>
      <c r="N1964" s="3">
        <v>2010</v>
      </c>
      <c r="O1964" s="3" t="s">
        <v>90</v>
      </c>
      <c r="P1964" s="3" t="s">
        <v>104</v>
      </c>
      <c r="Q1964" s="3"/>
    </row>
    <row r="1965" spans="1:17" hidden="1" x14ac:dyDescent="0.3">
      <c r="A1965" s="2">
        <v>40391</v>
      </c>
      <c r="B1965" s="3" t="s">
        <v>12</v>
      </c>
      <c r="C1965" s="3" t="s">
        <v>100</v>
      </c>
      <c r="D1965" s="3" t="s">
        <v>101</v>
      </c>
      <c r="E1965" s="3" t="s">
        <v>15</v>
      </c>
      <c r="F1965" s="37">
        <v>18625</v>
      </c>
      <c r="G1965" s="3" t="s">
        <v>102</v>
      </c>
      <c r="H1965" s="3" t="s">
        <v>103</v>
      </c>
      <c r="I1965" s="37">
        <f>INDEX('Currency Master'!B:B,MATCH(A1965,'Currency Master'!A:A,0))/INDEX('Currency Master'!C:C,MATCH(A1965,'Currency Master'!A:A,0))</f>
        <v>6.8415958868894604</v>
      </c>
      <c r="J1965" s="37">
        <f t="shared" si="108"/>
        <v>45314.78</v>
      </c>
      <c r="K1965" s="3" t="s">
        <v>16</v>
      </c>
      <c r="L1965" s="38">
        <v>2.9999999999999997E-4</v>
      </c>
      <c r="M1965" s="3"/>
      <c r="N1965" s="3">
        <v>2010</v>
      </c>
      <c r="O1965" s="3" t="s">
        <v>91</v>
      </c>
      <c r="P1965" s="3" t="s">
        <v>104</v>
      </c>
      <c r="Q1965" s="3"/>
    </row>
    <row r="1966" spans="1:17" hidden="1" x14ac:dyDescent="0.3">
      <c r="A1966" s="2">
        <v>40360</v>
      </c>
      <c r="B1966" s="3" t="s">
        <v>12</v>
      </c>
      <c r="C1966" s="3" t="s">
        <v>100</v>
      </c>
      <c r="D1966" s="3" t="s">
        <v>101</v>
      </c>
      <c r="E1966" s="3" t="s">
        <v>15</v>
      </c>
      <c r="F1966" s="37">
        <v>18620</v>
      </c>
      <c r="G1966" s="3" t="s">
        <v>102</v>
      </c>
      <c r="H1966" s="3" t="s">
        <v>103</v>
      </c>
      <c r="I1966" s="37">
        <f>INDEX('Currency Master'!B:B,MATCH(A1966,'Currency Master'!A:A,0))/INDEX('Currency Master'!C:C,MATCH(A1966,'Currency Master'!A:A,0))</f>
        <v>6.9144692943607904</v>
      </c>
      <c r="J1966" s="37">
        <f t="shared" si="108"/>
        <v>45785.16</v>
      </c>
      <c r="K1966" s="3" t="s">
        <v>16</v>
      </c>
      <c r="L1966" s="38">
        <v>-9.2999999999999992E-3</v>
      </c>
      <c r="M1966" s="3"/>
      <c r="N1966" s="3">
        <v>2010</v>
      </c>
      <c r="O1966" s="3" t="s">
        <v>92</v>
      </c>
      <c r="P1966" s="3" t="s">
        <v>104</v>
      </c>
      <c r="Q1966" s="3"/>
    </row>
    <row r="1967" spans="1:17" hidden="1" x14ac:dyDescent="0.3">
      <c r="A1967" s="2">
        <v>40330</v>
      </c>
      <c r="B1967" s="3" t="s">
        <v>12</v>
      </c>
      <c r="C1967" s="3" t="s">
        <v>100</v>
      </c>
      <c r="D1967" s="3" t="s">
        <v>101</v>
      </c>
      <c r="E1967" s="3" t="s">
        <v>15</v>
      </c>
      <c r="F1967" s="37">
        <v>18795</v>
      </c>
      <c r="G1967" s="3" t="s">
        <v>102</v>
      </c>
      <c r="H1967" s="3" t="s">
        <v>103</v>
      </c>
      <c r="I1967" s="37">
        <f>INDEX('Currency Master'!B:B,MATCH(A1967,'Currency Master'!A:A,0))/INDEX('Currency Master'!C:C,MATCH(A1967,'Currency Master'!A:A,0))</f>
        <v>6.8659939248271087</v>
      </c>
      <c r="J1967" s="37">
        <f t="shared" si="108"/>
        <v>45891.47</v>
      </c>
      <c r="K1967" s="3" t="s">
        <v>16</v>
      </c>
      <c r="L1967" s="38">
        <v>5.5599999999999997E-2</v>
      </c>
      <c r="M1967" s="3"/>
      <c r="N1967" s="3">
        <v>2010</v>
      </c>
      <c r="O1967" s="3" t="s">
        <v>93</v>
      </c>
      <c r="P1967" s="3" t="s">
        <v>104</v>
      </c>
      <c r="Q1967" s="3"/>
    </row>
    <row r="1968" spans="1:17" hidden="1" x14ac:dyDescent="0.3">
      <c r="A1968" s="2">
        <v>40299</v>
      </c>
      <c r="B1968" s="3" t="s">
        <v>12</v>
      </c>
      <c r="C1968" s="3" t="s">
        <v>100</v>
      </c>
      <c r="D1968" s="3" t="s">
        <v>101</v>
      </c>
      <c r="E1968" s="3" t="s">
        <v>15</v>
      </c>
      <c r="F1968" s="37">
        <v>17805</v>
      </c>
      <c r="G1968" s="3" t="s">
        <v>102</v>
      </c>
      <c r="H1968" s="3" t="s">
        <v>103</v>
      </c>
      <c r="I1968" s="37">
        <f>INDEX('Currency Master'!B:B,MATCH(A1968,'Currency Master'!A:A,0))/INDEX('Currency Master'!C:C,MATCH(A1968,'Currency Master'!A:A,0))</f>
        <v>6.7200218225489907</v>
      </c>
      <c r="J1968" s="37">
        <f t="shared" si="108"/>
        <v>42549.93</v>
      </c>
      <c r="K1968" s="3" t="s">
        <v>16</v>
      </c>
      <c r="L1968" s="38">
        <v>6.4600000000000005E-2</v>
      </c>
      <c r="M1968" s="3"/>
      <c r="N1968" s="3">
        <v>2010</v>
      </c>
      <c r="O1968" s="3" t="s">
        <v>94</v>
      </c>
      <c r="P1968" s="3" t="s">
        <v>104</v>
      </c>
      <c r="Q1968" s="3"/>
    </row>
    <row r="1969" spans="1:17" hidden="1" x14ac:dyDescent="0.3">
      <c r="A1969" s="2">
        <v>40269</v>
      </c>
      <c r="B1969" s="3" t="s">
        <v>12</v>
      </c>
      <c r="C1969" s="3" t="s">
        <v>100</v>
      </c>
      <c r="D1969" s="3" t="s">
        <v>101</v>
      </c>
      <c r="E1969" s="3" t="s">
        <v>15</v>
      </c>
      <c r="F1969" s="37">
        <v>16725</v>
      </c>
      <c r="G1969" s="3" t="s">
        <v>102</v>
      </c>
      <c r="H1969" s="3" t="s">
        <v>103</v>
      </c>
      <c r="I1969" s="37">
        <f>INDEX('Currency Master'!B:B,MATCH(A1969,'Currency Master'!A:A,0))/INDEX('Currency Master'!C:C,MATCH(A1969,'Currency Master'!A:A,0))</f>
        <v>6.5174545800855652</v>
      </c>
      <c r="J1969" s="37">
        <f t="shared" si="108"/>
        <v>38764.15</v>
      </c>
      <c r="K1969" s="3" t="s">
        <v>16</v>
      </c>
      <c r="L1969" s="38">
        <v>1.67E-2</v>
      </c>
      <c r="M1969" s="3"/>
      <c r="N1969" s="3">
        <v>2010</v>
      </c>
      <c r="O1969" s="3" t="s">
        <v>95</v>
      </c>
      <c r="P1969" s="3" t="s">
        <v>104</v>
      </c>
      <c r="Q1969" s="3"/>
    </row>
    <row r="1970" spans="1:17" hidden="1" x14ac:dyDescent="0.3">
      <c r="A1970" s="2">
        <v>40238</v>
      </c>
      <c r="B1970" s="3" t="s">
        <v>12</v>
      </c>
      <c r="C1970" s="3" t="s">
        <v>100</v>
      </c>
      <c r="D1970" s="3" t="s">
        <v>101</v>
      </c>
      <c r="E1970" s="3" t="s">
        <v>15</v>
      </c>
      <c r="F1970" s="37">
        <v>16450</v>
      </c>
      <c r="G1970" s="3" t="s">
        <v>102</v>
      </c>
      <c r="H1970" s="3" t="s">
        <v>103</v>
      </c>
      <c r="I1970" s="37">
        <f>INDEX('Currency Master'!B:B,MATCH(A1970,'Currency Master'!A:A,0))/INDEX('Currency Master'!C:C,MATCH(A1970,'Currency Master'!A:A,0))</f>
        <v>6.6630346181455931</v>
      </c>
      <c r="J1970" s="37">
        <f t="shared" si="108"/>
        <v>38978.410000000003</v>
      </c>
      <c r="K1970" s="3" t="s">
        <v>16</v>
      </c>
      <c r="L1970" s="38">
        <v>4.02E-2</v>
      </c>
      <c r="M1970" s="3"/>
      <c r="N1970" s="3">
        <v>2010</v>
      </c>
      <c r="O1970" s="3" t="s">
        <v>96</v>
      </c>
      <c r="P1970" s="3" t="s">
        <v>104</v>
      </c>
      <c r="Q1970" s="3"/>
    </row>
    <row r="1971" spans="1:17" hidden="1" x14ac:dyDescent="0.3">
      <c r="A1971" s="2">
        <v>40210</v>
      </c>
      <c r="B1971" s="3" t="s">
        <v>12</v>
      </c>
      <c r="C1971" s="3" t="s">
        <v>100</v>
      </c>
      <c r="D1971" s="3" t="s">
        <v>101</v>
      </c>
      <c r="E1971" s="3" t="s">
        <v>15</v>
      </c>
      <c r="F1971" s="37">
        <v>15815</v>
      </c>
      <c r="G1971" s="3" t="s">
        <v>102</v>
      </c>
      <c r="H1971" s="3" t="s">
        <v>103</v>
      </c>
      <c r="I1971" s="37">
        <f>INDEX('Currency Master'!B:B,MATCH(A1971,'Currency Master'!A:A,0))/INDEX('Currency Master'!C:C,MATCH(A1971,'Currency Master'!A:A,0))</f>
        <v>6.7876304185406013</v>
      </c>
      <c r="J1971" s="37">
        <f t="shared" si="108"/>
        <v>38174.519999999997</v>
      </c>
      <c r="K1971" s="3" t="s">
        <v>16</v>
      </c>
      <c r="L1971" s="38">
        <v>4.5600000000000002E-2</v>
      </c>
      <c r="M1971" s="3"/>
      <c r="N1971" s="3">
        <v>2010</v>
      </c>
      <c r="O1971" s="3" t="s">
        <v>97</v>
      </c>
      <c r="P1971" s="3" t="s">
        <v>104</v>
      </c>
      <c r="Q1971" s="3"/>
    </row>
    <row r="1972" spans="1:17" hidden="1" x14ac:dyDescent="0.3">
      <c r="A1972" s="2">
        <v>40179</v>
      </c>
      <c r="B1972" s="3" t="s">
        <v>12</v>
      </c>
      <c r="C1972" s="3" t="s">
        <v>100</v>
      </c>
      <c r="D1972" s="3" t="s">
        <v>101</v>
      </c>
      <c r="E1972" s="3" t="s">
        <v>15</v>
      </c>
      <c r="F1972" s="37">
        <v>15125</v>
      </c>
      <c r="G1972" s="3" t="s">
        <v>102</v>
      </c>
      <c r="H1972" s="3" t="s">
        <v>103</v>
      </c>
      <c r="I1972" s="37">
        <f>INDEX('Currency Master'!B:B,MATCH(A1972,'Currency Master'!A:A,0))/INDEX('Currency Master'!C:C,MATCH(A1972,'Currency Master'!A:A,0))</f>
        <v>6.7281253570434609</v>
      </c>
      <c r="J1972" s="37">
        <f t="shared" si="108"/>
        <v>36188.92</v>
      </c>
      <c r="K1972" s="3" t="s">
        <v>16</v>
      </c>
      <c r="L1972" s="38">
        <v>-0.06</v>
      </c>
      <c r="M1972" s="3"/>
      <c r="N1972" s="3">
        <v>2010</v>
      </c>
      <c r="O1972" s="3" t="s">
        <v>85</v>
      </c>
      <c r="P1972" s="3" t="s">
        <v>104</v>
      </c>
      <c r="Q1972" s="3"/>
    </row>
    <row r="1973" spans="1:17" hidden="1" x14ac:dyDescent="0.3">
      <c r="A1973" s="2">
        <v>40148</v>
      </c>
      <c r="B1973" s="3" t="s">
        <v>12</v>
      </c>
      <c r="C1973" s="3" t="s">
        <v>100</v>
      </c>
      <c r="D1973" s="3" t="s">
        <v>101</v>
      </c>
      <c r="E1973" s="3" t="s">
        <v>15</v>
      </c>
      <c r="F1973" s="37">
        <v>16090</v>
      </c>
      <c r="G1973" s="3" t="s">
        <v>102</v>
      </c>
      <c r="H1973" s="3" t="s">
        <v>103</v>
      </c>
      <c r="I1973" s="37">
        <f>INDEX('Currency Master'!B:B,MATCH(A1973,'Currency Master'!A:A,0))/INDEX('Currency Master'!C:C,MATCH(A1973,'Currency Master'!A:A,0))</f>
        <v>6.8272819686538737</v>
      </c>
      <c r="J1973" s="37">
        <f t="shared" si="108"/>
        <v>39065.199999999997</v>
      </c>
      <c r="K1973" s="3" t="s">
        <v>16</v>
      </c>
      <c r="L1973" s="38">
        <v>4.7899999999999998E-2</v>
      </c>
      <c r="M1973" s="3"/>
      <c r="N1973" s="3">
        <v>2009</v>
      </c>
      <c r="O1973" s="3" t="s">
        <v>87</v>
      </c>
      <c r="P1973" s="3" t="s">
        <v>104</v>
      </c>
      <c r="Q1973" s="3"/>
    </row>
    <row r="1974" spans="1:17" hidden="1" x14ac:dyDescent="0.3">
      <c r="A1974" s="2">
        <v>40118</v>
      </c>
      <c r="B1974" s="3" t="s">
        <v>12</v>
      </c>
      <c r="C1974" s="3" t="s">
        <v>100</v>
      </c>
      <c r="D1974" s="3" t="s">
        <v>101</v>
      </c>
      <c r="E1974" s="3" t="s">
        <v>15</v>
      </c>
      <c r="F1974" s="37">
        <v>15355</v>
      </c>
      <c r="G1974" s="3" t="s">
        <v>102</v>
      </c>
      <c r="H1974" s="3" t="s">
        <v>103</v>
      </c>
      <c r="I1974" s="37">
        <f>INDEX('Currency Master'!B:B,MATCH(A1974,'Currency Master'!A:A,0))/INDEX('Currency Master'!C:C,MATCH(A1974,'Currency Master'!A:A,0))</f>
        <v>6.8236275357012088</v>
      </c>
      <c r="J1974" s="37">
        <f t="shared" ref="J1974:J1988" si="109">ROUND(F1974*I1974/(1000/355.62),2)</f>
        <v>37260.730000000003</v>
      </c>
      <c r="K1974" s="3" t="s">
        <v>16</v>
      </c>
      <c r="L1974" s="38">
        <v>7.6799999999999993E-2</v>
      </c>
      <c r="M1974" s="3"/>
      <c r="N1974" s="3">
        <v>2009</v>
      </c>
      <c r="O1974" s="3" t="s">
        <v>88</v>
      </c>
      <c r="P1974" s="3" t="s">
        <v>104</v>
      </c>
      <c r="Q1974" s="3"/>
    </row>
    <row r="1975" spans="1:17" hidden="1" x14ac:dyDescent="0.3">
      <c r="A1975" s="2">
        <v>40087</v>
      </c>
      <c r="B1975" s="3" t="s">
        <v>12</v>
      </c>
      <c r="C1975" s="3" t="s">
        <v>100</v>
      </c>
      <c r="D1975" s="3" t="s">
        <v>101</v>
      </c>
      <c r="E1975" s="3" t="s">
        <v>15</v>
      </c>
      <c r="F1975" s="37">
        <v>14260</v>
      </c>
      <c r="G1975" s="3" t="s">
        <v>102</v>
      </c>
      <c r="H1975" s="3" t="s">
        <v>103</v>
      </c>
      <c r="I1975" s="37">
        <f>INDEX('Currency Master'!B:B,MATCH(A1975,'Currency Master'!A:A,0))/INDEX('Currency Master'!C:C,MATCH(A1975,'Currency Master'!A:A,0))</f>
        <v>6.8397201025265471</v>
      </c>
      <c r="J1975" s="37">
        <f t="shared" si="109"/>
        <v>34685.19</v>
      </c>
      <c r="K1975" s="3" t="s">
        <v>16</v>
      </c>
      <c r="L1975" s="38">
        <v>6.1400000000000003E-2</v>
      </c>
      <c r="M1975" s="3"/>
      <c r="N1975" s="3">
        <v>2009</v>
      </c>
      <c r="O1975" s="3" t="s">
        <v>89</v>
      </c>
      <c r="P1975" s="3" t="s">
        <v>104</v>
      </c>
      <c r="Q1975" s="3"/>
    </row>
    <row r="1976" spans="1:17" hidden="1" x14ac:dyDescent="0.3">
      <c r="A1976" s="2">
        <v>40057</v>
      </c>
      <c r="B1976" s="3" t="s">
        <v>12</v>
      </c>
      <c r="C1976" s="3" t="s">
        <v>100</v>
      </c>
      <c r="D1976" s="3" t="s">
        <v>101</v>
      </c>
      <c r="E1976" s="3" t="s">
        <v>15</v>
      </c>
      <c r="F1976" s="37">
        <v>13435</v>
      </c>
      <c r="G1976" s="3" t="s">
        <v>102</v>
      </c>
      <c r="H1976" s="3" t="s">
        <v>103</v>
      </c>
      <c r="I1976" s="37">
        <f>INDEX('Currency Master'!B:B,MATCH(A1976,'Currency Master'!A:A,0))/INDEX('Currency Master'!C:C,MATCH(A1976,'Currency Master'!A:A,0))</f>
        <v>7.0822879953123854</v>
      </c>
      <c r="J1976" s="37">
        <f t="shared" si="109"/>
        <v>33837.43</v>
      </c>
      <c r="K1976" s="3" t="s">
        <v>16</v>
      </c>
      <c r="L1976" s="38">
        <v>5.7500000000000002E-2</v>
      </c>
      <c r="M1976" s="3"/>
      <c r="N1976" s="3">
        <v>2009</v>
      </c>
      <c r="O1976" s="3" t="s">
        <v>90</v>
      </c>
      <c r="P1976" s="3" t="s">
        <v>104</v>
      </c>
      <c r="Q1976" s="3"/>
    </row>
    <row r="1977" spans="1:17" hidden="1" x14ac:dyDescent="0.3">
      <c r="A1977" s="2">
        <v>40026</v>
      </c>
      <c r="B1977" s="3" t="s">
        <v>12</v>
      </c>
      <c r="C1977" s="3" t="s">
        <v>100</v>
      </c>
      <c r="D1977" s="3" t="s">
        <v>101</v>
      </c>
      <c r="E1977" s="3" t="s">
        <v>15</v>
      </c>
      <c r="F1977" s="37">
        <v>12705</v>
      </c>
      <c r="G1977" s="3" t="s">
        <v>102</v>
      </c>
      <c r="H1977" s="3" t="s">
        <v>103</v>
      </c>
      <c r="I1977" s="37">
        <f>INDEX('Currency Master'!B:B,MATCH(A1977,'Currency Master'!A:A,0))/INDEX('Currency Master'!C:C,MATCH(A1977,'Currency Master'!A:A,0))</f>
        <v>7.0726652904661513</v>
      </c>
      <c r="J1977" s="37">
        <f t="shared" si="109"/>
        <v>31955.38</v>
      </c>
      <c r="K1977" s="3" t="s">
        <v>16</v>
      </c>
      <c r="L1977" s="38">
        <v>-8.2699999999999996E-2</v>
      </c>
      <c r="M1977" s="3"/>
      <c r="N1977" s="3">
        <v>2009</v>
      </c>
      <c r="O1977" s="3" t="s">
        <v>91</v>
      </c>
      <c r="P1977" s="3" t="s">
        <v>104</v>
      </c>
      <c r="Q1977" s="3"/>
    </row>
    <row r="1978" spans="1:17" hidden="1" x14ac:dyDescent="0.3">
      <c r="A1978" s="2">
        <v>39995</v>
      </c>
      <c r="B1978" s="3" t="s">
        <v>12</v>
      </c>
      <c r="C1978" s="3" t="s">
        <v>100</v>
      </c>
      <c r="D1978" s="3" t="s">
        <v>101</v>
      </c>
      <c r="E1978" s="3" t="s">
        <v>15</v>
      </c>
      <c r="F1978" s="37">
        <v>13850</v>
      </c>
      <c r="G1978" s="3" t="s">
        <v>102</v>
      </c>
      <c r="H1978" s="3" t="s">
        <v>103</v>
      </c>
      <c r="I1978" s="37">
        <f>INDEX('Currency Master'!B:B,MATCH(A1978,'Currency Master'!A:A,0))/INDEX('Currency Master'!C:C,MATCH(A1978,'Currency Master'!A:A,0))</f>
        <v>7.0862569341783637</v>
      </c>
      <c r="J1978" s="37">
        <f t="shared" si="109"/>
        <v>34902.199999999997</v>
      </c>
      <c r="K1978" s="3" t="s">
        <v>16</v>
      </c>
      <c r="L1978" s="38">
        <v>5.5199999999999999E-2</v>
      </c>
      <c r="M1978" s="3"/>
      <c r="N1978" s="3">
        <v>2009</v>
      </c>
      <c r="O1978" s="3" t="s">
        <v>92</v>
      </c>
      <c r="P1978" s="3" t="s">
        <v>104</v>
      </c>
      <c r="Q1978" s="3"/>
    </row>
    <row r="1979" spans="1:17" hidden="1" x14ac:dyDescent="0.3">
      <c r="A1979" s="2">
        <v>39965</v>
      </c>
      <c r="B1979" s="3" t="s">
        <v>12</v>
      </c>
      <c r="C1979" s="3" t="s">
        <v>100</v>
      </c>
      <c r="D1979" s="3" t="s">
        <v>101</v>
      </c>
      <c r="E1979" s="3" t="s">
        <v>15</v>
      </c>
      <c r="F1979" s="37">
        <v>13125</v>
      </c>
      <c r="G1979" s="3" t="s">
        <v>102</v>
      </c>
      <c r="H1979" s="3" t="s">
        <v>103</v>
      </c>
      <c r="I1979" s="37">
        <f>INDEX('Currency Master'!B:B,MATCH(A1979,'Currency Master'!A:A,0))/INDEX('Currency Master'!C:C,MATCH(A1979,'Currency Master'!A:A,0))</f>
        <v>6.9896881633848187</v>
      </c>
      <c r="J1979" s="37">
        <f t="shared" si="109"/>
        <v>32624.46</v>
      </c>
      <c r="K1979" s="3" t="s">
        <v>16</v>
      </c>
      <c r="L1979" s="38">
        <v>2.8199999999999999E-2</v>
      </c>
      <c r="M1979" s="3"/>
      <c r="N1979" s="3">
        <v>2009</v>
      </c>
      <c r="O1979" s="3" t="s">
        <v>93</v>
      </c>
      <c r="P1979" s="3" t="s">
        <v>104</v>
      </c>
      <c r="Q1979" s="3"/>
    </row>
    <row r="1980" spans="1:17" hidden="1" x14ac:dyDescent="0.3">
      <c r="A1980" s="2">
        <v>39934</v>
      </c>
      <c r="B1980" s="3" t="s">
        <v>12</v>
      </c>
      <c r="C1980" s="3" t="s">
        <v>100</v>
      </c>
      <c r="D1980" s="3" t="s">
        <v>101</v>
      </c>
      <c r="E1980" s="3" t="s">
        <v>15</v>
      </c>
      <c r="F1980" s="37">
        <v>12765</v>
      </c>
      <c r="G1980" s="3" t="s">
        <v>102</v>
      </c>
      <c r="H1980" s="3" t="s">
        <v>103</v>
      </c>
      <c r="I1980" s="37">
        <f>INDEX('Currency Master'!B:B,MATCH(A1980,'Currency Master'!A:A,0))/INDEX('Currency Master'!C:C,MATCH(A1980,'Currency Master'!A:A,0))</f>
        <v>7.0995192068303972</v>
      </c>
      <c r="J1980" s="37">
        <f t="shared" si="109"/>
        <v>32228.19</v>
      </c>
      <c r="K1980" s="3" t="s">
        <v>16</v>
      </c>
      <c r="L1980" s="38">
        <v>-8.2000000000000007E-3</v>
      </c>
      <c r="M1980" s="3"/>
      <c r="N1980" s="3">
        <v>2009</v>
      </c>
      <c r="O1980" s="3" t="s">
        <v>94</v>
      </c>
      <c r="P1980" s="3" t="s">
        <v>104</v>
      </c>
      <c r="Q1980" s="3"/>
    </row>
    <row r="1981" spans="1:17" hidden="1" x14ac:dyDescent="0.3">
      <c r="A1981" s="2">
        <v>39904</v>
      </c>
      <c r="B1981" s="3" t="s">
        <v>12</v>
      </c>
      <c r="C1981" s="3" t="s">
        <v>100</v>
      </c>
      <c r="D1981" s="3" t="s">
        <v>101</v>
      </c>
      <c r="E1981" s="3" t="s">
        <v>15</v>
      </c>
      <c r="F1981" s="37">
        <v>12870</v>
      </c>
      <c r="G1981" s="3" t="s">
        <v>102</v>
      </c>
      <c r="H1981" s="3" t="s">
        <v>103</v>
      </c>
      <c r="I1981" s="37">
        <f>INDEX('Currency Master'!B:B,MATCH(A1981,'Currency Master'!A:A,0))/INDEX('Currency Master'!C:C,MATCH(A1981,'Currency Master'!A:A,0))</f>
        <v>7.3404476057783974</v>
      </c>
      <c r="J1981" s="37">
        <f t="shared" si="109"/>
        <v>33595.980000000003</v>
      </c>
      <c r="K1981" s="3" t="s">
        <v>16</v>
      </c>
      <c r="L1981" s="38">
        <v>4.8000000000000001E-2</v>
      </c>
      <c r="M1981" s="3"/>
      <c r="N1981" s="3">
        <v>2009</v>
      </c>
      <c r="O1981" s="3" t="s">
        <v>95</v>
      </c>
      <c r="P1981" s="3" t="s">
        <v>104</v>
      </c>
      <c r="Q1981" s="3"/>
    </row>
    <row r="1982" spans="1:17" hidden="1" x14ac:dyDescent="0.3">
      <c r="A1982" s="2">
        <v>39873</v>
      </c>
      <c r="B1982" s="3" t="s">
        <v>12</v>
      </c>
      <c r="C1982" s="3" t="s">
        <v>100</v>
      </c>
      <c r="D1982" s="3" t="s">
        <v>101</v>
      </c>
      <c r="E1982" s="3" t="s">
        <v>15</v>
      </c>
      <c r="F1982" s="37">
        <v>12280</v>
      </c>
      <c r="G1982" s="3" t="s">
        <v>102</v>
      </c>
      <c r="H1982" s="3" t="s">
        <v>103</v>
      </c>
      <c r="I1982" s="37">
        <f>INDEX('Currency Master'!B:B,MATCH(A1982,'Currency Master'!A:A,0))/INDEX('Currency Master'!C:C,MATCH(A1982,'Currency Master'!A:A,0))</f>
        <v>7.4947485878186555</v>
      </c>
      <c r="J1982" s="37">
        <f t="shared" si="109"/>
        <v>32729.67</v>
      </c>
      <c r="K1982" s="3" t="s">
        <v>16</v>
      </c>
      <c r="L1982" s="38">
        <v>4.4699999999999997E-2</v>
      </c>
      <c r="M1982" s="3"/>
      <c r="N1982" s="3">
        <v>2009</v>
      </c>
      <c r="O1982" s="3" t="s">
        <v>96</v>
      </c>
      <c r="P1982" s="3" t="s">
        <v>104</v>
      </c>
      <c r="Q1982" s="3"/>
    </row>
    <row r="1983" spans="1:17" hidden="1" x14ac:dyDescent="0.3">
      <c r="A1983" s="2">
        <v>39845</v>
      </c>
      <c r="B1983" s="3" t="s">
        <v>12</v>
      </c>
      <c r="C1983" s="3" t="s">
        <v>100</v>
      </c>
      <c r="D1983" s="3" t="s">
        <v>101</v>
      </c>
      <c r="E1983" s="3" t="s">
        <v>15</v>
      </c>
      <c r="F1983" s="37">
        <v>11755</v>
      </c>
      <c r="G1983" s="3" t="s">
        <v>102</v>
      </c>
      <c r="H1983" s="3" t="s">
        <v>103</v>
      </c>
      <c r="I1983" s="37">
        <f>INDEX('Currency Master'!B:B,MATCH(A1983,'Currency Master'!A:A,0))/INDEX('Currency Master'!C:C,MATCH(A1983,'Currency Master'!A:A,0))</f>
        <v>7.2087097198666585</v>
      </c>
      <c r="J1983" s="37">
        <f t="shared" si="109"/>
        <v>30134.66</v>
      </c>
      <c r="K1983" s="3" t="s">
        <v>16</v>
      </c>
      <c r="L1983" s="38">
        <v>1.77E-2</v>
      </c>
      <c r="M1983" s="3"/>
      <c r="N1983" s="3">
        <v>2009</v>
      </c>
      <c r="O1983" s="3" t="s">
        <v>97</v>
      </c>
      <c r="P1983" s="3" t="s">
        <v>104</v>
      </c>
      <c r="Q1983" s="3"/>
    </row>
    <row r="1984" spans="1:17" hidden="1" x14ac:dyDescent="0.3">
      <c r="A1984" s="2">
        <v>39814</v>
      </c>
      <c r="B1984" s="3" t="s">
        <v>12</v>
      </c>
      <c r="C1984" s="3" t="s">
        <v>100</v>
      </c>
      <c r="D1984" s="3" t="s">
        <v>101</v>
      </c>
      <c r="E1984" s="3" t="s">
        <v>15</v>
      </c>
      <c r="F1984" s="37">
        <v>11550</v>
      </c>
      <c r="G1984" s="3" t="s">
        <v>102</v>
      </c>
      <c r="H1984" s="3" t="s">
        <v>103</v>
      </c>
      <c r="I1984" s="37">
        <f>INDEX('Currency Master'!B:B,MATCH(A1984,'Currency Master'!A:A,0))/INDEX('Currency Master'!C:C,MATCH(A1984,'Currency Master'!A:A,0))</f>
        <v>7.1259027066569134</v>
      </c>
      <c r="J1984" s="37">
        <f t="shared" si="109"/>
        <v>29269.01</v>
      </c>
      <c r="K1984" s="3" t="s">
        <v>16</v>
      </c>
      <c r="L1984" s="38">
        <v>-3.5000000000000001E-3</v>
      </c>
      <c r="M1984" s="3"/>
      <c r="N1984" s="3">
        <v>2009</v>
      </c>
      <c r="O1984" s="3" t="s">
        <v>85</v>
      </c>
      <c r="P1984" s="3" t="s">
        <v>104</v>
      </c>
      <c r="Q1984" s="3"/>
    </row>
    <row r="1985" spans="1:17" hidden="1" x14ac:dyDescent="0.3">
      <c r="A1985" s="2">
        <v>39783</v>
      </c>
      <c r="B1985" s="3" t="s">
        <v>12</v>
      </c>
      <c r="C1985" s="3" t="s">
        <v>100</v>
      </c>
      <c r="D1985" s="3" t="s">
        <v>101</v>
      </c>
      <c r="E1985" s="3" t="s">
        <v>15</v>
      </c>
      <c r="F1985" s="37">
        <v>11590</v>
      </c>
      <c r="G1985" s="3" t="s">
        <v>102</v>
      </c>
      <c r="H1985" s="3" t="s">
        <v>103</v>
      </c>
      <c r="I1985" s="37">
        <f>INDEX('Currency Master'!B:B,MATCH(A1985,'Currency Master'!A:A,0))/INDEX('Currency Master'!C:C,MATCH(A1985,'Currency Master'!A:A,0))</f>
        <v>7.1202834530265271</v>
      </c>
      <c r="J1985" s="37">
        <f t="shared" si="109"/>
        <v>29347.22</v>
      </c>
      <c r="K1985" s="3" t="s">
        <v>16</v>
      </c>
      <c r="L1985" s="38">
        <v>3.0200000000000001E-2</v>
      </c>
      <c r="M1985" s="3"/>
      <c r="N1985" s="3">
        <v>2008</v>
      </c>
      <c r="O1985" s="3" t="s">
        <v>87</v>
      </c>
      <c r="P1985" s="3" t="s">
        <v>104</v>
      </c>
      <c r="Q1985" s="3"/>
    </row>
    <row r="1986" spans="1:17" hidden="1" x14ac:dyDescent="0.3">
      <c r="A1986" s="2">
        <v>39753</v>
      </c>
      <c r="B1986" s="3" t="s">
        <v>12</v>
      </c>
      <c r="C1986" s="3" t="s">
        <v>100</v>
      </c>
      <c r="D1986" s="3" t="s">
        <v>101</v>
      </c>
      <c r="E1986" s="3" t="s">
        <v>15</v>
      </c>
      <c r="F1986" s="37">
        <v>11250</v>
      </c>
      <c r="G1986" s="3" t="s">
        <v>102</v>
      </c>
      <c r="H1986" s="3" t="s">
        <v>103</v>
      </c>
      <c r="I1986" s="37">
        <f>INDEX('Currency Master'!B:B,MATCH(A1986,'Currency Master'!A:A,0))/INDEX('Currency Master'!C:C,MATCH(A1986,'Currency Master'!A:A,0))</f>
        <v>7.1623686253827339</v>
      </c>
      <c r="J1986" s="37">
        <f t="shared" si="109"/>
        <v>28654.67</v>
      </c>
      <c r="K1986" s="3" t="s">
        <v>16</v>
      </c>
      <c r="L1986" s="38">
        <v>-6.7900000000000002E-2</v>
      </c>
      <c r="M1986" s="3"/>
      <c r="N1986" s="3">
        <v>2008</v>
      </c>
      <c r="O1986" s="3" t="s">
        <v>88</v>
      </c>
      <c r="P1986" s="3" t="s">
        <v>104</v>
      </c>
      <c r="Q1986" s="3"/>
    </row>
    <row r="1987" spans="1:17" hidden="1" x14ac:dyDescent="0.3">
      <c r="A1987" s="2">
        <v>39722</v>
      </c>
      <c r="B1987" s="3" t="s">
        <v>12</v>
      </c>
      <c r="C1987" s="3" t="s">
        <v>100</v>
      </c>
      <c r="D1987" s="3" t="s">
        <v>101</v>
      </c>
      <c r="E1987" s="3" t="s">
        <v>15</v>
      </c>
      <c r="F1987" s="37">
        <v>12070</v>
      </c>
      <c r="G1987" s="3" t="s">
        <v>102</v>
      </c>
      <c r="H1987" s="3" t="s">
        <v>103</v>
      </c>
      <c r="I1987" s="37">
        <f>INDEX('Currency Master'!B:B,MATCH(A1987,'Currency Master'!A:A,0))/INDEX('Currency Master'!C:C,MATCH(A1987,'Currency Master'!A:A,0))</f>
        <v>7.1092018422399299</v>
      </c>
      <c r="J1987" s="37">
        <f t="shared" si="109"/>
        <v>30515.06</v>
      </c>
      <c r="K1987" s="3" t="s">
        <v>16</v>
      </c>
      <c r="L1987" s="38">
        <v>-6.9699999999999998E-2</v>
      </c>
      <c r="M1987" s="3"/>
      <c r="N1987" s="3">
        <v>2008</v>
      </c>
      <c r="O1987" s="3" t="s">
        <v>89</v>
      </c>
      <c r="P1987" s="3" t="s">
        <v>104</v>
      </c>
      <c r="Q1987" s="3"/>
    </row>
    <row r="1988" spans="1:17" hidden="1" x14ac:dyDescent="0.3">
      <c r="A1988" s="2">
        <v>39692</v>
      </c>
      <c r="B1988" s="3" t="s">
        <v>12</v>
      </c>
      <c r="C1988" s="3" t="s">
        <v>100</v>
      </c>
      <c r="D1988" s="3" t="s">
        <v>101</v>
      </c>
      <c r="E1988" s="3" t="s">
        <v>15</v>
      </c>
      <c r="F1988" s="37">
        <v>12975</v>
      </c>
      <c r="G1988" s="3" t="s">
        <v>102</v>
      </c>
      <c r="H1988" s="3" t="s">
        <v>103</v>
      </c>
      <c r="I1988" s="37">
        <f>INDEX('Currency Master'!B:B,MATCH(A1988,'Currency Master'!A:A,0))/INDEX('Currency Master'!C:C,MATCH(A1988,'Currency Master'!A:A,0))</f>
        <v>6.6534450921096839</v>
      </c>
      <c r="J1988" s="37">
        <f t="shared" si="109"/>
        <v>30700.12</v>
      </c>
      <c r="K1988" s="3" t="s">
        <v>16</v>
      </c>
      <c r="L1988" s="38">
        <v>5.0000000000000001E-3</v>
      </c>
      <c r="M1988" s="3"/>
      <c r="N1988" s="3">
        <v>2008</v>
      </c>
      <c r="O1988" s="3" t="s">
        <v>90</v>
      </c>
      <c r="P1988" s="3" t="s">
        <v>104</v>
      </c>
      <c r="Q1988" s="3"/>
    </row>
    <row r="1990" spans="1:17" x14ac:dyDescent="0.3">
      <c r="M1990" t="s">
        <v>105</v>
      </c>
    </row>
  </sheetData>
  <autoFilter ref="A1:Q1988" xr:uid="{710F2809-B60C-4F0B-906F-F822896599F3}">
    <filterColumn colId="0">
      <filters>
        <dateGroupItem year="2026" dateTimeGrouping="yea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7D7A6-25AD-40A2-BAF3-B555F9E445D1}">
  <dimension ref="A1:Q60"/>
  <sheetViews>
    <sheetView workbookViewId="0">
      <selection activeCell="I12" sqref="I12"/>
    </sheetView>
  </sheetViews>
  <sheetFormatPr defaultRowHeight="14.4" x14ac:dyDescent="0.3"/>
  <cols>
    <col min="1" max="1" width="12.88671875" customWidth="1"/>
    <col min="10" max="10" width="12.44140625" customWidth="1"/>
  </cols>
  <sheetData>
    <row r="1" spans="1:17" x14ac:dyDescent="0.3">
      <c r="A1" s="27" t="s">
        <v>69</v>
      </c>
      <c r="B1" s="28" t="s">
        <v>70</v>
      </c>
      <c r="C1" s="29" t="s">
        <v>71</v>
      </c>
      <c r="D1" s="29" t="s">
        <v>72</v>
      </c>
      <c r="E1" s="29" t="s">
        <v>73</v>
      </c>
      <c r="F1" s="29" t="s">
        <v>74</v>
      </c>
      <c r="G1" s="29" t="s">
        <v>75</v>
      </c>
      <c r="H1" s="29" t="s">
        <v>76</v>
      </c>
      <c r="J1" s="27" t="s">
        <v>69</v>
      </c>
      <c r="K1" s="28" t="s">
        <v>70</v>
      </c>
      <c r="L1" s="29" t="s">
        <v>71</v>
      </c>
      <c r="M1" s="29" t="s">
        <v>72</v>
      </c>
      <c r="N1" s="29" t="s">
        <v>73</v>
      </c>
      <c r="O1" s="29" t="s">
        <v>74</v>
      </c>
      <c r="P1" s="29" t="s">
        <v>75</v>
      </c>
      <c r="Q1" s="29" t="s">
        <v>76</v>
      </c>
    </row>
    <row r="2" spans="1:17" x14ac:dyDescent="0.3">
      <c r="A2" s="30">
        <v>45292</v>
      </c>
      <c r="B2" s="31">
        <v>1.84</v>
      </c>
      <c r="C2" s="32" t="s">
        <v>77</v>
      </c>
      <c r="D2" s="32">
        <v>0</v>
      </c>
      <c r="E2" s="32" t="s">
        <v>78</v>
      </c>
      <c r="F2" s="32" t="s">
        <v>79</v>
      </c>
      <c r="G2" s="32" t="s">
        <v>80</v>
      </c>
      <c r="H2" s="32">
        <v>46</v>
      </c>
      <c r="J2" s="30">
        <v>45292</v>
      </c>
      <c r="K2" s="31">
        <v>1.7324999999999999</v>
      </c>
      <c r="L2" s="32" t="s">
        <v>77</v>
      </c>
      <c r="M2" s="32">
        <v>0</v>
      </c>
      <c r="N2" s="32" t="s">
        <v>78</v>
      </c>
      <c r="O2" s="32" t="s">
        <v>79</v>
      </c>
      <c r="P2" s="32" t="s">
        <v>81</v>
      </c>
      <c r="Q2" s="32">
        <v>46</v>
      </c>
    </row>
    <row r="3" spans="1:17" x14ac:dyDescent="0.3">
      <c r="A3" s="30">
        <v>45261</v>
      </c>
      <c r="B3" s="31">
        <v>1.84</v>
      </c>
      <c r="C3" s="32" t="s">
        <v>77</v>
      </c>
      <c r="D3" s="32">
        <v>0</v>
      </c>
      <c r="E3" s="32" t="s">
        <v>78</v>
      </c>
      <c r="F3" s="32" t="s">
        <v>79</v>
      </c>
      <c r="G3" s="32" t="s">
        <v>80</v>
      </c>
      <c r="H3" s="32">
        <v>46</v>
      </c>
      <c r="J3" s="30">
        <v>45261</v>
      </c>
      <c r="K3" s="31">
        <v>1.7324999999999999</v>
      </c>
      <c r="L3" s="32" t="s">
        <v>77</v>
      </c>
      <c r="M3" s="32">
        <v>0</v>
      </c>
      <c r="N3" s="32" t="s">
        <v>78</v>
      </c>
      <c r="O3" s="32" t="s">
        <v>79</v>
      </c>
      <c r="P3" s="32" t="s">
        <v>81</v>
      </c>
      <c r="Q3" s="32">
        <v>46</v>
      </c>
    </row>
    <row r="4" spans="1:17" x14ac:dyDescent="0.3">
      <c r="A4" s="30">
        <v>45231</v>
      </c>
      <c r="B4" s="31">
        <v>1.84</v>
      </c>
      <c r="C4" s="32" t="s">
        <v>77</v>
      </c>
      <c r="D4" s="32">
        <v>0</v>
      </c>
      <c r="E4" s="32" t="s">
        <v>78</v>
      </c>
      <c r="F4" s="32" t="s">
        <v>79</v>
      </c>
      <c r="G4" s="32" t="s">
        <v>80</v>
      </c>
      <c r="H4" s="32">
        <v>46</v>
      </c>
      <c r="J4" s="30">
        <v>45231</v>
      </c>
      <c r="K4" s="31">
        <v>1.7324999999999999</v>
      </c>
      <c r="L4" s="32" t="s">
        <v>77</v>
      </c>
      <c r="M4" s="32">
        <v>0</v>
      </c>
      <c r="N4" s="32" t="s">
        <v>78</v>
      </c>
      <c r="O4" s="32" t="s">
        <v>79</v>
      </c>
      <c r="P4" s="32" t="s">
        <v>81</v>
      </c>
      <c r="Q4" s="32">
        <v>46</v>
      </c>
    </row>
    <row r="5" spans="1:17" x14ac:dyDescent="0.3">
      <c r="A5" s="30">
        <v>45200</v>
      </c>
      <c r="B5" s="31">
        <v>1.84</v>
      </c>
      <c r="C5" s="32" t="s">
        <v>77</v>
      </c>
      <c r="D5" s="32">
        <v>0</v>
      </c>
      <c r="E5" s="32" t="s">
        <v>78</v>
      </c>
      <c r="F5" s="32" t="s">
        <v>79</v>
      </c>
      <c r="G5" s="32" t="s">
        <v>80</v>
      </c>
      <c r="H5" s="32">
        <v>46</v>
      </c>
      <c r="J5" s="30">
        <v>45200</v>
      </c>
      <c r="K5" s="31">
        <v>1.7324999999999999</v>
      </c>
      <c r="L5" s="32" t="s">
        <v>77</v>
      </c>
      <c r="M5" s="32">
        <v>0</v>
      </c>
      <c r="N5" s="32" t="s">
        <v>78</v>
      </c>
      <c r="O5" s="32" t="s">
        <v>79</v>
      </c>
      <c r="P5" s="32" t="s">
        <v>81</v>
      </c>
      <c r="Q5" s="32">
        <v>46</v>
      </c>
    </row>
    <row r="6" spans="1:17" x14ac:dyDescent="0.3">
      <c r="A6" s="30">
        <v>45170</v>
      </c>
      <c r="B6" s="31">
        <v>1.84</v>
      </c>
      <c r="C6" s="32" t="s">
        <v>77</v>
      </c>
      <c r="D6" s="32">
        <v>0</v>
      </c>
      <c r="E6" s="32" t="s">
        <v>78</v>
      </c>
      <c r="F6" s="32" t="s">
        <v>79</v>
      </c>
      <c r="G6" s="32" t="s">
        <v>80</v>
      </c>
      <c r="H6" s="32">
        <v>46</v>
      </c>
      <c r="J6" s="30">
        <v>45170</v>
      </c>
      <c r="K6" s="31">
        <v>1.7324999999999999</v>
      </c>
      <c r="L6" s="32" t="s">
        <v>77</v>
      </c>
      <c r="M6" s="32">
        <v>0</v>
      </c>
      <c r="N6" s="32" t="s">
        <v>78</v>
      </c>
      <c r="O6" s="32" t="s">
        <v>79</v>
      </c>
      <c r="P6" s="32" t="s">
        <v>81</v>
      </c>
      <c r="Q6" s="32">
        <v>46</v>
      </c>
    </row>
    <row r="7" spans="1:17" x14ac:dyDescent="0.3">
      <c r="A7" s="30">
        <v>45139</v>
      </c>
      <c r="B7" s="31">
        <v>1.84</v>
      </c>
      <c r="C7" s="32" t="s">
        <v>77</v>
      </c>
      <c r="D7" s="32">
        <v>5.1428571428571423</v>
      </c>
      <c r="E7" s="32" t="s">
        <v>78</v>
      </c>
      <c r="F7" s="32" t="s">
        <v>79</v>
      </c>
      <c r="G7" s="32" t="s">
        <v>80</v>
      </c>
      <c r="H7" s="32">
        <v>46</v>
      </c>
      <c r="J7" s="30">
        <v>45139</v>
      </c>
      <c r="K7" s="31">
        <v>1.7324999999999999</v>
      </c>
      <c r="L7" s="32" t="s">
        <v>77</v>
      </c>
      <c r="M7" s="32">
        <v>5.48780487804878</v>
      </c>
      <c r="N7" s="32" t="s">
        <v>78</v>
      </c>
      <c r="O7" s="32" t="s">
        <v>79</v>
      </c>
      <c r="P7" s="32" t="s">
        <v>81</v>
      </c>
      <c r="Q7" s="32">
        <v>46</v>
      </c>
    </row>
    <row r="8" spans="1:17" x14ac:dyDescent="0.3">
      <c r="A8" s="30">
        <v>45108</v>
      </c>
      <c r="B8" s="31">
        <v>1.7464999999999999</v>
      </c>
      <c r="C8" s="32" t="s">
        <v>77</v>
      </c>
      <c r="D8" s="32">
        <v>4.7904191616766463</v>
      </c>
      <c r="E8" s="32" t="s">
        <v>78</v>
      </c>
      <c r="F8" s="32" t="s">
        <v>79</v>
      </c>
      <c r="G8" s="32" t="s">
        <v>80</v>
      </c>
      <c r="H8" s="32">
        <v>46</v>
      </c>
      <c r="J8" s="30">
        <v>45108</v>
      </c>
      <c r="K8" s="31">
        <v>1.639</v>
      </c>
      <c r="L8" s="32" t="s">
        <v>77</v>
      </c>
      <c r="M8" s="32">
        <v>5.1282051282051277</v>
      </c>
      <c r="N8" s="32" t="s">
        <v>78</v>
      </c>
      <c r="O8" s="32" t="s">
        <v>79</v>
      </c>
      <c r="P8" s="32" t="s">
        <v>81</v>
      </c>
      <c r="Q8" s="32">
        <v>46</v>
      </c>
    </row>
    <row r="9" spans="1:17" x14ac:dyDescent="0.3">
      <c r="A9" s="30">
        <v>45078</v>
      </c>
      <c r="B9" s="31">
        <v>1.67</v>
      </c>
      <c r="C9" s="32" t="s">
        <v>77</v>
      </c>
      <c r="D9" s="32">
        <v>0</v>
      </c>
      <c r="E9" s="32" t="s">
        <v>78</v>
      </c>
      <c r="F9" s="32" t="s">
        <v>79</v>
      </c>
      <c r="G9" s="32" t="s">
        <v>80</v>
      </c>
      <c r="H9" s="32">
        <v>46</v>
      </c>
      <c r="J9" s="30">
        <v>45078</v>
      </c>
      <c r="K9" s="31">
        <v>1.5625</v>
      </c>
      <c r="L9" s="32" t="s">
        <v>77</v>
      </c>
      <c r="M9" s="32">
        <v>0</v>
      </c>
      <c r="N9" s="32" t="s">
        <v>78</v>
      </c>
      <c r="O9" s="32" t="s">
        <v>79</v>
      </c>
      <c r="P9" s="32" t="s">
        <v>81</v>
      </c>
      <c r="Q9" s="32">
        <v>46</v>
      </c>
    </row>
    <row r="10" spans="1:17" x14ac:dyDescent="0.3">
      <c r="A10" s="30">
        <v>45047</v>
      </c>
      <c r="B10" s="31">
        <v>1.67</v>
      </c>
      <c r="C10" s="32" t="s">
        <v>77</v>
      </c>
      <c r="D10" s="32">
        <v>-1.1834319526627211</v>
      </c>
      <c r="E10" s="32" t="s">
        <v>78</v>
      </c>
      <c r="F10" s="32" t="s">
        <v>79</v>
      </c>
      <c r="G10" s="32" t="s">
        <v>80</v>
      </c>
      <c r="H10" s="32">
        <v>46</v>
      </c>
      <c r="J10" s="30">
        <v>45047</v>
      </c>
      <c r="K10" s="31">
        <v>1.5625</v>
      </c>
      <c r="L10" s="32" t="s">
        <v>77</v>
      </c>
      <c r="M10" s="32">
        <v>-1.265822784810126</v>
      </c>
      <c r="N10" s="32" t="s">
        <v>78</v>
      </c>
      <c r="O10" s="32" t="s">
        <v>79</v>
      </c>
      <c r="P10" s="32" t="s">
        <v>81</v>
      </c>
      <c r="Q10" s="32">
        <v>46</v>
      </c>
    </row>
    <row r="11" spans="1:17" x14ac:dyDescent="0.3">
      <c r="A11" s="30">
        <v>45017</v>
      </c>
      <c r="B11" s="31">
        <v>1.68666666</v>
      </c>
      <c r="C11" s="32" t="s">
        <v>77</v>
      </c>
      <c r="D11" s="32">
        <v>-15.5</v>
      </c>
      <c r="E11" s="32" t="s">
        <v>78</v>
      </c>
      <c r="F11" s="32" t="s">
        <v>79</v>
      </c>
      <c r="G11" s="32" t="s">
        <v>80</v>
      </c>
      <c r="H11" s="32">
        <v>46</v>
      </c>
      <c r="J11" s="30">
        <v>45017</v>
      </c>
      <c r="K11" s="31">
        <v>1.5791666600000001</v>
      </c>
      <c r="L11" s="32" t="s">
        <v>77</v>
      </c>
      <c r="M11" s="32">
        <v>-16.402116402116402</v>
      </c>
      <c r="N11" s="32" t="s">
        <v>78</v>
      </c>
      <c r="O11" s="32" t="s">
        <v>79</v>
      </c>
      <c r="P11" s="32" t="s">
        <v>81</v>
      </c>
      <c r="Q11" s="32">
        <v>46</v>
      </c>
    </row>
    <row r="12" spans="1:17" x14ac:dyDescent="0.3">
      <c r="A12" s="30">
        <v>44986</v>
      </c>
      <c r="B12" s="31">
        <v>2.0021739099999998</v>
      </c>
      <c r="C12" s="32" t="s">
        <v>77</v>
      </c>
      <c r="D12" s="32">
        <v>-10.714285714285714</v>
      </c>
      <c r="E12" s="32" t="s">
        <v>78</v>
      </c>
      <c r="F12" s="32" t="s">
        <v>79</v>
      </c>
      <c r="G12" s="32" t="s">
        <v>80</v>
      </c>
      <c r="H12" s="32">
        <v>46</v>
      </c>
      <c r="J12" s="30">
        <v>44986</v>
      </c>
      <c r="K12" s="31">
        <v>1.8946739100000001</v>
      </c>
      <c r="L12" s="32" t="s">
        <v>77</v>
      </c>
      <c r="M12" s="32">
        <v>-11.267605633802816</v>
      </c>
      <c r="N12" s="32" t="s">
        <v>78</v>
      </c>
      <c r="O12" s="32" t="s">
        <v>79</v>
      </c>
      <c r="P12" s="32" t="s">
        <v>81</v>
      </c>
      <c r="Q12" s="32">
        <v>46</v>
      </c>
    </row>
    <row r="13" spans="1:17" x14ac:dyDescent="0.3">
      <c r="A13" s="30">
        <v>44958</v>
      </c>
      <c r="B13" s="31">
        <v>2.2421052600000002</v>
      </c>
      <c r="C13" s="32" t="s">
        <v>77</v>
      </c>
      <c r="D13" s="32">
        <v>-15.789473684210526</v>
      </c>
      <c r="E13" s="32" t="s">
        <v>78</v>
      </c>
      <c r="F13" s="32" t="s">
        <v>79</v>
      </c>
      <c r="G13" s="32" t="s">
        <v>80</v>
      </c>
      <c r="H13" s="32">
        <v>46</v>
      </c>
      <c r="J13" s="30">
        <v>44958</v>
      </c>
      <c r="K13" s="31">
        <v>2.1346052599999998</v>
      </c>
      <c r="L13" s="32" t="s">
        <v>77</v>
      </c>
      <c r="M13" s="32">
        <v>-16.796875</v>
      </c>
      <c r="N13" s="32" t="s">
        <v>78</v>
      </c>
      <c r="O13" s="32" t="s">
        <v>79</v>
      </c>
      <c r="P13" s="32" t="s">
        <v>81</v>
      </c>
      <c r="Q13" s="32">
        <v>46</v>
      </c>
    </row>
    <row r="14" spans="1:17" x14ac:dyDescent="0.3">
      <c r="A14" s="30">
        <v>44927</v>
      </c>
      <c r="B14" s="31">
        <v>2.6636363599999999</v>
      </c>
      <c r="C14" s="32" t="s">
        <v>77</v>
      </c>
      <c r="D14" s="32">
        <v>-5</v>
      </c>
      <c r="E14" s="32" t="s">
        <v>78</v>
      </c>
      <c r="F14" s="32" t="s">
        <v>79</v>
      </c>
      <c r="G14" s="32" t="s">
        <v>80</v>
      </c>
      <c r="H14" s="32">
        <v>46</v>
      </c>
      <c r="J14" s="30">
        <v>44927</v>
      </c>
      <c r="K14" s="31">
        <v>2.55613636</v>
      </c>
      <c r="L14" s="32" t="s">
        <v>77</v>
      </c>
      <c r="M14" s="32">
        <v>-4.8327137546468402</v>
      </c>
      <c r="N14" s="32" t="s">
        <v>78</v>
      </c>
      <c r="O14" s="32" t="s">
        <v>79</v>
      </c>
      <c r="P14" s="32" t="s">
        <v>81</v>
      </c>
      <c r="Q14" s="32">
        <v>46</v>
      </c>
    </row>
    <row r="15" spans="1:17" x14ac:dyDescent="0.3">
      <c r="A15" s="30">
        <v>44896</v>
      </c>
      <c r="B15" s="31">
        <v>2.8</v>
      </c>
      <c r="C15" s="32" t="s">
        <v>77</v>
      </c>
      <c r="D15" s="32">
        <v>-3.4482758620689649</v>
      </c>
      <c r="E15" s="32" t="s">
        <v>78</v>
      </c>
      <c r="F15" s="32" t="s">
        <v>79</v>
      </c>
      <c r="G15" s="32" t="s">
        <v>80</v>
      </c>
      <c r="H15" s="32">
        <v>46</v>
      </c>
      <c r="J15" s="30">
        <v>44896</v>
      </c>
      <c r="K15" s="31">
        <v>2.6924999999999999</v>
      </c>
      <c r="L15" s="32" t="s">
        <v>77</v>
      </c>
      <c r="M15" s="32">
        <v>-3.5842293906810032</v>
      </c>
      <c r="N15" s="32" t="s">
        <v>78</v>
      </c>
      <c r="O15" s="32" t="s">
        <v>79</v>
      </c>
      <c r="P15" s="32" t="s">
        <v>81</v>
      </c>
      <c r="Q15" s="32">
        <v>46</v>
      </c>
    </row>
    <row r="16" spans="1:17" x14ac:dyDescent="0.3">
      <c r="A16" s="30">
        <v>44866</v>
      </c>
      <c r="B16" s="31">
        <v>2.9</v>
      </c>
      <c r="C16" s="32" t="s">
        <v>77</v>
      </c>
      <c r="D16" s="32">
        <v>-3.333333333333333</v>
      </c>
      <c r="E16" s="32" t="s">
        <v>78</v>
      </c>
      <c r="F16" s="32" t="s">
        <v>79</v>
      </c>
      <c r="G16" s="32" t="s">
        <v>80</v>
      </c>
      <c r="H16" s="32">
        <v>46</v>
      </c>
      <c r="J16" s="30">
        <v>44866</v>
      </c>
      <c r="K16" s="31">
        <v>2.7925</v>
      </c>
      <c r="L16" s="32" t="s">
        <v>77</v>
      </c>
      <c r="M16" s="32">
        <v>-3.4602076124567471</v>
      </c>
      <c r="N16" s="32" t="s">
        <v>78</v>
      </c>
      <c r="O16" s="32" t="s">
        <v>79</v>
      </c>
      <c r="P16" s="32" t="s">
        <v>81</v>
      </c>
      <c r="Q16" s="32">
        <v>46</v>
      </c>
    </row>
    <row r="17" spans="1:17" x14ac:dyDescent="0.3">
      <c r="A17" s="30">
        <v>44835</v>
      </c>
      <c r="B17" s="31">
        <v>3</v>
      </c>
      <c r="C17" s="32" t="s">
        <v>77</v>
      </c>
      <c r="D17" s="32">
        <v>0</v>
      </c>
      <c r="E17" s="32" t="s">
        <v>78</v>
      </c>
      <c r="F17" s="32" t="s">
        <v>79</v>
      </c>
      <c r="G17" s="32" t="s">
        <v>80</v>
      </c>
      <c r="H17" s="32">
        <v>46</v>
      </c>
      <c r="J17" s="30">
        <v>44835</v>
      </c>
      <c r="K17" s="31">
        <v>2.8925000000000001</v>
      </c>
      <c r="L17" s="32" t="s">
        <v>77</v>
      </c>
      <c r="M17" s="32">
        <v>0</v>
      </c>
      <c r="N17" s="32" t="s">
        <v>78</v>
      </c>
      <c r="O17" s="32" t="s">
        <v>79</v>
      </c>
      <c r="P17" s="32" t="s">
        <v>81</v>
      </c>
      <c r="Q17" s="32">
        <v>46</v>
      </c>
    </row>
    <row r="18" spans="1:17" x14ac:dyDescent="0.3">
      <c r="A18" s="30">
        <v>44805</v>
      </c>
      <c r="B18" s="31">
        <v>3</v>
      </c>
      <c r="C18" s="32" t="s">
        <v>77</v>
      </c>
      <c r="D18" s="32">
        <v>0</v>
      </c>
      <c r="E18" s="32" t="s">
        <v>78</v>
      </c>
      <c r="F18" s="32" t="s">
        <v>79</v>
      </c>
      <c r="G18" s="32" t="s">
        <v>80</v>
      </c>
      <c r="H18" s="32">
        <v>46</v>
      </c>
      <c r="J18" s="30">
        <v>44805</v>
      </c>
      <c r="K18" s="31">
        <v>2.8925000000000001</v>
      </c>
      <c r="L18" s="32" t="s">
        <v>77</v>
      </c>
      <c r="M18" s="32">
        <v>0</v>
      </c>
      <c r="N18" s="32" t="s">
        <v>78</v>
      </c>
      <c r="O18" s="32" t="s">
        <v>79</v>
      </c>
      <c r="P18" s="32" t="s">
        <v>81</v>
      </c>
      <c r="Q18" s="32">
        <v>46</v>
      </c>
    </row>
    <row r="19" spans="1:17" x14ac:dyDescent="0.3">
      <c r="A19" s="30">
        <v>44774</v>
      </c>
      <c r="B19" s="31">
        <v>3</v>
      </c>
      <c r="C19" s="32" t="s">
        <v>77</v>
      </c>
      <c r="D19" s="32">
        <v>0</v>
      </c>
      <c r="E19" s="32" t="s">
        <v>78</v>
      </c>
      <c r="F19" s="32" t="s">
        <v>79</v>
      </c>
      <c r="G19" s="32" t="s">
        <v>80</v>
      </c>
      <c r="H19" s="32">
        <v>46</v>
      </c>
      <c r="J19" s="30">
        <v>44774</v>
      </c>
      <c r="K19" s="31">
        <v>2.8925000000000001</v>
      </c>
      <c r="L19" s="32" t="s">
        <v>77</v>
      </c>
      <c r="M19" s="32">
        <v>0</v>
      </c>
      <c r="N19" s="32" t="s">
        <v>78</v>
      </c>
      <c r="O19" s="32" t="s">
        <v>79</v>
      </c>
      <c r="P19" s="32" t="s">
        <v>81</v>
      </c>
      <c r="Q19" s="32">
        <v>46</v>
      </c>
    </row>
    <row r="20" spans="1:17" x14ac:dyDescent="0.3">
      <c r="A20" s="30">
        <v>44743</v>
      </c>
      <c r="B20" s="31">
        <v>3</v>
      </c>
      <c r="C20" s="32" t="s">
        <v>77</v>
      </c>
      <c r="D20" s="32">
        <v>0</v>
      </c>
      <c r="E20" s="32" t="s">
        <v>78</v>
      </c>
      <c r="F20" s="32" t="s">
        <v>79</v>
      </c>
      <c r="G20" s="32" t="s">
        <v>80</v>
      </c>
      <c r="H20" s="32">
        <v>46</v>
      </c>
      <c r="J20" s="30">
        <v>44743</v>
      </c>
      <c r="K20" s="31">
        <v>2.8925000000000001</v>
      </c>
      <c r="L20" s="32" t="s">
        <v>77</v>
      </c>
      <c r="M20" s="32">
        <v>0</v>
      </c>
      <c r="N20" s="32" t="s">
        <v>78</v>
      </c>
      <c r="O20" s="32" t="s">
        <v>79</v>
      </c>
      <c r="P20" s="32" t="s">
        <v>81</v>
      </c>
      <c r="Q20" s="32">
        <v>46</v>
      </c>
    </row>
    <row r="21" spans="1:17" x14ac:dyDescent="0.3">
      <c r="A21" s="30">
        <v>44713</v>
      </c>
      <c r="B21" s="31">
        <v>3</v>
      </c>
      <c r="C21" s="32" t="s">
        <v>77</v>
      </c>
      <c r="D21" s="32">
        <v>0</v>
      </c>
      <c r="E21" s="32" t="s">
        <v>78</v>
      </c>
      <c r="F21" s="32" t="s">
        <v>79</v>
      </c>
      <c r="G21" s="32" t="s">
        <v>80</v>
      </c>
      <c r="H21" s="32">
        <v>46</v>
      </c>
      <c r="J21" s="30">
        <v>44713</v>
      </c>
      <c r="K21" s="31">
        <v>2.8925000000000001</v>
      </c>
      <c r="L21" s="32" t="s">
        <v>77</v>
      </c>
      <c r="M21" s="32">
        <v>0</v>
      </c>
      <c r="N21" s="32" t="s">
        <v>78</v>
      </c>
      <c r="O21" s="32" t="s">
        <v>79</v>
      </c>
      <c r="P21" s="32" t="s">
        <v>81</v>
      </c>
      <c r="Q21" s="32">
        <v>46</v>
      </c>
    </row>
    <row r="22" spans="1:17" x14ac:dyDescent="0.3">
      <c r="A22" s="30">
        <v>44682</v>
      </c>
      <c r="B22" s="31">
        <v>3</v>
      </c>
      <c r="C22" s="32" t="s">
        <v>77</v>
      </c>
      <c r="D22" s="32">
        <v>0</v>
      </c>
      <c r="E22" s="32" t="s">
        <v>78</v>
      </c>
      <c r="F22" s="32" t="s">
        <v>79</v>
      </c>
      <c r="G22" s="32" t="s">
        <v>80</v>
      </c>
      <c r="H22" s="32">
        <v>46</v>
      </c>
      <c r="J22" s="30">
        <v>44682</v>
      </c>
      <c r="K22" s="31">
        <v>2.8925000000000001</v>
      </c>
      <c r="L22" s="32" t="s">
        <v>77</v>
      </c>
      <c r="M22" s="32">
        <v>0</v>
      </c>
      <c r="N22" s="32" t="s">
        <v>78</v>
      </c>
      <c r="O22" s="32" t="s">
        <v>79</v>
      </c>
      <c r="P22" s="32" t="s">
        <v>81</v>
      </c>
      <c r="Q22" s="32">
        <v>46</v>
      </c>
    </row>
    <row r="23" spans="1:17" x14ac:dyDescent="0.3">
      <c r="A23" s="30">
        <v>44652</v>
      </c>
      <c r="B23" s="31">
        <v>3</v>
      </c>
      <c r="C23" s="32" t="s">
        <v>77</v>
      </c>
      <c r="D23" s="32">
        <v>0</v>
      </c>
      <c r="E23" s="32" t="s">
        <v>78</v>
      </c>
      <c r="F23" s="32" t="s">
        <v>79</v>
      </c>
      <c r="G23" s="32" t="s">
        <v>80</v>
      </c>
      <c r="H23" s="32">
        <v>46</v>
      </c>
      <c r="J23" s="30">
        <v>44652</v>
      </c>
      <c r="K23" s="31">
        <v>2.8925000000000001</v>
      </c>
      <c r="L23" s="32" t="s">
        <v>77</v>
      </c>
      <c r="M23" s="32">
        <v>0</v>
      </c>
      <c r="N23" s="32" t="s">
        <v>78</v>
      </c>
      <c r="O23" s="32" t="s">
        <v>79</v>
      </c>
      <c r="P23" s="32" t="s">
        <v>81</v>
      </c>
      <c r="Q23" s="32">
        <v>46</v>
      </c>
    </row>
    <row r="24" spans="1:17" x14ac:dyDescent="0.3">
      <c r="A24" s="30">
        <v>44621</v>
      </c>
      <c r="B24" s="31">
        <v>3</v>
      </c>
      <c r="C24" s="32" t="s">
        <v>77</v>
      </c>
      <c r="D24" s="32">
        <v>0</v>
      </c>
      <c r="E24" s="32" t="s">
        <v>78</v>
      </c>
      <c r="F24" s="32" t="s">
        <v>79</v>
      </c>
      <c r="G24" s="32" t="s">
        <v>80</v>
      </c>
      <c r="H24" s="32">
        <v>46</v>
      </c>
      <c r="J24" s="30">
        <v>44621</v>
      </c>
      <c r="K24" s="31">
        <v>2.8925000000000001</v>
      </c>
      <c r="L24" s="32" t="s">
        <v>77</v>
      </c>
      <c r="M24" s="32">
        <v>0</v>
      </c>
      <c r="N24" s="32" t="s">
        <v>78</v>
      </c>
      <c r="O24" s="32" t="s">
        <v>79</v>
      </c>
      <c r="P24" s="32" t="s">
        <v>81</v>
      </c>
      <c r="Q24" s="32">
        <v>46</v>
      </c>
    </row>
    <row r="25" spans="1:17" x14ac:dyDescent="0.3">
      <c r="A25" s="30">
        <v>44593</v>
      </c>
      <c r="B25" s="31">
        <v>3</v>
      </c>
      <c r="C25" s="32" t="s">
        <v>77</v>
      </c>
      <c r="D25" s="32">
        <v>1.6949152542372881</v>
      </c>
      <c r="E25" s="32" t="s">
        <v>78</v>
      </c>
      <c r="F25" s="32" t="s">
        <v>79</v>
      </c>
      <c r="G25" s="32" t="s">
        <v>80</v>
      </c>
      <c r="H25" s="32">
        <v>46</v>
      </c>
      <c r="J25" s="30">
        <v>44593</v>
      </c>
      <c r="K25" s="31">
        <v>2.8925000000000001</v>
      </c>
      <c r="L25" s="32" t="s">
        <v>77</v>
      </c>
      <c r="M25" s="32">
        <v>1.76056338028169</v>
      </c>
      <c r="N25" s="32" t="s">
        <v>78</v>
      </c>
      <c r="O25" s="32" t="s">
        <v>79</v>
      </c>
      <c r="P25" s="32" t="s">
        <v>81</v>
      </c>
      <c r="Q25" s="32">
        <v>46</v>
      </c>
    </row>
    <row r="26" spans="1:17" x14ac:dyDescent="0.3">
      <c r="A26" s="30">
        <v>44562</v>
      </c>
      <c r="B26" s="31">
        <v>2.9476190400000002</v>
      </c>
      <c r="C26" s="32" t="s">
        <v>77</v>
      </c>
      <c r="D26" s="32">
        <v>2.4305555555555549</v>
      </c>
      <c r="E26" s="32" t="s">
        <v>78</v>
      </c>
      <c r="F26" s="32" t="s">
        <v>79</v>
      </c>
      <c r="G26" s="32" t="s">
        <v>80</v>
      </c>
      <c r="H26" s="32">
        <v>46</v>
      </c>
      <c r="J26" s="30">
        <v>44562</v>
      </c>
      <c r="K26" s="31">
        <v>2.8401190399999998</v>
      </c>
      <c r="L26" s="32" t="s">
        <v>77</v>
      </c>
      <c r="M26" s="32">
        <v>2.5270758122743682</v>
      </c>
      <c r="N26" s="32" t="s">
        <v>78</v>
      </c>
      <c r="O26" s="32" t="s">
        <v>79</v>
      </c>
      <c r="P26" s="32" t="s">
        <v>81</v>
      </c>
      <c r="Q26" s="32">
        <v>46</v>
      </c>
    </row>
    <row r="27" spans="1:17" x14ac:dyDescent="0.3">
      <c r="A27" s="30">
        <v>44531</v>
      </c>
      <c r="B27" s="31">
        <v>2.8782608600000001</v>
      </c>
      <c r="C27" s="32" t="s">
        <v>77</v>
      </c>
      <c r="D27" s="32">
        <v>21.008403361344534</v>
      </c>
      <c r="E27" s="32" t="s">
        <v>78</v>
      </c>
      <c r="F27" s="32" t="s">
        <v>79</v>
      </c>
      <c r="G27" s="32" t="s">
        <v>80</v>
      </c>
      <c r="H27" s="32">
        <v>46</v>
      </c>
      <c r="J27" s="30">
        <v>44531</v>
      </c>
      <c r="K27" s="31">
        <v>2.7716304300000001</v>
      </c>
      <c r="L27" s="32" t="s">
        <v>77</v>
      </c>
      <c r="M27" s="32">
        <v>21.491228070175438</v>
      </c>
      <c r="N27" s="32" t="s">
        <v>78</v>
      </c>
      <c r="O27" s="32" t="s">
        <v>79</v>
      </c>
      <c r="P27" s="32" t="s">
        <v>81</v>
      </c>
      <c r="Q27" s="32">
        <v>46</v>
      </c>
    </row>
    <row r="28" spans="1:17" x14ac:dyDescent="0.3">
      <c r="A28" s="30">
        <v>44501</v>
      </c>
      <c r="B28" s="31">
        <v>2.3818181799999998</v>
      </c>
      <c r="C28" s="32" t="s">
        <v>77</v>
      </c>
      <c r="D28" s="32">
        <v>27.956989247311828</v>
      </c>
      <c r="E28" s="32" t="s">
        <v>78</v>
      </c>
      <c r="F28" s="32" t="s">
        <v>79</v>
      </c>
      <c r="G28" s="32" t="s">
        <v>80</v>
      </c>
      <c r="H28" s="32">
        <v>46</v>
      </c>
      <c r="J28" s="30">
        <v>44501</v>
      </c>
      <c r="K28" s="31">
        <v>2.2843181800000001</v>
      </c>
      <c r="L28" s="32" t="s">
        <v>77</v>
      </c>
      <c r="M28" s="32">
        <v>29.545454545454543</v>
      </c>
      <c r="N28" s="32" t="s">
        <v>78</v>
      </c>
      <c r="O28" s="32" t="s">
        <v>79</v>
      </c>
      <c r="P28" s="32" t="s">
        <v>81</v>
      </c>
      <c r="Q28" s="32">
        <v>46</v>
      </c>
    </row>
    <row r="29" spans="1:17" x14ac:dyDescent="0.3">
      <c r="A29" s="30">
        <v>44470</v>
      </c>
      <c r="B29" s="31">
        <v>1.86047619</v>
      </c>
      <c r="C29" s="32" t="s">
        <v>77</v>
      </c>
      <c r="D29" s="32">
        <v>12.727272727272728</v>
      </c>
      <c r="E29" s="32" t="s">
        <v>78</v>
      </c>
      <c r="F29" s="32" t="s">
        <v>79</v>
      </c>
      <c r="G29" s="32" t="s">
        <v>80</v>
      </c>
      <c r="H29" s="32">
        <v>46</v>
      </c>
      <c r="J29" s="30">
        <v>44470</v>
      </c>
      <c r="K29" s="31">
        <v>1.7629761900000001</v>
      </c>
      <c r="L29" s="32" t="s">
        <v>77</v>
      </c>
      <c r="M29" s="32">
        <v>14.285714285714285</v>
      </c>
      <c r="N29" s="32" t="s">
        <v>78</v>
      </c>
      <c r="O29" s="32" t="s">
        <v>79</v>
      </c>
      <c r="P29" s="32" t="s">
        <v>81</v>
      </c>
      <c r="Q29" s="32">
        <v>46</v>
      </c>
    </row>
    <row r="30" spans="1:17" x14ac:dyDescent="0.3">
      <c r="A30" s="30">
        <v>44440</v>
      </c>
      <c r="B30" s="31">
        <v>1.65272727</v>
      </c>
      <c r="C30" s="32" t="s">
        <v>77</v>
      </c>
      <c r="D30" s="32">
        <v>7.8431372549019596</v>
      </c>
      <c r="E30" s="32" t="s">
        <v>78</v>
      </c>
      <c r="F30" s="32" t="s">
        <v>79</v>
      </c>
      <c r="G30" s="32" t="s">
        <v>80</v>
      </c>
      <c r="H30" s="32">
        <v>46</v>
      </c>
      <c r="J30" s="30">
        <v>44440</v>
      </c>
      <c r="K30" s="31">
        <v>1.5375000000000001</v>
      </c>
      <c r="L30" s="32" t="s">
        <v>77</v>
      </c>
      <c r="M30" s="32">
        <v>10</v>
      </c>
      <c r="N30" s="32" t="s">
        <v>78</v>
      </c>
      <c r="O30" s="32" t="s">
        <v>79</v>
      </c>
      <c r="P30" s="32" t="s">
        <v>81</v>
      </c>
      <c r="Q30" s="32">
        <v>46</v>
      </c>
    </row>
    <row r="31" spans="1:17" x14ac:dyDescent="0.3">
      <c r="A31" s="30">
        <v>44409</v>
      </c>
      <c r="B31" s="31">
        <v>1.53</v>
      </c>
      <c r="C31" s="32" t="s">
        <v>77</v>
      </c>
      <c r="D31" s="32">
        <v>2.684563758389261</v>
      </c>
      <c r="E31" s="32" t="s">
        <v>78</v>
      </c>
      <c r="F31" s="32" t="s">
        <v>79</v>
      </c>
      <c r="G31" s="32" t="s">
        <v>80</v>
      </c>
      <c r="H31" s="32">
        <v>46</v>
      </c>
      <c r="J31" s="30">
        <v>44409</v>
      </c>
      <c r="K31" s="31">
        <v>1.4025000000000001</v>
      </c>
      <c r="L31" s="32" t="s">
        <v>77</v>
      </c>
      <c r="M31" s="32">
        <v>2.9411764705882351</v>
      </c>
      <c r="N31" s="32" t="s">
        <v>78</v>
      </c>
      <c r="O31" s="32" t="s">
        <v>79</v>
      </c>
      <c r="P31" s="32" t="s">
        <v>81</v>
      </c>
      <c r="Q31" s="32">
        <v>46</v>
      </c>
    </row>
    <row r="32" spans="1:17" x14ac:dyDescent="0.3">
      <c r="A32" s="30">
        <v>44378</v>
      </c>
      <c r="B32" s="31">
        <v>1.4890909000000001</v>
      </c>
      <c r="C32" s="32" t="s">
        <v>77</v>
      </c>
      <c r="D32" s="32">
        <v>4.1958041958041949</v>
      </c>
      <c r="E32" s="32" t="s">
        <v>78</v>
      </c>
      <c r="F32" s="32" t="s">
        <v>79</v>
      </c>
      <c r="G32" s="32" t="s">
        <v>80</v>
      </c>
      <c r="H32" s="32">
        <v>46</v>
      </c>
      <c r="J32" s="30">
        <v>44378</v>
      </c>
      <c r="K32" s="31">
        <v>1.3615908999999999</v>
      </c>
      <c r="L32" s="32" t="s">
        <v>77</v>
      </c>
      <c r="M32" s="32">
        <v>4.615384615384615</v>
      </c>
      <c r="N32" s="32" t="s">
        <v>78</v>
      </c>
      <c r="O32" s="32" t="s">
        <v>79</v>
      </c>
      <c r="P32" s="32" t="s">
        <v>81</v>
      </c>
      <c r="Q32" s="32">
        <v>46</v>
      </c>
    </row>
    <row r="33" spans="1:17" x14ac:dyDescent="0.3">
      <c r="A33" s="30">
        <v>44348</v>
      </c>
      <c r="B33" s="31">
        <v>1.43</v>
      </c>
      <c r="C33" s="32" t="s">
        <v>77</v>
      </c>
      <c r="D33" s="32">
        <v>0</v>
      </c>
      <c r="E33" s="32" t="s">
        <v>78</v>
      </c>
      <c r="F33" s="32" t="s">
        <v>79</v>
      </c>
      <c r="G33" s="32" t="s">
        <v>80</v>
      </c>
      <c r="H33" s="32">
        <v>46</v>
      </c>
      <c r="J33" s="30">
        <v>44348</v>
      </c>
      <c r="K33" s="31">
        <v>1.3025</v>
      </c>
      <c r="L33" s="32" t="s">
        <v>77</v>
      </c>
      <c r="M33" s="32">
        <v>0</v>
      </c>
      <c r="N33" s="32" t="s">
        <v>78</v>
      </c>
      <c r="O33" s="32" t="s">
        <v>79</v>
      </c>
      <c r="P33" s="32" t="s">
        <v>81</v>
      </c>
      <c r="Q33" s="32">
        <v>46</v>
      </c>
    </row>
    <row r="34" spans="1:17" x14ac:dyDescent="0.3">
      <c r="A34" s="30">
        <v>44317</v>
      </c>
      <c r="B34" s="31">
        <v>1.43</v>
      </c>
      <c r="C34" s="32" t="s">
        <v>77</v>
      </c>
      <c r="D34" s="32">
        <v>2.8776978417266181</v>
      </c>
      <c r="E34" s="32" t="s">
        <v>78</v>
      </c>
      <c r="F34" s="32" t="s">
        <v>79</v>
      </c>
      <c r="G34" s="32" t="s">
        <v>80</v>
      </c>
      <c r="H34" s="32">
        <v>46</v>
      </c>
      <c r="J34" s="30">
        <v>44317</v>
      </c>
      <c r="K34" s="31">
        <v>1.3025</v>
      </c>
      <c r="L34" s="32" t="s">
        <v>77</v>
      </c>
      <c r="M34" s="32">
        <v>2.3622047244094482</v>
      </c>
      <c r="N34" s="32" t="s">
        <v>78</v>
      </c>
      <c r="O34" s="32" t="s">
        <v>79</v>
      </c>
      <c r="P34" s="32" t="s">
        <v>81</v>
      </c>
      <c r="Q34" s="32">
        <v>46</v>
      </c>
    </row>
    <row r="35" spans="1:17" x14ac:dyDescent="0.3">
      <c r="A35" s="30">
        <v>44287</v>
      </c>
      <c r="B35" s="31">
        <v>1.39</v>
      </c>
      <c r="C35" s="32" t="s">
        <v>77</v>
      </c>
      <c r="D35" s="32">
        <v>0</v>
      </c>
      <c r="E35" s="32" t="s">
        <v>78</v>
      </c>
      <c r="F35" s="32" t="s">
        <v>79</v>
      </c>
      <c r="G35" s="32" t="s">
        <v>80</v>
      </c>
      <c r="H35" s="32">
        <v>46</v>
      </c>
      <c r="J35" s="30">
        <v>44287</v>
      </c>
      <c r="K35" s="31">
        <v>1.2725</v>
      </c>
      <c r="L35" s="32" t="s">
        <v>77</v>
      </c>
      <c r="M35" s="32">
        <v>0</v>
      </c>
      <c r="N35" s="32" t="s">
        <v>78</v>
      </c>
      <c r="O35" s="32" t="s">
        <v>79</v>
      </c>
      <c r="P35" s="32" t="s">
        <v>81</v>
      </c>
      <c r="Q35" s="32">
        <v>46</v>
      </c>
    </row>
    <row r="36" spans="1:17" x14ac:dyDescent="0.3">
      <c r="A36" s="30">
        <v>44256</v>
      </c>
      <c r="B36" s="31">
        <v>1.39</v>
      </c>
      <c r="C36" s="32" t="s">
        <v>77</v>
      </c>
      <c r="D36" s="32">
        <v>5.3030303030303028</v>
      </c>
      <c r="E36" s="32" t="s">
        <v>78</v>
      </c>
      <c r="F36" s="32" t="s">
        <v>79</v>
      </c>
      <c r="G36" s="32" t="s">
        <v>80</v>
      </c>
      <c r="H36" s="32">
        <v>46</v>
      </c>
      <c r="J36" s="30">
        <v>44256</v>
      </c>
      <c r="K36" s="31">
        <v>1.2725</v>
      </c>
      <c r="L36" s="32" t="s">
        <v>77</v>
      </c>
      <c r="M36" s="32">
        <v>5.833333333333333</v>
      </c>
      <c r="N36" s="32" t="s">
        <v>78</v>
      </c>
      <c r="O36" s="32" t="s">
        <v>79</v>
      </c>
      <c r="P36" s="32" t="s">
        <v>81</v>
      </c>
      <c r="Q36" s="32">
        <v>46</v>
      </c>
    </row>
    <row r="37" spans="1:17" x14ac:dyDescent="0.3">
      <c r="A37" s="30">
        <v>44228</v>
      </c>
      <c r="B37" s="31">
        <v>1.319</v>
      </c>
      <c r="C37" s="32" t="s">
        <v>77</v>
      </c>
      <c r="D37" s="32">
        <v>14.782608695652172</v>
      </c>
      <c r="E37" s="32" t="s">
        <v>78</v>
      </c>
      <c r="F37" s="32" t="s">
        <v>79</v>
      </c>
      <c r="G37" s="32" t="s">
        <v>80</v>
      </c>
      <c r="H37" s="32">
        <v>46</v>
      </c>
      <c r="J37" s="30">
        <v>44228</v>
      </c>
      <c r="K37" s="31">
        <v>1.1964999999999999</v>
      </c>
      <c r="L37" s="32" t="s">
        <v>77</v>
      </c>
      <c r="M37" s="32">
        <v>15.384615384615383</v>
      </c>
      <c r="N37" s="32" t="s">
        <v>78</v>
      </c>
      <c r="O37" s="32" t="s">
        <v>79</v>
      </c>
      <c r="P37" s="32" t="s">
        <v>81</v>
      </c>
      <c r="Q37" s="32">
        <v>46</v>
      </c>
    </row>
    <row r="38" spans="1:17" x14ac:dyDescent="0.3">
      <c r="A38" s="30">
        <v>44197</v>
      </c>
      <c r="B38" s="31">
        <v>1.1542857099999999</v>
      </c>
      <c r="C38" s="32" t="s">
        <v>77</v>
      </c>
      <c r="D38" s="32">
        <v>2.6785714285714279</v>
      </c>
      <c r="E38" s="32" t="s">
        <v>78</v>
      </c>
      <c r="F38" s="32" t="s">
        <v>79</v>
      </c>
      <c r="G38" s="32" t="s">
        <v>80</v>
      </c>
      <c r="H38" s="32">
        <v>46</v>
      </c>
      <c r="J38" s="30">
        <v>44197</v>
      </c>
      <c r="K38" s="31">
        <v>1.03678571</v>
      </c>
      <c r="L38" s="32" t="s">
        <v>77</v>
      </c>
      <c r="M38" s="32">
        <v>4</v>
      </c>
      <c r="N38" s="32" t="s">
        <v>78</v>
      </c>
      <c r="O38" s="32" t="s">
        <v>79</v>
      </c>
      <c r="P38" s="32" t="s">
        <v>81</v>
      </c>
      <c r="Q38" s="32">
        <v>46</v>
      </c>
    </row>
    <row r="39" spans="1:17" x14ac:dyDescent="0.3">
      <c r="A39" s="30">
        <v>44166</v>
      </c>
      <c r="B39" s="31">
        <v>1.12086956</v>
      </c>
      <c r="C39" s="32" t="s">
        <v>77</v>
      </c>
      <c r="D39" s="32">
        <v>1.8181818181818179</v>
      </c>
      <c r="E39" s="32" t="s">
        <v>78</v>
      </c>
      <c r="F39" s="32" t="s">
        <v>79</v>
      </c>
      <c r="G39" s="32" t="s">
        <v>80</v>
      </c>
      <c r="H39" s="32">
        <v>46</v>
      </c>
      <c r="J39" s="30">
        <v>44166</v>
      </c>
      <c r="K39" s="31">
        <v>1.0033695600000001</v>
      </c>
      <c r="L39" s="32" t="s">
        <v>77</v>
      </c>
      <c r="M39" s="32">
        <v>2.0408163265306118</v>
      </c>
      <c r="N39" s="32" t="s">
        <v>78</v>
      </c>
      <c r="O39" s="32" t="s">
        <v>79</v>
      </c>
      <c r="P39" s="32" t="s">
        <v>81</v>
      </c>
      <c r="Q39" s="32">
        <v>46</v>
      </c>
    </row>
    <row r="40" spans="1:17" x14ac:dyDescent="0.3">
      <c r="A40" s="30">
        <v>44136</v>
      </c>
      <c r="B40" s="31">
        <v>1.1000000000000001</v>
      </c>
      <c r="C40" s="32" t="s">
        <v>77</v>
      </c>
      <c r="D40" s="32">
        <v>0</v>
      </c>
      <c r="E40" s="32" t="s">
        <v>78</v>
      </c>
      <c r="F40" s="32" t="s">
        <v>79</v>
      </c>
      <c r="G40" s="32" t="s">
        <v>80</v>
      </c>
      <c r="H40" s="32">
        <v>46</v>
      </c>
      <c r="J40" s="30">
        <v>44136</v>
      </c>
      <c r="K40" s="31">
        <v>0.98250000000000004</v>
      </c>
      <c r="L40" s="32" t="s">
        <v>77</v>
      </c>
      <c r="M40" s="32">
        <v>0</v>
      </c>
      <c r="N40" s="32" t="s">
        <v>78</v>
      </c>
      <c r="O40" s="32" t="s">
        <v>79</v>
      </c>
      <c r="P40" s="32" t="s">
        <v>81</v>
      </c>
      <c r="Q40" s="32">
        <v>46</v>
      </c>
    </row>
    <row r="41" spans="1:17" x14ac:dyDescent="0.3">
      <c r="A41" s="30">
        <v>44105</v>
      </c>
      <c r="B41" s="31">
        <v>1.1000000000000001</v>
      </c>
      <c r="C41" s="32" t="s">
        <v>77</v>
      </c>
      <c r="D41" s="32">
        <v>0</v>
      </c>
      <c r="E41" s="32" t="s">
        <v>78</v>
      </c>
      <c r="F41" s="32" t="s">
        <v>79</v>
      </c>
      <c r="G41" s="32" t="s">
        <v>80</v>
      </c>
      <c r="H41" s="32">
        <v>46</v>
      </c>
      <c r="J41" s="30">
        <v>44105</v>
      </c>
      <c r="K41" s="31">
        <v>0.98250000000000004</v>
      </c>
      <c r="L41" s="32" t="s">
        <v>77</v>
      </c>
      <c r="M41" s="32">
        <v>0</v>
      </c>
      <c r="N41" s="32" t="s">
        <v>78</v>
      </c>
      <c r="O41" s="32" t="s">
        <v>79</v>
      </c>
      <c r="P41" s="32" t="s">
        <v>81</v>
      </c>
      <c r="Q41" s="32">
        <v>46</v>
      </c>
    </row>
    <row r="42" spans="1:17" x14ac:dyDescent="0.3">
      <c r="A42" s="30">
        <v>44075</v>
      </c>
      <c r="B42" s="31">
        <v>1.1000000000000001</v>
      </c>
      <c r="C42" s="32" t="s">
        <v>77</v>
      </c>
      <c r="D42" s="32">
        <v>0</v>
      </c>
      <c r="E42" s="32" t="s">
        <v>78</v>
      </c>
      <c r="F42" s="32" t="s">
        <v>79</v>
      </c>
      <c r="G42" s="32" t="s">
        <v>80</v>
      </c>
      <c r="H42" s="32">
        <v>46</v>
      </c>
      <c r="J42" s="30">
        <v>44075</v>
      </c>
      <c r="K42" s="31">
        <v>0.98250000000000004</v>
      </c>
      <c r="L42" s="32" t="s">
        <v>77</v>
      </c>
      <c r="M42" s="32">
        <v>0</v>
      </c>
      <c r="N42" s="32" t="s">
        <v>78</v>
      </c>
      <c r="O42" s="32" t="s">
        <v>79</v>
      </c>
      <c r="P42" s="32" t="s">
        <v>81</v>
      </c>
      <c r="Q42" s="32">
        <v>46</v>
      </c>
    </row>
    <row r="43" spans="1:17" x14ac:dyDescent="0.3">
      <c r="A43" s="30">
        <v>44044</v>
      </c>
      <c r="B43" s="31">
        <v>1.1000000000000001</v>
      </c>
      <c r="C43" s="32" t="s">
        <v>77</v>
      </c>
      <c r="D43" s="32">
        <v>0</v>
      </c>
      <c r="E43" s="32" t="s">
        <v>78</v>
      </c>
      <c r="F43" s="32" t="s">
        <v>79</v>
      </c>
      <c r="G43" s="32" t="s">
        <v>80</v>
      </c>
      <c r="H43" s="32">
        <v>46</v>
      </c>
      <c r="J43" s="30">
        <v>44044</v>
      </c>
      <c r="K43" s="31">
        <v>0.98250000000000004</v>
      </c>
      <c r="L43" s="32" t="s">
        <v>77</v>
      </c>
      <c r="M43" s="32">
        <v>0</v>
      </c>
      <c r="N43" s="32" t="s">
        <v>78</v>
      </c>
      <c r="O43" s="32" t="s">
        <v>79</v>
      </c>
      <c r="P43" s="32" t="s">
        <v>81</v>
      </c>
      <c r="Q43" s="32">
        <v>46</v>
      </c>
    </row>
    <row r="44" spans="1:17" x14ac:dyDescent="0.3">
      <c r="A44" s="30">
        <v>44013</v>
      </c>
      <c r="B44" s="31">
        <v>1.1000000000000001</v>
      </c>
      <c r="C44" s="32" t="s">
        <v>77</v>
      </c>
      <c r="D44" s="32">
        <v>0</v>
      </c>
      <c r="E44" s="32" t="s">
        <v>78</v>
      </c>
      <c r="F44" s="32" t="s">
        <v>79</v>
      </c>
      <c r="G44" s="32" t="s">
        <v>80</v>
      </c>
      <c r="H44" s="32">
        <v>46</v>
      </c>
      <c r="J44" s="30">
        <v>44013</v>
      </c>
      <c r="K44" s="31">
        <v>0.98250000000000004</v>
      </c>
      <c r="L44" s="32" t="s">
        <v>77</v>
      </c>
      <c r="M44" s="32">
        <v>0</v>
      </c>
      <c r="N44" s="32" t="s">
        <v>78</v>
      </c>
      <c r="O44" s="32" t="s">
        <v>79</v>
      </c>
      <c r="P44" s="32" t="s">
        <v>81</v>
      </c>
      <c r="Q44" s="32">
        <v>46</v>
      </c>
    </row>
    <row r="45" spans="1:17" x14ac:dyDescent="0.3">
      <c r="A45" s="30">
        <v>43983</v>
      </c>
      <c r="B45" s="31">
        <v>1.1000000000000001</v>
      </c>
      <c r="C45" s="32" t="s">
        <v>77</v>
      </c>
      <c r="D45" s="32">
        <v>0</v>
      </c>
      <c r="E45" s="32" t="s">
        <v>78</v>
      </c>
      <c r="F45" s="32" t="s">
        <v>79</v>
      </c>
      <c r="G45" s="32" t="s">
        <v>80</v>
      </c>
      <c r="H45" s="32">
        <v>46</v>
      </c>
      <c r="J45" s="30">
        <v>43983</v>
      </c>
      <c r="K45" s="31">
        <v>0.98250000000000004</v>
      </c>
      <c r="L45" s="32" t="s">
        <v>77</v>
      </c>
      <c r="M45" s="32">
        <v>0</v>
      </c>
      <c r="N45" s="32" t="s">
        <v>78</v>
      </c>
      <c r="O45" s="32" t="s">
        <v>79</v>
      </c>
      <c r="P45" s="32" t="s">
        <v>81</v>
      </c>
      <c r="Q45" s="32">
        <v>46</v>
      </c>
    </row>
    <row r="46" spans="1:17" x14ac:dyDescent="0.3">
      <c r="A46" s="30">
        <v>43952</v>
      </c>
      <c r="B46" s="31">
        <v>1.1000000000000001</v>
      </c>
      <c r="C46" s="32" t="s">
        <v>77</v>
      </c>
      <c r="D46" s="32">
        <v>0</v>
      </c>
      <c r="E46" s="32" t="s">
        <v>78</v>
      </c>
      <c r="F46" s="32" t="s">
        <v>79</v>
      </c>
      <c r="G46" s="32" t="s">
        <v>80</v>
      </c>
      <c r="H46" s="32">
        <v>46</v>
      </c>
      <c r="J46" s="30">
        <v>43952</v>
      </c>
      <c r="K46" s="31">
        <v>0.98250000000000004</v>
      </c>
      <c r="L46" s="32" t="s">
        <v>77</v>
      </c>
      <c r="M46" s="32">
        <v>0</v>
      </c>
      <c r="N46" s="32" t="s">
        <v>78</v>
      </c>
      <c r="O46" s="32" t="s">
        <v>79</v>
      </c>
      <c r="P46" s="32" t="s">
        <v>81</v>
      </c>
      <c r="Q46" s="32">
        <v>46</v>
      </c>
    </row>
    <row r="47" spans="1:17" x14ac:dyDescent="0.3">
      <c r="A47" s="30">
        <v>43922</v>
      </c>
      <c r="B47" s="31">
        <v>1.1000000000000001</v>
      </c>
      <c r="C47" s="32" t="s">
        <v>77</v>
      </c>
      <c r="D47" s="32">
        <v>0</v>
      </c>
      <c r="E47" s="32" t="s">
        <v>78</v>
      </c>
      <c r="F47" s="32" t="s">
        <v>79</v>
      </c>
      <c r="G47" s="32" t="s">
        <v>80</v>
      </c>
      <c r="H47" s="32">
        <v>46</v>
      </c>
      <c r="J47" s="30">
        <v>43922</v>
      </c>
      <c r="K47" s="31">
        <v>0.98250000000000004</v>
      </c>
      <c r="L47" s="32" t="s">
        <v>77</v>
      </c>
      <c r="M47" s="32">
        <v>0</v>
      </c>
      <c r="N47" s="32" t="s">
        <v>78</v>
      </c>
      <c r="O47" s="32" t="s">
        <v>79</v>
      </c>
      <c r="P47" s="32" t="s">
        <v>81</v>
      </c>
      <c r="Q47" s="32">
        <v>46</v>
      </c>
    </row>
    <row r="48" spans="1:17" x14ac:dyDescent="0.3">
      <c r="A48" s="30">
        <v>43891</v>
      </c>
      <c r="B48" s="31">
        <v>1.1000000000000001</v>
      </c>
      <c r="C48" s="32" t="s">
        <v>77</v>
      </c>
      <c r="D48" s="32">
        <v>0</v>
      </c>
      <c r="E48" s="32" t="s">
        <v>78</v>
      </c>
      <c r="F48" s="32" t="s">
        <v>79</v>
      </c>
      <c r="G48" s="32" t="s">
        <v>80</v>
      </c>
      <c r="H48" s="32">
        <v>46</v>
      </c>
      <c r="J48" s="30">
        <v>43891</v>
      </c>
      <c r="K48" s="31">
        <v>0.98250000000000004</v>
      </c>
      <c r="L48" s="32" t="s">
        <v>77</v>
      </c>
      <c r="M48" s="32">
        <v>0</v>
      </c>
      <c r="N48" s="32" t="s">
        <v>78</v>
      </c>
      <c r="O48" s="32" t="s">
        <v>79</v>
      </c>
      <c r="P48" s="32" t="s">
        <v>81</v>
      </c>
      <c r="Q48" s="32">
        <v>46</v>
      </c>
    </row>
    <row r="49" spans="1:17" x14ac:dyDescent="0.3">
      <c r="A49" s="30">
        <v>43862</v>
      </c>
      <c r="B49" s="31">
        <v>1.1000000000000001</v>
      </c>
      <c r="C49" s="32" t="s">
        <v>77</v>
      </c>
      <c r="D49" s="32">
        <v>0</v>
      </c>
      <c r="E49" s="32" t="s">
        <v>78</v>
      </c>
      <c r="F49" s="32" t="s">
        <v>79</v>
      </c>
      <c r="G49" s="32" t="s">
        <v>80</v>
      </c>
      <c r="H49" s="32">
        <v>46</v>
      </c>
      <c r="J49" s="30">
        <v>43862</v>
      </c>
      <c r="K49" s="31">
        <v>0.98250000000000004</v>
      </c>
      <c r="L49" s="32" t="s">
        <v>77</v>
      </c>
      <c r="M49" s="32">
        <v>0</v>
      </c>
      <c r="N49" s="32" t="s">
        <v>78</v>
      </c>
      <c r="O49" s="32" t="s">
        <v>79</v>
      </c>
      <c r="P49" s="32" t="s">
        <v>81</v>
      </c>
      <c r="Q49" s="32">
        <v>46</v>
      </c>
    </row>
    <row r="50" spans="1:17" x14ac:dyDescent="0.3">
      <c r="A50" s="30">
        <v>43831</v>
      </c>
      <c r="B50" s="31">
        <v>1.1000000000000001</v>
      </c>
      <c r="C50" s="32" t="s">
        <v>77</v>
      </c>
      <c r="D50" s="32">
        <v>-2.6548672566371678</v>
      </c>
      <c r="E50" s="32" t="s">
        <v>78</v>
      </c>
      <c r="F50" s="32" t="s">
        <v>79</v>
      </c>
      <c r="G50" s="32" t="s">
        <v>80</v>
      </c>
      <c r="H50" s="32">
        <v>46</v>
      </c>
      <c r="J50" s="30">
        <v>43831</v>
      </c>
      <c r="K50" s="31">
        <v>0.98250000000000004</v>
      </c>
      <c r="L50" s="32" t="s">
        <v>77</v>
      </c>
      <c r="M50" s="32">
        <v>0</v>
      </c>
      <c r="N50" s="32" t="s">
        <v>78</v>
      </c>
      <c r="O50" s="32" t="s">
        <v>79</v>
      </c>
      <c r="P50" s="32" t="s">
        <v>81</v>
      </c>
      <c r="Q50" s="32">
        <v>46</v>
      </c>
    </row>
    <row r="51" spans="1:17" x14ac:dyDescent="0.3">
      <c r="A51" s="30">
        <v>43800</v>
      </c>
      <c r="B51" s="31">
        <v>1.1285714200000001</v>
      </c>
      <c r="C51" s="32" t="s">
        <v>77</v>
      </c>
      <c r="D51" s="32">
        <v>0</v>
      </c>
      <c r="E51" s="32" t="s">
        <v>78</v>
      </c>
      <c r="F51" s="32" t="s">
        <v>79</v>
      </c>
      <c r="G51" s="32" t="s">
        <v>80</v>
      </c>
      <c r="H51" s="32">
        <v>46</v>
      </c>
      <c r="J51" s="30">
        <v>43800</v>
      </c>
      <c r="K51" s="31">
        <v>0.98250000000000004</v>
      </c>
      <c r="L51" s="32" t="s">
        <v>77</v>
      </c>
      <c r="M51" s="32">
        <v>0</v>
      </c>
      <c r="N51" s="32" t="s">
        <v>78</v>
      </c>
      <c r="O51" s="32" t="s">
        <v>79</v>
      </c>
      <c r="P51" s="32" t="s">
        <v>81</v>
      </c>
      <c r="Q51" s="32">
        <v>46</v>
      </c>
    </row>
    <row r="52" spans="1:17" x14ac:dyDescent="0.3">
      <c r="A52" s="30">
        <v>43770</v>
      </c>
      <c r="B52" s="31">
        <v>1.1299999999999999</v>
      </c>
      <c r="C52" s="32" t="s">
        <v>77</v>
      </c>
      <c r="D52" s="32">
        <v>0</v>
      </c>
      <c r="E52" s="32" t="s">
        <v>78</v>
      </c>
      <c r="F52" s="32" t="s">
        <v>79</v>
      </c>
      <c r="G52" s="32" t="s">
        <v>80</v>
      </c>
      <c r="H52" s="32">
        <v>46</v>
      </c>
      <c r="J52" s="30">
        <v>43770</v>
      </c>
      <c r="K52" s="31">
        <v>0.98250000000000004</v>
      </c>
      <c r="L52" s="32" t="s">
        <v>77</v>
      </c>
      <c r="M52" s="32">
        <v>0</v>
      </c>
      <c r="N52" s="32" t="s">
        <v>78</v>
      </c>
      <c r="O52" s="32" t="s">
        <v>79</v>
      </c>
      <c r="P52" s="32" t="s">
        <v>81</v>
      </c>
      <c r="Q52" s="32">
        <v>46</v>
      </c>
    </row>
    <row r="53" spans="1:17" x14ac:dyDescent="0.3">
      <c r="A53" s="30">
        <v>43739</v>
      </c>
      <c r="B53" s="31">
        <v>1.1299999999999999</v>
      </c>
      <c r="C53" s="32" t="s">
        <v>77</v>
      </c>
      <c r="D53" s="32">
        <v>-2.5862068965517242</v>
      </c>
      <c r="E53" s="32" t="s">
        <v>78</v>
      </c>
      <c r="F53" s="32" t="s">
        <v>79</v>
      </c>
      <c r="G53" s="32" t="s">
        <v>80</v>
      </c>
      <c r="H53" s="32">
        <v>46</v>
      </c>
      <c r="J53" s="30">
        <v>43739</v>
      </c>
      <c r="K53" s="31">
        <v>0.98250000000000004</v>
      </c>
      <c r="L53" s="32" t="s">
        <v>77</v>
      </c>
      <c r="M53" s="32">
        <v>-2.9702970297029698</v>
      </c>
      <c r="N53" s="32" t="s">
        <v>78</v>
      </c>
      <c r="O53" s="32" t="s">
        <v>79</v>
      </c>
      <c r="P53" s="32" t="s">
        <v>81</v>
      </c>
      <c r="Q53" s="32">
        <v>46</v>
      </c>
    </row>
    <row r="54" spans="1:17" x14ac:dyDescent="0.3">
      <c r="A54" s="30">
        <v>43709</v>
      </c>
      <c r="B54" s="31">
        <v>1.1579999999999999</v>
      </c>
      <c r="C54" s="32" t="s">
        <v>77</v>
      </c>
      <c r="D54" s="32">
        <v>-3.333333333333333</v>
      </c>
      <c r="E54" s="32" t="s">
        <v>78</v>
      </c>
      <c r="F54" s="32" t="s">
        <v>79</v>
      </c>
      <c r="G54" s="32" t="s">
        <v>80</v>
      </c>
      <c r="H54" s="32">
        <v>46</v>
      </c>
      <c r="J54" s="30">
        <v>43709</v>
      </c>
      <c r="K54" s="31">
        <v>1.0105</v>
      </c>
      <c r="L54" s="32" t="s">
        <v>77</v>
      </c>
      <c r="M54" s="32">
        <v>-3.8095238095238089</v>
      </c>
      <c r="N54" s="32" t="s">
        <v>78</v>
      </c>
      <c r="O54" s="32" t="s">
        <v>79</v>
      </c>
      <c r="P54" s="32" t="s">
        <v>81</v>
      </c>
      <c r="Q54" s="32">
        <v>46</v>
      </c>
    </row>
    <row r="55" spans="1:17" x14ac:dyDescent="0.3">
      <c r="A55" s="30">
        <v>43678</v>
      </c>
      <c r="B55" s="31">
        <v>1.2</v>
      </c>
      <c r="C55" s="32" t="s">
        <v>77</v>
      </c>
      <c r="D55" s="32">
        <v>0</v>
      </c>
      <c r="E55" s="32" t="s">
        <v>78</v>
      </c>
      <c r="F55" s="32" t="s">
        <v>79</v>
      </c>
      <c r="G55" s="32" t="s">
        <v>80</v>
      </c>
      <c r="H55" s="32">
        <v>46</v>
      </c>
      <c r="J55" s="30">
        <v>43678</v>
      </c>
      <c r="K55" s="31">
        <v>1.0525</v>
      </c>
      <c r="L55" s="32" t="s">
        <v>77</v>
      </c>
      <c r="M55" s="32">
        <v>0</v>
      </c>
      <c r="N55" s="32" t="s">
        <v>78</v>
      </c>
      <c r="O55" s="32" t="s">
        <v>79</v>
      </c>
      <c r="P55" s="32" t="s">
        <v>81</v>
      </c>
      <c r="Q55" s="32">
        <v>46</v>
      </c>
    </row>
    <row r="56" spans="1:17" x14ac:dyDescent="0.3">
      <c r="A56" s="30">
        <v>43647</v>
      </c>
      <c r="B56" s="31">
        <v>1.2</v>
      </c>
      <c r="C56" s="32" t="s">
        <v>77</v>
      </c>
      <c r="D56" s="32">
        <v>0</v>
      </c>
      <c r="E56" s="32" t="s">
        <v>78</v>
      </c>
      <c r="F56" s="32" t="s">
        <v>79</v>
      </c>
      <c r="G56" s="32" t="s">
        <v>80</v>
      </c>
      <c r="H56" s="32">
        <v>46</v>
      </c>
      <c r="J56" s="30">
        <v>43647</v>
      </c>
      <c r="K56" s="31">
        <v>1.0525</v>
      </c>
      <c r="L56" s="32" t="s">
        <v>77</v>
      </c>
      <c r="M56" s="32">
        <v>0</v>
      </c>
      <c r="N56" s="32" t="s">
        <v>78</v>
      </c>
      <c r="O56" s="32" t="s">
        <v>79</v>
      </c>
      <c r="P56" s="32" t="s">
        <v>81</v>
      </c>
      <c r="Q56" s="32">
        <v>46</v>
      </c>
    </row>
    <row r="57" spans="1:17" x14ac:dyDescent="0.3">
      <c r="A57" s="30">
        <v>43617</v>
      </c>
      <c r="B57" s="31">
        <v>1.2</v>
      </c>
      <c r="C57" s="32" t="s">
        <v>77</v>
      </c>
      <c r="D57" s="32">
        <v>0</v>
      </c>
      <c r="E57" s="32" t="s">
        <v>78</v>
      </c>
      <c r="F57" s="32" t="s">
        <v>79</v>
      </c>
      <c r="G57" s="32" t="s">
        <v>80</v>
      </c>
      <c r="H57" s="32">
        <v>46</v>
      </c>
      <c r="J57" s="30">
        <v>43617</v>
      </c>
      <c r="K57" s="31">
        <v>1.0525</v>
      </c>
      <c r="L57" s="32" t="s">
        <v>77</v>
      </c>
      <c r="M57" s="32">
        <v>0</v>
      </c>
      <c r="N57" s="32" t="s">
        <v>78</v>
      </c>
      <c r="O57" s="32" t="s">
        <v>79</v>
      </c>
      <c r="P57" s="32" t="s">
        <v>81</v>
      </c>
      <c r="Q57" s="32">
        <v>46</v>
      </c>
    </row>
    <row r="58" spans="1:17" x14ac:dyDescent="0.3">
      <c r="A58" s="30">
        <v>43586</v>
      </c>
      <c r="B58" s="31">
        <v>1.2</v>
      </c>
      <c r="C58" s="32" t="s">
        <v>77</v>
      </c>
      <c r="D58" s="32">
        <v>0</v>
      </c>
      <c r="E58" s="32" t="s">
        <v>78</v>
      </c>
      <c r="F58" s="32" t="s">
        <v>79</v>
      </c>
      <c r="G58" s="32" t="s">
        <v>80</v>
      </c>
      <c r="H58" s="32">
        <v>46</v>
      </c>
      <c r="J58" s="30">
        <v>43586</v>
      </c>
      <c r="K58" s="31">
        <v>1.0525</v>
      </c>
      <c r="L58" s="32" t="s">
        <v>77</v>
      </c>
      <c r="M58" s="32">
        <v>0</v>
      </c>
      <c r="N58" s="32" t="s">
        <v>78</v>
      </c>
      <c r="O58" s="32" t="s">
        <v>79</v>
      </c>
      <c r="P58" s="32" t="s">
        <v>81</v>
      </c>
      <c r="Q58" s="32">
        <v>46</v>
      </c>
    </row>
    <row r="59" spans="1:17" x14ac:dyDescent="0.3">
      <c r="A59" s="30">
        <v>43556</v>
      </c>
      <c r="B59" s="31">
        <v>1.2</v>
      </c>
      <c r="C59" s="32" t="s">
        <v>77</v>
      </c>
      <c r="D59" s="32">
        <v>0</v>
      </c>
      <c r="E59" s="32" t="s">
        <v>78</v>
      </c>
      <c r="F59" s="32" t="s">
        <v>79</v>
      </c>
      <c r="G59" s="32" t="s">
        <v>80</v>
      </c>
      <c r="H59" s="32">
        <v>46</v>
      </c>
      <c r="J59" s="30">
        <v>43556</v>
      </c>
      <c r="K59" s="31">
        <v>1.0525</v>
      </c>
      <c r="L59" s="32" t="s">
        <v>77</v>
      </c>
      <c r="M59" s="32">
        <v>0</v>
      </c>
      <c r="N59" s="32" t="s">
        <v>78</v>
      </c>
      <c r="O59" s="32" t="s">
        <v>79</v>
      </c>
      <c r="P59" s="32" t="s">
        <v>81</v>
      </c>
      <c r="Q59" s="32">
        <v>46</v>
      </c>
    </row>
    <row r="60" spans="1:17" x14ac:dyDescent="0.3">
      <c r="A60" s="30">
        <v>43525</v>
      </c>
      <c r="B60" s="31">
        <v>1.2</v>
      </c>
      <c r="C60" s="32" t="s">
        <v>77</v>
      </c>
      <c r="D60" s="32">
        <v>0</v>
      </c>
      <c r="E60" s="32" t="s">
        <v>78</v>
      </c>
      <c r="F60" s="32" t="s">
        <v>79</v>
      </c>
      <c r="G60" s="32" t="s">
        <v>80</v>
      </c>
      <c r="H60" s="32">
        <v>46</v>
      </c>
      <c r="J60" s="30">
        <v>43525</v>
      </c>
      <c r="K60" s="31">
        <v>1.0525</v>
      </c>
      <c r="L60" s="32" t="s">
        <v>77</v>
      </c>
      <c r="M60" s="32">
        <v>0</v>
      </c>
      <c r="N60" s="32" t="s">
        <v>78</v>
      </c>
      <c r="O60" s="32" t="s">
        <v>79</v>
      </c>
      <c r="P60" s="32" t="s">
        <v>81</v>
      </c>
      <c r="Q60" s="32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5CCA-2540-4305-8DAE-CC1EA802352B}">
  <dimension ref="A1:V438"/>
  <sheetViews>
    <sheetView workbookViewId="0">
      <pane xSplit="1" topLeftCell="B1" activePane="topRight" state="frozen"/>
      <selection pane="topRight" activeCell="G20" sqref="G20"/>
    </sheetView>
  </sheetViews>
  <sheetFormatPr defaultRowHeight="14.4" x14ac:dyDescent="0.3"/>
  <sheetData>
    <row r="1" spans="1:22" ht="26.4" x14ac:dyDescent="0.3">
      <c r="A1" s="4" t="s">
        <v>43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5" t="s">
        <v>54</v>
      </c>
      <c r="M1" s="6" t="s">
        <v>55</v>
      </c>
      <c r="N1" s="4" t="s">
        <v>56</v>
      </c>
      <c r="O1" s="4" t="s">
        <v>57</v>
      </c>
      <c r="P1" s="4" t="s">
        <v>58</v>
      </c>
      <c r="Q1" s="5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</row>
    <row r="2" spans="1:22" x14ac:dyDescent="0.3">
      <c r="A2" s="7">
        <v>46143</v>
      </c>
      <c r="B2" s="8">
        <v>94.34</v>
      </c>
      <c r="C2" s="8">
        <v>6.77</v>
      </c>
      <c r="D2" s="9">
        <v>26300</v>
      </c>
      <c r="E2" s="8">
        <v>122.64</v>
      </c>
      <c r="F2" s="8">
        <v>7.82</v>
      </c>
      <c r="G2" s="8">
        <v>43.97</v>
      </c>
      <c r="H2" s="8">
        <v>308.74</v>
      </c>
      <c r="I2" s="8">
        <v>1.26</v>
      </c>
      <c r="J2" s="8">
        <v>3.96</v>
      </c>
      <c r="K2" s="10">
        <v>3.6728000000000001</v>
      </c>
      <c r="L2" s="11">
        <v>16803</v>
      </c>
      <c r="M2" s="8">
        <v>155.07</v>
      </c>
      <c r="N2" s="8">
        <v>31.85</v>
      </c>
      <c r="O2" s="8">
        <v>46.07</v>
      </c>
      <c r="P2" s="8">
        <v>31.14</v>
      </c>
      <c r="Q2" s="11">
        <v>42112</v>
      </c>
      <c r="R2" s="12">
        <v>7.4999999999999997E-2</v>
      </c>
      <c r="S2" s="8">
        <v>0.86</v>
      </c>
      <c r="T2" s="8">
        <v>59.7</v>
      </c>
      <c r="U2" s="8">
        <v>104.71</v>
      </c>
      <c r="V2" s="8">
        <v>119.99</v>
      </c>
    </row>
    <row r="3" spans="1:22" x14ac:dyDescent="0.3">
      <c r="A3" s="7">
        <v>46113</v>
      </c>
      <c r="B3" s="8">
        <v>92.91</v>
      </c>
      <c r="C3" s="8">
        <v>6.81</v>
      </c>
      <c r="D3" s="9">
        <v>26045</v>
      </c>
      <c r="E3" s="8">
        <v>122.2</v>
      </c>
      <c r="F3" s="8">
        <v>7.81</v>
      </c>
      <c r="G3" s="8">
        <v>42.57</v>
      </c>
      <c r="H3" s="8">
        <v>307.05</v>
      </c>
      <c r="I3" s="8">
        <v>1.27</v>
      </c>
      <c r="J3" s="8">
        <v>3.92</v>
      </c>
      <c r="K3" s="10">
        <v>3.6728000000000001</v>
      </c>
      <c r="L3" s="11">
        <v>16758</v>
      </c>
      <c r="M3" s="8">
        <v>155.19999999999999</v>
      </c>
      <c r="N3" s="8">
        <v>32.369999999999997</v>
      </c>
      <c r="O3" s="8">
        <v>44.49</v>
      </c>
      <c r="P3" s="8">
        <v>30.78</v>
      </c>
      <c r="Q3" s="11">
        <v>42000</v>
      </c>
      <c r="R3" s="8">
        <v>0.7601</v>
      </c>
      <c r="S3" s="8">
        <v>0.86199999999999999</v>
      </c>
      <c r="T3" s="8">
        <v>57.8</v>
      </c>
      <c r="U3" s="8">
        <v>102.65</v>
      </c>
      <c r="V3" s="8">
        <v>116.63</v>
      </c>
    </row>
    <row r="4" spans="1:22" x14ac:dyDescent="0.3">
      <c r="A4" s="7">
        <v>46082</v>
      </c>
      <c r="B4" s="8">
        <v>91.477000000000004</v>
      </c>
      <c r="C4" s="8">
        <v>6.87</v>
      </c>
      <c r="D4" s="9">
        <v>25970</v>
      </c>
      <c r="E4" s="8">
        <v>120.91</v>
      </c>
      <c r="F4" s="8">
        <v>7.79</v>
      </c>
      <c r="G4" s="8">
        <v>42.57</v>
      </c>
      <c r="H4" s="8">
        <v>306.74</v>
      </c>
      <c r="I4" s="8">
        <v>1.29</v>
      </c>
      <c r="J4" s="8">
        <v>4.05</v>
      </c>
      <c r="K4" s="10">
        <v>3.6728000000000001</v>
      </c>
      <c r="L4" s="11">
        <v>16657</v>
      </c>
      <c r="M4" s="8">
        <v>156.72999999999999</v>
      </c>
      <c r="N4" s="8">
        <v>32.39</v>
      </c>
      <c r="O4" s="8">
        <v>44.85</v>
      </c>
      <c r="P4" s="8">
        <v>30.44</v>
      </c>
      <c r="Q4" s="11">
        <v>42025</v>
      </c>
      <c r="R4" s="8">
        <v>0.745</v>
      </c>
      <c r="S4" s="8">
        <v>0.85409999999999997</v>
      </c>
      <c r="T4" s="8">
        <v>58.35</v>
      </c>
      <c r="U4" s="8">
        <v>105.27</v>
      </c>
      <c r="V4" s="8">
        <v>119.59</v>
      </c>
    </row>
    <row r="5" spans="1:22" x14ac:dyDescent="0.3">
      <c r="A5" s="7">
        <v>46054</v>
      </c>
      <c r="B5" s="8">
        <v>91.66</v>
      </c>
      <c r="C5" s="8">
        <v>6.95</v>
      </c>
      <c r="D5" s="9">
        <v>25950</v>
      </c>
      <c r="E5" s="8">
        <v>120.72</v>
      </c>
      <c r="F5" s="8">
        <v>7.78</v>
      </c>
      <c r="G5" s="8">
        <v>42.57</v>
      </c>
      <c r="H5" s="8">
        <v>308.31</v>
      </c>
      <c r="I5" s="8">
        <v>1.3</v>
      </c>
      <c r="J5" s="8">
        <v>4.1100000000000003</v>
      </c>
      <c r="K5" s="10">
        <v>3.6728000000000001</v>
      </c>
      <c r="L5" s="11">
        <v>16679</v>
      </c>
      <c r="M5" s="8">
        <v>154.99</v>
      </c>
      <c r="N5" s="8">
        <v>32.28</v>
      </c>
      <c r="O5" s="8">
        <v>44.85</v>
      </c>
      <c r="P5" s="8">
        <v>30.74</v>
      </c>
      <c r="Q5" s="11">
        <v>42025</v>
      </c>
      <c r="R5" s="8">
        <v>0.73809999999999998</v>
      </c>
      <c r="S5" s="8">
        <v>0.85940000000000005</v>
      </c>
      <c r="T5" s="8">
        <v>57.36</v>
      </c>
      <c r="U5" s="8">
        <v>103.84</v>
      </c>
      <c r="V5" s="8">
        <v>119.06</v>
      </c>
    </row>
    <row r="6" spans="1:22" x14ac:dyDescent="0.3">
      <c r="A6" s="7">
        <v>46023</v>
      </c>
      <c r="B6" s="8">
        <v>89.96</v>
      </c>
      <c r="C6" s="8">
        <v>6.99</v>
      </c>
      <c r="D6" s="9">
        <v>26290</v>
      </c>
      <c r="E6" s="8">
        <v>122.29</v>
      </c>
      <c r="F6" s="8">
        <v>7.77</v>
      </c>
      <c r="G6" s="8">
        <v>42.01</v>
      </c>
      <c r="H6" s="8">
        <v>300.58</v>
      </c>
      <c r="I6" s="8">
        <v>1.3</v>
      </c>
      <c r="J6" s="8">
        <v>4.2</v>
      </c>
      <c r="K6" s="10">
        <v>3.6728000000000001</v>
      </c>
      <c r="L6" s="11">
        <v>16630</v>
      </c>
      <c r="M6" s="8">
        <v>153.99</v>
      </c>
      <c r="N6" s="8">
        <v>32.35</v>
      </c>
      <c r="O6" s="8">
        <v>45.15</v>
      </c>
      <c r="P6" s="8">
        <v>29.83</v>
      </c>
      <c r="Q6" s="11">
        <v>42000</v>
      </c>
      <c r="R6" s="8">
        <v>0.75429999999999997</v>
      </c>
      <c r="S6" s="8">
        <v>0.87490000000000001</v>
      </c>
      <c r="T6" s="8">
        <v>56.54</v>
      </c>
      <c r="U6" s="8">
        <v>100.51</v>
      </c>
      <c r="V6" s="8">
        <v>116.85</v>
      </c>
    </row>
    <row r="7" spans="1:22" x14ac:dyDescent="0.3">
      <c r="A7" s="7">
        <v>45992</v>
      </c>
      <c r="B7" s="8">
        <v>90.07</v>
      </c>
      <c r="C7" s="8">
        <v>7</v>
      </c>
      <c r="D7" s="9">
        <v>26309</v>
      </c>
      <c r="E7" s="8">
        <v>120.31</v>
      </c>
      <c r="F7" s="8">
        <v>7.78</v>
      </c>
      <c r="G7" s="8">
        <v>41.59</v>
      </c>
      <c r="H7" s="8">
        <v>299.27999999999997</v>
      </c>
      <c r="I7" s="8">
        <v>1.29</v>
      </c>
      <c r="J7" s="8">
        <v>4.21</v>
      </c>
      <c r="K7" s="10">
        <v>3.6728000000000001</v>
      </c>
      <c r="L7" s="11">
        <v>16644.099999999999</v>
      </c>
      <c r="M7" s="8">
        <v>147.08000000000001</v>
      </c>
      <c r="N7" s="8">
        <v>32.44</v>
      </c>
      <c r="O7" s="8">
        <v>43.8</v>
      </c>
      <c r="P7" s="8">
        <v>28.97</v>
      </c>
      <c r="Q7" s="11">
        <v>42000</v>
      </c>
      <c r="R7" s="8">
        <v>0.73</v>
      </c>
      <c r="S7" s="8">
        <v>0.85099999999999998</v>
      </c>
      <c r="T7" s="8">
        <v>55.94</v>
      </c>
      <c r="U7" s="8">
        <v>100.64</v>
      </c>
      <c r="V7" s="8">
        <v>116.6</v>
      </c>
    </row>
    <row r="8" spans="1:22" x14ac:dyDescent="0.3">
      <c r="A8" s="7">
        <v>45962</v>
      </c>
      <c r="B8" s="8">
        <v>88.76</v>
      </c>
      <c r="C8" s="8">
        <v>7.17</v>
      </c>
      <c r="D8" s="9">
        <v>26405</v>
      </c>
      <c r="E8" s="8">
        <v>120.17</v>
      </c>
      <c r="F8" s="8">
        <v>7.8</v>
      </c>
      <c r="G8" s="8">
        <v>41.14</v>
      </c>
      <c r="H8" s="8">
        <v>298.79000000000002</v>
      </c>
      <c r="I8" s="8">
        <v>1.28</v>
      </c>
      <c r="J8" s="8">
        <v>4.22</v>
      </c>
      <c r="K8" s="10">
        <v>3.6728000000000001</v>
      </c>
      <c r="L8" s="11">
        <v>16405.2</v>
      </c>
      <c r="M8" s="8">
        <v>147.08000000000001</v>
      </c>
      <c r="N8" s="8">
        <v>32.869999999999997</v>
      </c>
      <c r="O8" s="8">
        <v>45.7</v>
      </c>
      <c r="P8" s="8">
        <v>29.9</v>
      </c>
      <c r="Q8" s="11">
        <v>42000</v>
      </c>
      <c r="R8" s="8">
        <v>0.74</v>
      </c>
      <c r="S8" s="8">
        <v>0.88</v>
      </c>
      <c r="T8" s="8">
        <v>54.79</v>
      </c>
      <c r="U8" s="8">
        <v>97.96</v>
      </c>
      <c r="V8" s="8">
        <v>115.19</v>
      </c>
    </row>
    <row r="9" spans="1:22" x14ac:dyDescent="0.3">
      <c r="A9" s="7">
        <v>45931</v>
      </c>
      <c r="B9" s="8">
        <v>88.748999999999995</v>
      </c>
      <c r="C9" s="8">
        <v>7.12</v>
      </c>
      <c r="D9" s="9">
        <v>26340</v>
      </c>
      <c r="E9" s="8">
        <v>120</v>
      </c>
      <c r="F9" s="8">
        <v>7.85</v>
      </c>
      <c r="G9" s="8">
        <v>40.630000000000003</v>
      </c>
      <c r="H9" s="8">
        <v>298.14</v>
      </c>
      <c r="I9" s="8">
        <v>1.29</v>
      </c>
      <c r="J9" s="8">
        <v>4.28</v>
      </c>
      <c r="K9" s="10">
        <v>3.6728000000000001</v>
      </c>
      <c r="L9" s="11">
        <v>16358.2</v>
      </c>
      <c r="M9" s="8">
        <v>147.38</v>
      </c>
      <c r="N9" s="8">
        <v>33.51</v>
      </c>
      <c r="O9" s="8">
        <v>43.83</v>
      </c>
      <c r="P9" s="8">
        <v>32.11</v>
      </c>
      <c r="Q9" s="11">
        <v>42000</v>
      </c>
      <c r="R9" s="8">
        <v>0.75</v>
      </c>
      <c r="S9" s="8">
        <v>0.89</v>
      </c>
      <c r="T9" s="8">
        <v>54.37</v>
      </c>
      <c r="U9" s="8">
        <v>97.06</v>
      </c>
      <c r="V9" s="8">
        <v>112.13</v>
      </c>
    </row>
    <row r="10" spans="1:22" x14ac:dyDescent="0.3">
      <c r="A10" s="7">
        <v>45901</v>
      </c>
      <c r="B10" s="8">
        <v>88.064999999999998</v>
      </c>
      <c r="C10" s="8">
        <v>7.13</v>
      </c>
      <c r="D10" s="9">
        <v>26190</v>
      </c>
      <c r="E10" s="8">
        <v>120.63</v>
      </c>
      <c r="F10" s="8">
        <v>7.85</v>
      </c>
      <c r="G10" s="8">
        <v>39.840000000000003</v>
      </c>
      <c r="H10" s="8">
        <v>297.14</v>
      </c>
      <c r="I10" s="8">
        <v>1.27</v>
      </c>
      <c r="J10" s="8">
        <v>4.2</v>
      </c>
      <c r="K10" s="10">
        <v>3.6728000000000001</v>
      </c>
      <c r="L10" s="11">
        <v>16185</v>
      </c>
      <c r="M10" s="8">
        <v>143.4</v>
      </c>
      <c r="N10" s="8">
        <v>34.18</v>
      </c>
      <c r="O10" s="8">
        <v>44.5</v>
      </c>
      <c r="P10" s="8">
        <v>33.26</v>
      </c>
      <c r="Q10" s="11">
        <v>42000</v>
      </c>
      <c r="R10" s="8">
        <v>0.77</v>
      </c>
      <c r="S10" s="8">
        <v>0.93</v>
      </c>
      <c r="T10" s="8">
        <v>51.66</v>
      </c>
      <c r="U10" s="8">
        <v>92.73</v>
      </c>
      <c r="V10" s="8">
        <v>110.6</v>
      </c>
    </row>
    <row r="11" spans="1:22" x14ac:dyDescent="0.3">
      <c r="A11" s="7">
        <v>45870</v>
      </c>
      <c r="B11" s="8">
        <v>87.16</v>
      </c>
      <c r="C11" s="8">
        <v>7.21</v>
      </c>
      <c r="D11" s="9">
        <v>26110</v>
      </c>
      <c r="E11" s="8">
        <v>120.45</v>
      </c>
      <c r="F11" s="8">
        <v>7.84</v>
      </c>
      <c r="G11" s="8">
        <v>39.26</v>
      </c>
      <c r="H11" s="8">
        <v>298.41000000000003</v>
      </c>
      <c r="I11" s="8">
        <v>1.29</v>
      </c>
      <c r="J11" s="8">
        <v>4.26</v>
      </c>
      <c r="K11" s="10">
        <v>3.6728000000000001</v>
      </c>
      <c r="L11" s="11">
        <v>16304</v>
      </c>
      <c r="M11" s="8">
        <v>143.46</v>
      </c>
      <c r="N11" s="8">
        <v>34.200000000000003</v>
      </c>
      <c r="O11" s="8">
        <v>45.5</v>
      </c>
      <c r="P11" s="8">
        <v>32.9</v>
      </c>
      <c r="Q11" s="11">
        <v>42000</v>
      </c>
      <c r="R11" s="8">
        <v>0.79</v>
      </c>
      <c r="S11" s="8">
        <v>0.96</v>
      </c>
      <c r="T11" s="8">
        <v>54.22</v>
      </c>
      <c r="U11" s="8">
        <v>90.83</v>
      </c>
      <c r="V11" s="8">
        <v>109.99</v>
      </c>
    </row>
    <row r="12" spans="1:22" x14ac:dyDescent="0.3">
      <c r="A12" s="7">
        <v>45839</v>
      </c>
      <c r="B12" s="8">
        <v>85.18</v>
      </c>
      <c r="C12" s="8">
        <v>7.16</v>
      </c>
      <c r="D12" s="9">
        <v>26024</v>
      </c>
      <c r="E12" s="8">
        <v>121.73</v>
      </c>
      <c r="F12" s="8">
        <v>7.75</v>
      </c>
      <c r="G12" s="8">
        <v>38.5</v>
      </c>
      <c r="H12" s="8">
        <v>300</v>
      </c>
      <c r="I12" s="8">
        <v>1.31</v>
      </c>
      <c r="J12" s="8">
        <v>4.3099999999999996</v>
      </c>
      <c r="K12" s="10">
        <v>3.6728000000000001</v>
      </c>
      <c r="L12" s="11">
        <v>16601</v>
      </c>
      <c r="M12" s="8">
        <v>145.44999999999999</v>
      </c>
      <c r="N12" s="8">
        <v>33.729999999999997</v>
      </c>
      <c r="O12" s="8">
        <v>46.5</v>
      </c>
      <c r="P12" s="8">
        <v>32.735999999999997</v>
      </c>
      <c r="Q12" s="11">
        <v>42000</v>
      </c>
      <c r="R12" s="8">
        <v>0.79</v>
      </c>
      <c r="S12" s="8">
        <v>0.95609999999999995</v>
      </c>
      <c r="T12" s="8">
        <v>54.08</v>
      </c>
      <c r="U12" s="8">
        <v>89.9</v>
      </c>
      <c r="V12" s="8">
        <v>108.14</v>
      </c>
    </row>
    <row r="13" spans="1:22" x14ac:dyDescent="0.3">
      <c r="A13" s="7">
        <v>45809</v>
      </c>
      <c r="B13" s="8">
        <v>85.37</v>
      </c>
      <c r="C13" s="8">
        <v>7.21</v>
      </c>
      <c r="D13" s="9">
        <v>26002</v>
      </c>
      <c r="E13" s="8">
        <v>121.61</v>
      </c>
      <c r="F13" s="8">
        <v>7.78</v>
      </c>
      <c r="G13" s="8">
        <v>37.9</v>
      </c>
      <c r="H13" s="8">
        <v>295.89999999999998</v>
      </c>
      <c r="I13" s="8">
        <v>1.3</v>
      </c>
      <c r="J13" s="8">
        <v>4.43</v>
      </c>
      <c r="K13" s="10">
        <v>3.6728000000000001</v>
      </c>
      <c r="L13" s="11">
        <v>16457</v>
      </c>
      <c r="M13" s="8">
        <v>147.87</v>
      </c>
      <c r="N13" s="8">
        <v>33.659999999999997</v>
      </c>
      <c r="O13" s="8">
        <v>46.5</v>
      </c>
      <c r="P13" s="8">
        <v>32.969000000000001</v>
      </c>
      <c r="Q13" s="11">
        <v>42000</v>
      </c>
      <c r="R13" s="8">
        <v>0.8</v>
      </c>
      <c r="S13" s="8">
        <v>0.97</v>
      </c>
      <c r="T13" s="8">
        <v>53</v>
      </c>
      <c r="U13" s="8">
        <v>88.18</v>
      </c>
      <c r="V13" s="8">
        <v>107.82</v>
      </c>
    </row>
    <row r="14" spans="1:22" x14ac:dyDescent="0.3">
      <c r="A14" s="7">
        <v>45778</v>
      </c>
      <c r="B14" s="8">
        <v>84.69</v>
      </c>
      <c r="C14" s="8">
        <v>7.2</v>
      </c>
      <c r="D14" s="9">
        <v>25589</v>
      </c>
      <c r="E14" s="8">
        <v>121.03</v>
      </c>
      <c r="F14" s="8">
        <v>7.77</v>
      </c>
      <c r="G14" s="8">
        <v>36.42</v>
      </c>
      <c r="H14" s="8">
        <v>295.02</v>
      </c>
      <c r="I14" s="8">
        <v>1.35</v>
      </c>
      <c r="J14" s="8">
        <v>4.46</v>
      </c>
      <c r="K14" s="10">
        <v>3.6728000000000001</v>
      </c>
      <c r="L14" s="11">
        <v>16432</v>
      </c>
      <c r="M14" s="8">
        <v>150.61000000000001</v>
      </c>
      <c r="N14" s="8">
        <v>34.01</v>
      </c>
      <c r="O14" s="8">
        <v>46.8</v>
      </c>
      <c r="P14" s="8">
        <v>32.784999999999997</v>
      </c>
      <c r="Q14" s="11">
        <v>42000</v>
      </c>
      <c r="R14" s="8">
        <v>0.79</v>
      </c>
      <c r="S14" s="8">
        <v>0.95609999999999995</v>
      </c>
      <c r="T14" s="8">
        <v>53.933999999999997</v>
      </c>
      <c r="U14" s="8">
        <v>88.77</v>
      </c>
      <c r="V14" s="8">
        <v>107.398</v>
      </c>
    </row>
    <row r="15" spans="1:22" x14ac:dyDescent="0.3">
      <c r="A15" s="7">
        <v>45748</v>
      </c>
      <c r="B15" s="8">
        <v>85.51</v>
      </c>
      <c r="C15" s="8">
        <v>7.27</v>
      </c>
      <c r="D15" s="9">
        <v>25550</v>
      </c>
      <c r="E15" s="8">
        <v>121.61</v>
      </c>
      <c r="F15" s="8">
        <v>7.78</v>
      </c>
      <c r="G15" s="8">
        <v>36.26</v>
      </c>
      <c r="H15" s="8">
        <v>296.10000000000002</v>
      </c>
      <c r="I15" s="8">
        <v>1.3426</v>
      </c>
      <c r="J15" s="8">
        <v>4.43</v>
      </c>
      <c r="K15" s="10">
        <v>3.6728000000000001</v>
      </c>
      <c r="L15" s="11">
        <v>16215</v>
      </c>
      <c r="M15" s="8">
        <v>151.9</v>
      </c>
      <c r="N15" s="8">
        <v>34.270000000000003</v>
      </c>
      <c r="O15" s="8">
        <v>46.3</v>
      </c>
      <c r="P15" s="8">
        <v>32.441000000000003</v>
      </c>
      <c r="Q15" s="11">
        <v>42000</v>
      </c>
      <c r="R15" s="8">
        <v>0.78490000000000004</v>
      </c>
      <c r="S15" s="8">
        <v>0.94540000000000002</v>
      </c>
      <c r="T15" s="8">
        <v>55.048000000000002</v>
      </c>
      <c r="U15" s="8">
        <v>89.421000000000006</v>
      </c>
      <c r="V15" s="8">
        <v>107.703</v>
      </c>
    </row>
    <row r="16" spans="1:22" x14ac:dyDescent="0.3">
      <c r="A16" s="7">
        <v>45717</v>
      </c>
      <c r="B16" s="8">
        <v>87.27</v>
      </c>
      <c r="C16" s="8">
        <v>7.3</v>
      </c>
      <c r="D16" s="9">
        <v>25575</v>
      </c>
      <c r="E16" s="8">
        <v>121.65</v>
      </c>
      <c r="F16" s="8">
        <v>7.78</v>
      </c>
      <c r="G16" s="8">
        <v>35.755000000000003</v>
      </c>
      <c r="H16" s="8">
        <v>297.10000000000002</v>
      </c>
      <c r="I16" s="8">
        <v>1.3583000000000001</v>
      </c>
      <c r="J16" s="8">
        <v>4.4400000000000004</v>
      </c>
      <c r="K16" s="10">
        <v>3.6728000000000001</v>
      </c>
      <c r="L16" s="11">
        <v>16288</v>
      </c>
      <c r="M16" s="8">
        <v>155.18</v>
      </c>
      <c r="N16" s="8">
        <v>33.79</v>
      </c>
      <c r="O16" s="8">
        <v>45.96</v>
      </c>
      <c r="P16" s="8">
        <v>31.913</v>
      </c>
      <c r="Q16" s="11">
        <v>42000</v>
      </c>
      <c r="R16" s="8">
        <v>0.7752</v>
      </c>
      <c r="S16" s="8">
        <v>0.91879999999999995</v>
      </c>
      <c r="T16" s="8">
        <v>55.320999999999998</v>
      </c>
      <c r="U16" s="8">
        <v>91.483999999999995</v>
      </c>
      <c r="V16" s="8">
        <v>108.422</v>
      </c>
    </row>
    <row r="17" spans="1:22" x14ac:dyDescent="0.3">
      <c r="A17" s="7">
        <v>45689</v>
      </c>
      <c r="B17" s="8">
        <v>86.96</v>
      </c>
      <c r="C17" s="8">
        <v>7.25</v>
      </c>
      <c r="D17" s="9">
        <v>25060</v>
      </c>
      <c r="E17" s="8">
        <v>121.59</v>
      </c>
      <c r="F17" s="8">
        <v>7.7751999999999999</v>
      </c>
      <c r="G17" s="8">
        <v>34.947800000000001</v>
      </c>
      <c r="H17" s="8">
        <v>291.25700000000001</v>
      </c>
      <c r="I17" s="8">
        <v>1.3652</v>
      </c>
      <c r="J17" s="8">
        <v>4.4545000000000003</v>
      </c>
      <c r="K17" s="10">
        <v>3.6728000000000001</v>
      </c>
      <c r="L17" s="11">
        <v>16007</v>
      </c>
      <c r="M17" s="8">
        <v>157.18</v>
      </c>
      <c r="N17" s="10">
        <v>32.39</v>
      </c>
      <c r="O17" s="10">
        <v>45.75</v>
      </c>
      <c r="P17" s="10">
        <v>31.748999999999999</v>
      </c>
      <c r="Q17" s="11">
        <v>42000</v>
      </c>
      <c r="R17" s="8">
        <v>0.74739999999999995</v>
      </c>
      <c r="S17" s="8">
        <v>0.89810000000000001</v>
      </c>
      <c r="T17" s="8">
        <v>57.890999999999998</v>
      </c>
      <c r="U17" s="8">
        <v>93.253</v>
      </c>
      <c r="V17" s="8">
        <v>111.98</v>
      </c>
    </row>
    <row r="18" spans="1:22" x14ac:dyDescent="0.3">
      <c r="A18" s="7">
        <v>45658</v>
      </c>
      <c r="B18" s="8">
        <v>86.64</v>
      </c>
      <c r="C18" s="8">
        <v>7.33</v>
      </c>
      <c r="D18" s="9">
        <v>25405</v>
      </c>
      <c r="E18" s="8">
        <v>119.926</v>
      </c>
      <c r="F18" s="8">
        <v>7.7817999999999996</v>
      </c>
      <c r="G18" s="8">
        <v>34.691299999999998</v>
      </c>
      <c r="H18" s="8">
        <v>290.60000000000002</v>
      </c>
      <c r="I18" s="8">
        <v>1.3387</v>
      </c>
      <c r="J18" s="8">
        <v>4.4400000000000004</v>
      </c>
      <c r="K18" s="10">
        <v>3.6726000000000001</v>
      </c>
      <c r="L18" s="11">
        <v>15840</v>
      </c>
      <c r="M18" s="8">
        <v>149.75</v>
      </c>
      <c r="N18" s="10">
        <v>33.92</v>
      </c>
      <c r="O18" s="10">
        <v>46.3</v>
      </c>
      <c r="P18" s="10">
        <v>31.995999999999999</v>
      </c>
      <c r="Q18" s="11">
        <v>42000</v>
      </c>
      <c r="R18" s="8">
        <v>0.76139999999999997</v>
      </c>
      <c r="S18" s="8">
        <v>0.90510000000000002</v>
      </c>
      <c r="T18" s="8">
        <v>56.728000000000002</v>
      </c>
      <c r="U18" s="8">
        <v>92.647999999999996</v>
      </c>
      <c r="V18" s="8">
        <v>110.084</v>
      </c>
    </row>
    <row r="19" spans="1:22" x14ac:dyDescent="0.3">
      <c r="A19" s="7">
        <v>45627</v>
      </c>
      <c r="B19" s="8">
        <v>84.86</v>
      </c>
      <c r="C19" s="8">
        <v>7.2854000000000001</v>
      </c>
      <c r="D19" s="9">
        <v>25344</v>
      </c>
      <c r="E19" s="8">
        <v>119</v>
      </c>
      <c r="F19" s="8">
        <v>7.7728999999999999</v>
      </c>
      <c r="G19" s="8">
        <v>34.253999999999998</v>
      </c>
      <c r="H19" s="8">
        <v>292.89999999999998</v>
      </c>
      <c r="I19" s="8">
        <v>1.3196000000000001</v>
      </c>
      <c r="J19" s="8">
        <v>4.375</v>
      </c>
      <c r="K19" s="10">
        <v>3.6726999999999999</v>
      </c>
      <c r="L19" s="11">
        <v>15690</v>
      </c>
      <c r="M19" s="8">
        <v>152.03</v>
      </c>
      <c r="N19" s="10">
        <v>35.53</v>
      </c>
      <c r="O19" s="10">
        <v>46.5</v>
      </c>
      <c r="P19" s="10">
        <v>32.664999999999999</v>
      </c>
      <c r="Q19" s="11">
        <v>42000</v>
      </c>
      <c r="R19" s="8">
        <v>0.77780000000000005</v>
      </c>
      <c r="S19" s="8">
        <v>0.92369999999999997</v>
      </c>
      <c r="T19" s="8">
        <v>54.738999999999997</v>
      </c>
      <c r="U19" s="8">
        <v>90.603999999999999</v>
      </c>
      <c r="V19" s="8">
        <v>107.604</v>
      </c>
    </row>
    <row r="20" spans="1:22" x14ac:dyDescent="0.3">
      <c r="A20" s="7">
        <v>45597</v>
      </c>
      <c r="B20" s="8">
        <v>84.55</v>
      </c>
      <c r="C20" s="8">
        <v>7.2423000000000002</v>
      </c>
      <c r="D20" s="9">
        <v>25270</v>
      </c>
      <c r="E20" s="8">
        <v>119</v>
      </c>
      <c r="F20" s="8">
        <v>7.7727000000000004</v>
      </c>
      <c r="G20" s="8">
        <v>34.160499999999999</v>
      </c>
      <c r="H20" s="8">
        <v>296</v>
      </c>
      <c r="I20" s="8">
        <v>1.2847999999999999</v>
      </c>
      <c r="J20" s="8">
        <v>4.1210000000000004</v>
      </c>
      <c r="K20" s="10">
        <v>3.6728999999999998</v>
      </c>
      <c r="L20" s="11">
        <v>15135</v>
      </c>
      <c r="M20" s="13">
        <v>143.62</v>
      </c>
      <c r="N20" s="10">
        <v>36.75</v>
      </c>
      <c r="O20" s="10">
        <v>47.05</v>
      </c>
      <c r="P20" s="10">
        <v>32.503999999999998</v>
      </c>
      <c r="Q20" s="11">
        <v>42000</v>
      </c>
      <c r="R20" s="8">
        <v>0.79079999999999995</v>
      </c>
      <c r="S20" s="8">
        <v>0.93310000000000004</v>
      </c>
      <c r="T20" s="8">
        <v>55.573</v>
      </c>
      <c r="U20" s="8">
        <v>89.298000000000002</v>
      </c>
      <c r="V20" s="8">
        <v>105.377</v>
      </c>
    </row>
    <row r="21" spans="1:22" x14ac:dyDescent="0.3">
      <c r="A21" s="7">
        <v>45566</v>
      </c>
      <c r="B21" s="8">
        <v>84.06</v>
      </c>
      <c r="C21" s="8">
        <v>7.1177999999999999</v>
      </c>
      <c r="D21" s="9">
        <v>24555</v>
      </c>
      <c r="E21" s="8">
        <v>119</v>
      </c>
      <c r="F21" s="8">
        <v>7.7972999999999999</v>
      </c>
      <c r="G21" s="8">
        <v>34.071100000000001</v>
      </c>
      <c r="H21" s="8">
        <v>299</v>
      </c>
      <c r="I21" s="8">
        <v>1.3065</v>
      </c>
      <c r="J21" s="8">
        <v>4.3179999999999996</v>
      </c>
      <c r="K21" s="10">
        <v>3.6728999999999998</v>
      </c>
      <c r="L21" s="11">
        <v>15450</v>
      </c>
      <c r="M21" s="13">
        <v>146.16</v>
      </c>
      <c r="N21" s="10">
        <v>36.700000000000003</v>
      </c>
      <c r="O21" s="10">
        <v>45.92</v>
      </c>
      <c r="P21" s="10">
        <v>32.465000000000003</v>
      </c>
      <c r="Q21" s="11">
        <v>42000</v>
      </c>
      <c r="R21" s="8">
        <v>0.78459999999999996</v>
      </c>
      <c r="S21" s="8">
        <v>0.92210000000000003</v>
      </c>
      <c r="T21" s="8">
        <v>55.494</v>
      </c>
      <c r="U21" s="8">
        <v>90.44</v>
      </c>
      <c r="V21" s="8">
        <v>106.274</v>
      </c>
    </row>
    <row r="22" spans="1:22" x14ac:dyDescent="0.3">
      <c r="A22" s="7">
        <v>45536</v>
      </c>
      <c r="B22" s="8">
        <v>83.75</v>
      </c>
      <c r="C22" s="8">
        <v>7.0175999999999998</v>
      </c>
      <c r="D22" s="9">
        <v>24860</v>
      </c>
      <c r="E22" s="8">
        <v>119</v>
      </c>
      <c r="F22" s="8">
        <v>7.8120000000000003</v>
      </c>
      <c r="G22" s="8">
        <v>33.140099999999997</v>
      </c>
      <c r="H22" s="8">
        <v>302.25</v>
      </c>
      <c r="I22" s="8">
        <v>1.3357000000000001</v>
      </c>
      <c r="J22" s="8">
        <v>4.5919999999999996</v>
      </c>
      <c r="K22" s="10">
        <v>3.6724000000000001</v>
      </c>
      <c r="L22" s="11">
        <v>16255</v>
      </c>
      <c r="M22" s="13">
        <v>149.97999999999999</v>
      </c>
      <c r="N22" s="10">
        <v>37.18</v>
      </c>
      <c r="O22" s="10">
        <v>46.22</v>
      </c>
      <c r="P22" s="10">
        <v>32.601999999999997</v>
      </c>
      <c r="Q22" s="11">
        <v>42000</v>
      </c>
      <c r="R22" s="8">
        <v>0.80049999999999999</v>
      </c>
      <c r="S22" s="8">
        <v>0.93740000000000001</v>
      </c>
      <c r="T22" s="8">
        <v>54</v>
      </c>
      <c r="U22" s="8">
        <v>88.991</v>
      </c>
      <c r="V22" s="8">
        <v>104.23699999999999</v>
      </c>
    </row>
    <row r="23" spans="1:22" x14ac:dyDescent="0.3">
      <c r="A23" s="7">
        <v>45505</v>
      </c>
      <c r="B23" s="8">
        <v>83.86</v>
      </c>
      <c r="C23" s="8">
        <v>7.09</v>
      </c>
      <c r="D23" s="9">
        <v>25235</v>
      </c>
      <c r="E23" s="8">
        <v>117</v>
      </c>
      <c r="F23" s="8">
        <v>7.8079999999999998</v>
      </c>
      <c r="G23" s="8">
        <v>32.648499999999999</v>
      </c>
      <c r="H23" s="8">
        <v>305.89999999999998</v>
      </c>
      <c r="I23" s="8">
        <v>1.3553999999999999</v>
      </c>
      <c r="J23" s="8">
        <v>4.7149999999999999</v>
      </c>
      <c r="K23" s="10">
        <v>3.6722000000000001</v>
      </c>
      <c r="L23" s="11">
        <v>16370</v>
      </c>
      <c r="M23" s="13">
        <v>160.86000000000001</v>
      </c>
      <c r="N23" s="10">
        <v>36.369999999999997</v>
      </c>
      <c r="O23" s="10">
        <v>46.23</v>
      </c>
      <c r="P23" s="10">
        <v>31.942</v>
      </c>
      <c r="Q23" s="11">
        <v>42000</v>
      </c>
      <c r="R23" s="8">
        <v>0.79200000000000004</v>
      </c>
      <c r="S23" s="8">
        <v>0.9264</v>
      </c>
      <c r="T23" s="8">
        <v>54.353000000000002</v>
      </c>
      <c r="U23" s="8">
        <v>89.942999999999998</v>
      </c>
      <c r="V23" s="8">
        <v>105.20399999999999</v>
      </c>
    </row>
    <row r="24" spans="1:22" x14ac:dyDescent="0.3">
      <c r="A24" s="7">
        <v>45474</v>
      </c>
      <c r="B24" s="8">
        <v>83.69</v>
      </c>
      <c r="C24" s="8">
        <v>7.2192999999999996</v>
      </c>
      <c r="D24" s="9">
        <v>25445</v>
      </c>
      <c r="E24" s="8">
        <v>117</v>
      </c>
      <c r="F24" s="8">
        <v>7.8186999999999998</v>
      </c>
      <c r="G24" s="8">
        <v>32.232199999999999</v>
      </c>
      <c r="H24" s="8">
        <v>301.8</v>
      </c>
      <c r="I24" s="8">
        <v>1.351</v>
      </c>
      <c r="J24" s="8">
        <v>4.7039999999999997</v>
      </c>
      <c r="K24" s="10">
        <v>3.6724000000000001</v>
      </c>
      <c r="L24" s="11">
        <v>16245</v>
      </c>
      <c r="M24" s="13">
        <v>157.31</v>
      </c>
      <c r="N24" s="10">
        <v>35.880000000000003</v>
      </c>
      <c r="O24" s="10">
        <v>45.6</v>
      </c>
      <c r="P24" s="10">
        <v>31.629000000000001</v>
      </c>
      <c r="Q24" s="11">
        <v>42000</v>
      </c>
      <c r="R24" s="8">
        <v>0.79200000000000004</v>
      </c>
      <c r="S24" s="8">
        <v>0.92530000000000001</v>
      </c>
      <c r="T24" s="8">
        <v>53.844000000000001</v>
      </c>
      <c r="U24" s="8">
        <v>89.557000000000002</v>
      </c>
      <c r="V24" s="8">
        <v>104.645</v>
      </c>
    </row>
    <row r="25" spans="1:22" x14ac:dyDescent="0.3">
      <c r="A25" s="7">
        <v>45444</v>
      </c>
      <c r="B25" s="8">
        <v>83.35</v>
      </c>
      <c r="C25" s="8">
        <v>7.2671999999999999</v>
      </c>
      <c r="D25" s="9">
        <v>25440</v>
      </c>
      <c r="E25" s="8">
        <v>116.9</v>
      </c>
      <c r="F25" s="8">
        <v>7.8235000000000001</v>
      </c>
      <c r="G25" s="8">
        <v>32.400700000000001</v>
      </c>
      <c r="H25" s="8">
        <v>297.25</v>
      </c>
      <c r="I25" s="8">
        <v>1.3653</v>
      </c>
      <c r="J25" s="8">
        <v>4.7699999999999996</v>
      </c>
      <c r="K25" s="10">
        <v>3.6726000000000001</v>
      </c>
      <c r="L25" s="11">
        <v>16255</v>
      </c>
      <c r="M25" s="13">
        <v>157.80000000000001</v>
      </c>
      <c r="N25" s="10">
        <v>35.53</v>
      </c>
      <c r="O25" s="10">
        <v>44.8</v>
      </c>
      <c r="P25" s="10">
        <v>31.22</v>
      </c>
      <c r="Q25" s="11">
        <v>42000</v>
      </c>
      <c r="R25" s="8">
        <v>0.78810000000000002</v>
      </c>
      <c r="S25" s="8">
        <v>0.92420000000000002</v>
      </c>
      <c r="T25" s="8">
        <v>54.552</v>
      </c>
      <c r="U25" s="8">
        <v>89.876000000000005</v>
      </c>
      <c r="V25" s="8">
        <v>105.375</v>
      </c>
    </row>
    <row r="26" spans="1:22" x14ac:dyDescent="0.3">
      <c r="A26" s="7">
        <v>45413</v>
      </c>
      <c r="B26" s="8">
        <v>83.42</v>
      </c>
      <c r="C26" s="8">
        <v>7.2415000000000003</v>
      </c>
      <c r="D26" s="9">
        <v>25330</v>
      </c>
      <c r="E26" s="8">
        <v>109.5</v>
      </c>
      <c r="F26" s="8">
        <v>7.8254999999999999</v>
      </c>
      <c r="G26" s="8">
        <v>32.345999999999997</v>
      </c>
      <c r="H26" s="8">
        <v>300.3</v>
      </c>
      <c r="I26" s="8">
        <v>1.3492</v>
      </c>
      <c r="J26" s="8">
        <v>4.7225000000000001</v>
      </c>
      <c r="K26" s="10">
        <v>3.6722999999999999</v>
      </c>
      <c r="L26" s="11">
        <v>15850</v>
      </c>
      <c r="M26" s="13">
        <v>151.31</v>
      </c>
      <c r="N26" s="10">
        <v>34.35</v>
      </c>
      <c r="O26" s="10">
        <v>43.87</v>
      </c>
      <c r="P26" s="10">
        <v>30.681999999999999</v>
      </c>
      <c r="Q26" s="11">
        <v>42000</v>
      </c>
      <c r="R26" s="8">
        <v>0.78539999999999999</v>
      </c>
      <c r="S26" s="8">
        <v>0.90600000000000003</v>
      </c>
      <c r="T26" s="8">
        <v>56.652000000000001</v>
      </c>
      <c r="U26" s="8">
        <v>91.808000000000007</v>
      </c>
      <c r="V26" s="8">
        <v>105.893</v>
      </c>
    </row>
    <row r="27" spans="1:22" x14ac:dyDescent="0.3">
      <c r="A27" s="7">
        <v>45383</v>
      </c>
      <c r="B27" s="8">
        <v>83.45</v>
      </c>
      <c r="C27" s="8">
        <v>7.2401</v>
      </c>
      <c r="D27" s="9">
        <v>24810</v>
      </c>
      <c r="E27" s="8">
        <v>109.5</v>
      </c>
      <c r="F27" s="8">
        <v>7.8288000000000002</v>
      </c>
      <c r="G27" s="8">
        <v>31.188300000000002</v>
      </c>
      <c r="H27" s="8">
        <v>309.5</v>
      </c>
      <c r="I27" s="8">
        <v>1.3455999999999999</v>
      </c>
      <c r="J27" s="8">
        <v>4.742</v>
      </c>
      <c r="K27" s="10">
        <v>3.6720000000000002</v>
      </c>
      <c r="L27" s="11">
        <v>15710</v>
      </c>
      <c r="M27" s="13">
        <v>149.97999999999999</v>
      </c>
      <c r="N27" s="10">
        <v>35.31</v>
      </c>
      <c r="O27" s="10">
        <v>43.95</v>
      </c>
      <c r="P27" s="10">
        <v>31.361000000000001</v>
      </c>
      <c r="Q27" s="11">
        <v>42000</v>
      </c>
      <c r="R27" s="8">
        <v>0.79200000000000004</v>
      </c>
      <c r="S27" s="8">
        <v>0.91839999999999999</v>
      </c>
      <c r="T27" s="8">
        <v>55.048999999999999</v>
      </c>
      <c r="U27" s="8">
        <v>90.733999999999995</v>
      </c>
      <c r="V27" s="8">
        <v>105.21299999999999</v>
      </c>
    </row>
    <row r="28" spans="1:22" x14ac:dyDescent="0.3">
      <c r="A28" s="7">
        <v>45352</v>
      </c>
      <c r="B28" s="8">
        <v>83.35</v>
      </c>
      <c r="C28" s="8">
        <v>7.2202999999999999</v>
      </c>
      <c r="D28" s="9">
        <v>24640</v>
      </c>
      <c r="E28" s="8">
        <v>109.5</v>
      </c>
      <c r="F28" s="8">
        <v>7.8179999999999996</v>
      </c>
      <c r="G28" s="8">
        <v>30.315100000000001</v>
      </c>
      <c r="H28" s="8">
        <v>315.7</v>
      </c>
      <c r="I28" s="8">
        <v>1.3399000000000001</v>
      </c>
      <c r="J28" s="8">
        <v>4.7270000000000003</v>
      </c>
      <c r="K28" s="10">
        <v>3.6728999999999998</v>
      </c>
      <c r="L28" s="11">
        <v>15775</v>
      </c>
      <c r="M28" s="13">
        <v>146.88</v>
      </c>
      <c r="N28" s="10">
        <v>36.14</v>
      </c>
      <c r="O28" s="10">
        <v>44.1</v>
      </c>
      <c r="P28" s="10">
        <v>32.468000000000004</v>
      </c>
      <c r="Q28" s="11">
        <v>42000</v>
      </c>
      <c r="R28" s="8">
        <v>0.82269999999999999</v>
      </c>
      <c r="S28" s="8">
        <v>0.94520000000000004</v>
      </c>
      <c r="T28" s="8">
        <v>52.750999999999998</v>
      </c>
      <c r="U28" s="8">
        <v>88.052000000000007</v>
      </c>
      <c r="V28" s="8">
        <v>101.173</v>
      </c>
    </row>
    <row r="29" spans="1:22" x14ac:dyDescent="0.3">
      <c r="A29" s="7">
        <v>45323</v>
      </c>
      <c r="B29" s="8">
        <v>82.9</v>
      </c>
      <c r="C29" s="8">
        <v>7.1877000000000004</v>
      </c>
      <c r="D29" s="9">
        <v>24415</v>
      </c>
      <c r="E29" s="8">
        <v>109.5</v>
      </c>
      <c r="F29" s="8">
        <v>7.8086000000000002</v>
      </c>
      <c r="G29" s="8">
        <v>29.476600000000001</v>
      </c>
      <c r="H29" s="8">
        <v>323.8</v>
      </c>
      <c r="I29" s="8">
        <v>1.3190999999999999</v>
      </c>
      <c r="J29" s="8">
        <v>4.59</v>
      </c>
      <c r="K29" s="10">
        <v>3.6726000000000001</v>
      </c>
      <c r="L29" s="11">
        <v>15395</v>
      </c>
      <c r="M29" s="13">
        <v>141.06</v>
      </c>
      <c r="N29" s="10">
        <v>36.51</v>
      </c>
      <c r="O29" s="10">
        <v>44.32</v>
      </c>
      <c r="P29" s="10">
        <v>32.229999999999997</v>
      </c>
      <c r="Q29" s="11">
        <v>42000</v>
      </c>
      <c r="R29" s="8">
        <v>0.8196</v>
      </c>
      <c r="S29" s="8">
        <v>0.94569999999999999</v>
      </c>
      <c r="T29" s="8">
        <v>53.421999999999997</v>
      </c>
      <c r="U29" s="8">
        <v>87.763000000000005</v>
      </c>
      <c r="V29" s="8">
        <v>101.27200000000001</v>
      </c>
    </row>
    <row r="30" spans="1:22" x14ac:dyDescent="0.3">
      <c r="A30" s="7">
        <v>45292</v>
      </c>
      <c r="B30" s="8">
        <v>83.09</v>
      </c>
      <c r="C30" s="8">
        <v>7.1673</v>
      </c>
      <c r="D30" s="9">
        <v>24260</v>
      </c>
      <c r="E30" s="8">
        <v>109.5</v>
      </c>
      <c r="F30" s="8">
        <v>7.8106</v>
      </c>
      <c r="G30" s="8">
        <v>28.8552</v>
      </c>
      <c r="H30" s="8">
        <v>327.75</v>
      </c>
      <c r="I30" s="8">
        <v>1.3372999999999999</v>
      </c>
      <c r="J30" s="8">
        <v>4.657</v>
      </c>
      <c r="K30" s="10">
        <v>3.6726000000000001</v>
      </c>
      <c r="L30" s="11">
        <v>15505</v>
      </c>
      <c r="M30" s="13">
        <v>148.19</v>
      </c>
      <c r="N30" s="10">
        <v>34.979999999999997</v>
      </c>
      <c r="O30" s="10">
        <v>45.12</v>
      </c>
      <c r="P30" s="10">
        <v>31.844000000000001</v>
      </c>
      <c r="Q30" s="11">
        <v>42000</v>
      </c>
      <c r="R30" s="8">
        <v>0.78879999999999995</v>
      </c>
      <c r="S30" s="8">
        <v>0.92210000000000003</v>
      </c>
      <c r="T30" s="8">
        <v>53.615000000000002</v>
      </c>
      <c r="U30" s="8">
        <v>89.656999999999996</v>
      </c>
      <c r="V30" s="8">
        <v>104.80800000000001</v>
      </c>
    </row>
    <row r="31" spans="1:22" x14ac:dyDescent="0.3">
      <c r="A31" s="7">
        <v>45261</v>
      </c>
      <c r="B31" s="8">
        <v>83.1</v>
      </c>
      <c r="C31" s="8">
        <v>7.0978000000000003</v>
      </c>
      <c r="D31" s="9">
        <v>24250</v>
      </c>
      <c r="E31" s="8">
        <v>110</v>
      </c>
      <c r="F31" s="8">
        <v>7.8236999999999997</v>
      </c>
      <c r="G31" s="8">
        <v>28.275200000000002</v>
      </c>
      <c r="H31" s="8">
        <v>327.5</v>
      </c>
      <c r="I31" s="8">
        <v>1.3695999999999999</v>
      </c>
      <c r="J31" s="8">
        <v>4.7619999999999996</v>
      </c>
      <c r="K31" s="10">
        <v>3.6726000000000001</v>
      </c>
      <c r="L31" s="11">
        <v>15880</v>
      </c>
      <c r="M31" s="13">
        <v>151.66999999999999</v>
      </c>
      <c r="N31" s="10">
        <v>34.21</v>
      </c>
      <c r="O31" s="10">
        <v>46.2</v>
      </c>
      <c r="P31" s="10">
        <v>31.433</v>
      </c>
      <c r="Q31" s="11">
        <v>42000</v>
      </c>
      <c r="R31" s="8">
        <v>0.77890000000000004</v>
      </c>
      <c r="S31" s="8">
        <v>0.9093</v>
      </c>
      <c r="T31" s="8">
        <v>55.223999999999997</v>
      </c>
      <c r="U31" s="8">
        <v>90.430999999999997</v>
      </c>
      <c r="V31" s="8">
        <v>105.55500000000001</v>
      </c>
    </row>
    <row r="32" spans="1:22" x14ac:dyDescent="0.3">
      <c r="A32" s="7">
        <v>45231</v>
      </c>
      <c r="B32" s="8">
        <v>83.35</v>
      </c>
      <c r="C32" s="8">
        <v>7.1360000000000001</v>
      </c>
      <c r="D32" s="9">
        <v>24560</v>
      </c>
      <c r="E32" s="8">
        <v>110</v>
      </c>
      <c r="F32" s="8">
        <v>7.8307000000000002</v>
      </c>
      <c r="G32" s="8">
        <v>27.371200000000002</v>
      </c>
      <c r="H32" s="8">
        <v>323.75</v>
      </c>
      <c r="I32" s="8">
        <v>1.3652</v>
      </c>
      <c r="J32" s="8">
        <v>4.6935000000000002</v>
      </c>
      <c r="K32" s="10">
        <v>3.6726000000000001</v>
      </c>
      <c r="L32" s="11">
        <v>15450</v>
      </c>
      <c r="M32" s="13">
        <v>149.35</v>
      </c>
      <c r="N32" s="10">
        <v>35.270000000000003</v>
      </c>
      <c r="O32" s="10">
        <v>45.4</v>
      </c>
      <c r="P32" s="10">
        <v>31.129000000000001</v>
      </c>
      <c r="Q32" s="11">
        <v>42000</v>
      </c>
      <c r="R32" s="8">
        <v>0.78690000000000004</v>
      </c>
      <c r="S32" s="8">
        <v>0.9163</v>
      </c>
      <c r="T32" s="8">
        <v>54.722000000000001</v>
      </c>
      <c r="U32" s="8">
        <v>89.561000000000007</v>
      </c>
      <c r="V32" s="8">
        <v>104.288</v>
      </c>
    </row>
    <row r="33" spans="1:22" x14ac:dyDescent="0.3">
      <c r="A33" s="7">
        <v>45200</v>
      </c>
      <c r="B33" s="8">
        <v>83.25</v>
      </c>
      <c r="C33" s="8">
        <v>7.3158000000000003</v>
      </c>
      <c r="D33" s="9">
        <v>24280</v>
      </c>
      <c r="E33" s="8">
        <v>110</v>
      </c>
      <c r="F33" s="8">
        <v>7.8417000000000003</v>
      </c>
      <c r="G33" s="8">
        <v>26.650200000000002</v>
      </c>
      <c r="H33" s="8">
        <v>318.5</v>
      </c>
      <c r="I33" s="8">
        <v>1.3511</v>
      </c>
      <c r="J33" s="8">
        <v>4.6369999999999996</v>
      </c>
      <c r="K33" s="10">
        <v>3.6724000000000001</v>
      </c>
      <c r="L33" s="11">
        <v>15225</v>
      </c>
      <c r="M33" s="13">
        <v>145.53</v>
      </c>
      <c r="N33" s="10">
        <v>34.64</v>
      </c>
      <c r="O33" s="10">
        <v>45.55</v>
      </c>
      <c r="P33" s="10">
        <v>30.693000000000001</v>
      </c>
      <c r="Q33" s="11">
        <v>42000</v>
      </c>
      <c r="R33" s="8">
        <v>0.80369999999999997</v>
      </c>
      <c r="S33" s="8">
        <v>0.93530000000000002</v>
      </c>
      <c r="T33" s="8">
        <v>53.741999999999997</v>
      </c>
      <c r="U33" s="8">
        <v>88.367999999999995</v>
      </c>
      <c r="V33" s="8">
        <v>102.82899999999999</v>
      </c>
    </row>
    <row r="34" spans="1:22" x14ac:dyDescent="0.3">
      <c r="A34" s="7">
        <v>45170</v>
      </c>
      <c r="B34" s="8">
        <v>83.03</v>
      </c>
      <c r="C34" s="8">
        <v>7.3010000000000002</v>
      </c>
      <c r="D34" s="9">
        <v>24060</v>
      </c>
      <c r="E34" s="8">
        <v>109</v>
      </c>
      <c r="F34" s="8">
        <v>7.7975000000000003</v>
      </c>
      <c r="G34" s="8">
        <v>26.895499999999998</v>
      </c>
      <c r="H34" s="8">
        <v>317</v>
      </c>
      <c r="I34" s="8">
        <v>1.3293999999999999</v>
      </c>
      <c r="J34" s="8">
        <v>4.5069999999999997</v>
      </c>
      <c r="K34" s="10">
        <v>3.6718000000000002</v>
      </c>
      <c r="L34" s="11">
        <v>15075</v>
      </c>
      <c r="M34" s="13">
        <v>142.28</v>
      </c>
      <c r="N34" s="10">
        <v>34.119999999999997</v>
      </c>
      <c r="O34" s="10">
        <v>44.8</v>
      </c>
      <c r="P34" s="10">
        <v>30.738</v>
      </c>
      <c r="Q34" s="11">
        <v>42000</v>
      </c>
      <c r="R34" s="14">
        <v>0.79590000000000005</v>
      </c>
      <c r="S34" s="14">
        <v>0.90710000000000002</v>
      </c>
      <c r="T34" s="14">
        <v>54.040999999999997</v>
      </c>
      <c r="U34" s="14">
        <v>90.055000000000007</v>
      </c>
      <c r="V34" s="14">
        <v>102.648</v>
      </c>
    </row>
    <row r="35" spans="1:22" x14ac:dyDescent="0.3">
      <c r="A35" s="7">
        <v>45139</v>
      </c>
      <c r="B35" s="8">
        <v>82.7</v>
      </c>
      <c r="C35" s="8">
        <v>7.2582000000000004</v>
      </c>
      <c r="D35" s="9">
        <v>23680</v>
      </c>
      <c r="E35" s="8">
        <v>108.47</v>
      </c>
      <c r="F35" s="8">
        <v>7.8360000000000003</v>
      </c>
      <c r="G35" s="8">
        <v>26.046099999999999</v>
      </c>
      <c r="H35" s="8">
        <v>307.5</v>
      </c>
      <c r="I35" s="8">
        <v>1.3520000000000001</v>
      </c>
      <c r="J35" s="8">
        <v>4.665</v>
      </c>
      <c r="K35" s="10">
        <v>3.6724000000000001</v>
      </c>
      <c r="L35" s="11">
        <v>14990</v>
      </c>
      <c r="M35" s="13">
        <v>144.32</v>
      </c>
      <c r="N35" s="10">
        <v>34.510024999999999</v>
      </c>
      <c r="O35" s="10">
        <v>45.35</v>
      </c>
      <c r="P35" s="10">
        <v>30.535</v>
      </c>
      <c r="Q35" s="11">
        <v>42000</v>
      </c>
      <c r="R35" s="15">
        <v>0.81059999999999999</v>
      </c>
      <c r="S35" s="15">
        <v>0.92230000000000001</v>
      </c>
      <c r="T35" s="15">
        <v>54.923999999999999</v>
      </c>
      <c r="U35" s="15">
        <v>89.052999999999997</v>
      </c>
      <c r="V35" s="15">
        <v>101.328</v>
      </c>
    </row>
    <row r="36" spans="1:22" x14ac:dyDescent="0.3">
      <c r="A36" s="7">
        <v>45108</v>
      </c>
      <c r="B36" s="8">
        <v>82.24</v>
      </c>
      <c r="C36" s="8">
        <v>7.1425999999999998</v>
      </c>
      <c r="D36" s="9">
        <v>23575</v>
      </c>
      <c r="E36" s="8">
        <v>108.13</v>
      </c>
      <c r="F36" s="8">
        <v>7.8297999999999996</v>
      </c>
      <c r="G36" s="8">
        <v>20.7973</v>
      </c>
      <c r="H36" s="8">
        <v>290</v>
      </c>
      <c r="I36" s="8">
        <v>1.3515999999999999</v>
      </c>
      <c r="J36" s="8">
        <v>4.6130000000000004</v>
      </c>
      <c r="K36" s="10">
        <v>3.6726999999999999</v>
      </c>
      <c r="L36" s="11">
        <v>14985</v>
      </c>
      <c r="M36" s="13">
        <v>139.34</v>
      </c>
      <c r="N36" s="10">
        <v>34.057673999999999</v>
      </c>
      <c r="O36" s="10">
        <v>46.2</v>
      </c>
      <c r="P36" s="10">
        <v>30.715</v>
      </c>
      <c r="Q36" s="11">
        <v>42000</v>
      </c>
      <c r="R36" s="16">
        <v>0.83169999999999999</v>
      </c>
      <c r="S36" s="16">
        <v>0.94520000000000004</v>
      </c>
      <c r="T36" s="16">
        <v>55.6</v>
      </c>
      <c r="U36" s="16">
        <v>87.4</v>
      </c>
      <c r="V36" s="16">
        <v>99.332999999999998</v>
      </c>
    </row>
    <row r="37" spans="1:22" x14ac:dyDescent="0.3">
      <c r="A37" s="7">
        <v>45078</v>
      </c>
      <c r="B37" s="8">
        <v>82.09</v>
      </c>
      <c r="C37" s="8">
        <v>7.2512999999999996</v>
      </c>
      <c r="D37" s="9">
        <v>23485</v>
      </c>
      <c r="E37" s="8">
        <v>107.2</v>
      </c>
      <c r="F37" s="14">
        <v>7.8494999999999999</v>
      </c>
      <c r="G37" s="14">
        <v>19.447800000000001</v>
      </c>
      <c r="H37" s="14">
        <v>320</v>
      </c>
      <c r="I37" s="8">
        <v>1.3346</v>
      </c>
      <c r="J37" s="14">
        <v>4.4580000000000002</v>
      </c>
      <c r="K37" s="10">
        <v>3.6726999999999999</v>
      </c>
      <c r="L37" s="11">
        <v>14665</v>
      </c>
      <c r="M37" s="13">
        <v>136.28</v>
      </c>
      <c r="N37" s="10">
        <v>33.285955000000001</v>
      </c>
      <c r="O37" s="10">
        <v>44.05</v>
      </c>
      <c r="P37" s="10">
        <v>29.994</v>
      </c>
      <c r="Q37" s="11">
        <v>42000</v>
      </c>
      <c r="R37" s="16">
        <v>0.81159999999999999</v>
      </c>
      <c r="S37" s="16">
        <v>0.92049999999999998</v>
      </c>
      <c r="T37" s="16">
        <v>57.658999999999999</v>
      </c>
      <c r="U37" s="16">
        <v>88.784999999999997</v>
      </c>
      <c r="V37" s="16">
        <v>100.702</v>
      </c>
    </row>
    <row r="38" spans="1:22" x14ac:dyDescent="0.3">
      <c r="A38" s="7">
        <v>45047</v>
      </c>
      <c r="B38" s="8">
        <v>82.68</v>
      </c>
      <c r="C38" s="8">
        <v>7.1109</v>
      </c>
      <c r="D38" s="17">
        <v>23450</v>
      </c>
      <c r="E38" s="14">
        <v>106.1</v>
      </c>
      <c r="F38" s="15">
        <v>7.8494999999999999</v>
      </c>
      <c r="G38" s="15">
        <v>19.158200000000001</v>
      </c>
      <c r="H38" s="15">
        <v>324</v>
      </c>
      <c r="I38" s="8">
        <v>1.3306</v>
      </c>
      <c r="J38" s="15">
        <v>4.41</v>
      </c>
      <c r="K38" s="10">
        <v>3.6720999999999999</v>
      </c>
      <c r="L38" s="11">
        <v>14990</v>
      </c>
      <c r="M38" s="13">
        <v>132.79</v>
      </c>
      <c r="N38" s="10">
        <v>34.770434000000002</v>
      </c>
      <c r="O38" s="10">
        <v>43.85</v>
      </c>
      <c r="P38" s="10">
        <v>30.577000000000002</v>
      </c>
      <c r="Q38" s="11">
        <v>41850</v>
      </c>
      <c r="R38" s="16">
        <v>0.82640000000000002</v>
      </c>
      <c r="S38" s="16">
        <v>0.94441799999999998</v>
      </c>
      <c r="T38" s="16">
        <v>56.354999999999997</v>
      </c>
      <c r="U38" s="16">
        <v>87.338070999999999</v>
      </c>
      <c r="V38" s="16">
        <v>100.063</v>
      </c>
    </row>
    <row r="39" spans="1:22" x14ac:dyDescent="0.3">
      <c r="A39" s="18">
        <v>45017</v>
      </c>
      <c r="B39" s="14">
        <v>82.72</v>
      </c>
      <c r="C39" s="14">
        <v>6.9109999999999996</v>
      </c>
      <c r="D39" s="19">
        <v>23450</v>
      </c>
      <c r="E39" s="15">
        <v>107.2</v>
      </c>
      <c r="F39" s="16">
        <v>7.8491</v>
      </c>
      <c r="G39" s="16">
        <v>18.876100000000001</v>
      </c>
      <c r="H39" s="16">
        <v>362</v>
      </c>
      <c r="I39" s="8">
        <v>1.3481000000000001</v>
      </c>
      <c r="J39" s="16">
        <v>4.4850000000000003</v>
      </c>
      <c r="K39" s="10">
        <v>3.6726999999999999</v>
      </c>
      <c r="L39" s="11">
        <v>15245</v>
      </c>
      <c r="M39" s="13">
        <v>136.19999999999999</v>
      </c>
      <c r="N39" s="10">
        <v>36.371690999999998</v>
      </c>
      <c r="O39" s="10">
        <v>44.2</v>
      </c>
      <c r="P39" s="10">
        <v>30.803999999999998</v>
      </c>
      <c r="Q39" s="11">
        <v>42105</v>
      </c>
      <c r="R39" s="16">
        <v>0.82930000000000004</v>
      </c>
      <c r="S39" s="16">
        <v>0.98070800000000002</v>
      </c>
      <c r="T39" s="16">
        <v>55.21</v>
      </c>
      <c r="U39" s="16">
        <v>83.338441000000003</v>
      </c>
      <c r="V39" s="16">
        <v>98.085999999999999</v>
      </c>
    </row>
    <row r="40" spans="1:22" x14ac:dyDescent="0.3">
      <c r="A40" s="20">
        <v>44986</v>
      </c>
      <c r="B40" s="15">
        <v>82.16</v>
      </c>
      <c r="C40" s="15">
        <v>6.8676000000000004</v>
      </c>
      <c r="D40" s="21">
        <v>23740</v>
      </c>
      <c r="E40" s="16">
        <v>104.45</v>
      </c>
      <c r="F40" s="16">
        <v>7.8400999999999996</v>
      </c>
      <c r="G40" s="16">
        <v>18.8064</v>
      </c>
      <c r="H40" s="16">
        <v>365</v>
      </c>
      <c r="I40" s="8">
        <v>1.3134999999999999</v>
      </c>
      <c r="J40" s="16">
        <v>4.2629999999999999</v>
      </c>
      <c r="K40" s="10">
        <v>3.6726999999999999</v>
      </c>
      <c r="L40" s="11">
        <v>14985</v>
      </c>
      <c r="M40" s="13">
        <v>130.09</v>
      </c>
      <c r="N40" s="10">
        <v>37.948507999999997</v>
      </c>
      <c r="O40" s="10">
        <v>43.8</v>
      </c>
      <c r="P40" s="10">
        <v>32.24</v>
      </c>
      <c r="Q40" s="11">
        <v>42000</v>
      </c>
      <c r="R40" s="16">
        <v>0.87170000000000003</v>
      </c>
      <c r="S40" s="16">
        <v>1.017846</v>
      </c>
      <c r="T40" s="16">
        <v>52.948</v>
      </c>
      <c r="U40" s="16">
        <v>80.918000000000006</v>
      </c>
      <c r="V40" s="16">
        <v>94.929000000000002</v>
      </c>
    </row>
    <row r="41" spans="1:22" x14ac:dyDescent="0.3">
      <c r="A41" s="22">
        <v>44958</v>
      </c>
      <c r="B41" s="16">
        <v>82.64</v>
      </c>
      <c r="C41" s="16">
        <v>6.9325000000000001</v>
      </c>
      <c r="D41" s="21">
        <v>23445</v>
      </c>
      <c r="E41" s="16">
        <v>106.7</v>
      </c>
      <c r="F41" s="16">
        <v>7.8094999999999999</v>
      </c>
      <c r="G41" s="16">
        <v>18.662292999999998</v>
      </c>
      <c r="H41" s="16">
        <v>367.5</v>
      </c>
      <c r="I41" s="8">
        <v>1.3398000000000001</v>
      </c>
      <c r="J41" s="16">
        <v>4.4000000000000004</v>
      </c>
      <c r="K41" s="10">
        <v>3.6726999999999999</v>
      </c>
      <c r="L41" s="11">
        <v>15565</v>
      </c>
      <c r="M41" s="13">
        <v>131.11000000000001</v>
      </c>
      <c r="N41" s="10">
        <v>37.035271000000002</v>
      </c>
      <c r="O41" s="10">
        <v>45.6</v>
      </c>
      <c r="P41" s="10">
        <v>31.803000000000001</v>
      </c>
      <c r="Q41" s="11">
        <v>42000</v>
      </c>
      <c r="R41" s="16">
        <v>0.89570000000000005</v>
      </c>
      <c r="S41" s="16">
        <v>1.009978</v>
      </c>
      <c r="T41" s="16">
        <v>52.182000000000002</v>
      </c>
      <c r="U41" s="16">
        <v>79.455749999999995</v>
      </c>
      <c r="V41" s="16">
        <v>90.963999999999999</v>
      </c>
    </row>
    <row r="42" spans="1:22" x14ac:dyDescent="0.3">
      <c r="A42" s="22">
        <v>44927</v>
      </c>
      <c r="B42" s="16">
        <v>81.73</v>
      </c>
      <c r="C42" s="16">
        <v>6.7539999999999996</v>
      </c>
      <c r="D42" s="21">
        <v>23610</v>
      </c>
      <c r="E42" s="16">
        <v>102.5</v>
      </c>
      <c r="F42" s="16">
        <v>7.8097000000000003</v>
      </c>
      <c r="G42" s="16">
        <v>18.613050000000001</v>
      </c>
      <c r="H42" s="16">
        <v>368.5</v>
      </c>
      <c r="I42" s="8">
        <v>1.3613</v>
      </c>
      <c r="J42" s="16">
        <v>4.4429999999999996</v>
      </c>
      <c r="K42" s="10">
        <v>3.6726999999999999</v>
      </c>
      <c r="L42" s="11">
        <v>15730</v>
      </c>
      <c r="M42" s="13">
        <v>138.03</v>
      </c>
      <c r="N42" s="10">
        <v>35.848863999999999</v>
      </c>
      <c r="O42" s="10">
        <v>44.4</v>
      </c>
      <c r="P42" s="10">
        <v>30.388999999999999</v>
      </c>
      <c r="Q42" s="11">
        <v>42000</v>
      </c>
      <c r="R42" s="16">
        <v>0.86019999999999996</v>
      </c>
      <c r="S42" s="16">
        <v>0.98745899999999998</v>
      </c>
      <c r="T42" s="16">
        <v>54.363999999999997</v>
      </c>
      <c r="U42" s="16">
        <v>80.556286999999998</v>
      </c>
      <c r="V42" s="16">
        <v>92.384</v>
      </c>
    </row>
    <row r="43" spans="1:22" x14ac:dyDescent="0.3">
      <c r="A43" s="22">
        <v>44896</v>
      </c>
      <c r="B43" s="16">
        <v>82.479831000000004</v>
      </c>
      <c r="C43" s="16">
        <v>6.8971999999999998</v>
      </c>
      <c r="D43" s="21">
        <v>24630</v>
      </c>
      <c r="E43" s="16">
        <v>101.5</v>
      </c>
      <c r="F43" s="16">
        <v>7.8491</v>
      </c>
      <c r="G43" s="16">
        <v>18.589478</v>
      </c>
      <c r="H43" s="16">
        <v>363</v>
      </c>
      <c r="I43" s="8">
        <v>1.4157999999999999</v>
      </c>
      <c r="J43" s="16">
        <v>4.726</v>
      </c>
      <c r="K43" s="10">
        <v>3.6726999999999999</v>
      </c>
      <c r="L43" s="11">
        <v>15595</v>
      </c>
      <c r="M43" s="13">
        <v>148.71</v>
      </c>
      <c r="N43" s="10">
        <v>36.379669</v>
      </c>
      <c r="O43" s="10">
        <v>45.4</v>
      </c>
      <c r="P43" s="10">
        <v>29.998000000000001</v>
      </c>
      <c r="Q43" s="11">
        <v>42000</v>
      </c>
      <c r="R43" s="16">
        <v>0.82179999999999997</v>
      </c>
      <c r="S43" s="16">
        <v>0.98253599999999996</v>
      </c>
      <c r="T43" s="16">
        <v>55.415999999999997</v>
      </c>
      <c r="U43" s="16">
        <v>81.018248</v>
      </c>
      <c r="V43" s="16">
        <v>96.52</v>
      </c>
    </row>
    <row r="44" spans="1:22" x14ac:dyDescent="0.3">
      <c r="A44" s="22">
        <v>44866</v>
      </c>
      <c r="B44" s="16">
        <v>81.701479000000006</v>
      </c>
      <c r="C44" s="16">
        <v>7.0879000000000003</v>
      </c>
      <c r="D44" s="21">
        <v>24840</v>
      </c>
      <c r="E44" s="16">
        <v>100.8</v>
      </c>
      <c r="F44" s="16">
        <v>7.8498000000000001</v>
      </c>
      <c r="G44" s="16">
        <v>18.324428999999999</v>
      </c>
      <c r="H44" s="16">
        <v>365.5</v>
      </c>
      <c r="I44" s="8">
        <v>1.4348000000000001</v>
      </c>
      <c r="J44" s="16">
        <v>4.6349999999999998</v>
      </c>
      <c r="K44" s="10">
        <v>3.6726999999999999</v>
      </c>
      <c r="L44" s="11">
        <v>15225</v>
      </c>
      <c r="M44" s="13">
        <v>144.75</v>
      </c>
      <c r="N44" s="10">
        <v>34.953752999999999</v>
      </c>
      <c r="O44" s="10">
        <v>45.58</v>
      </c>
      <c r="P44" s="10">
        <v>29.712</v>
      </c>
      <c r="Q44" s="11">
        <v>42000</v>
      </c>
      <c r="R44" s="16">
        <v>0.82110000000000005</v>
      </c>
      <c r="S44" s="16">
        <v>0.94655699999999998</v>
      </c>
      <c r="T44" s="16">
        <v>54.482999999999997</v>
      </c>
      <c r="U44" s="16">
        <v>82.511208999999994</v>
      </c>
      <c r="V44" s="16">
        <v>96.122</v>
      </c>
    </row>
    <row r="45" spans="1:22" x14ac:dyDescent="0.3">
      <c r="A45" s="22">
        <v>44835</v>
      </c>
      <c r="B45" s="16">
        <v>82.354363000000006</v>
      </c>
      <c r="C45" s="16">
        <v>7.3014999999999999</v>
      </c>
      <c r="D45" s="21">
        <v>23855</v>
      </c>
      <c r="E45" s="16">
        <v>101.1</v>
      </c>
      <c r="F45" s="16">
        <v>7.8490000000000002</v>
      </c>
      <c r="G45" s="16">
        <v>18.039470000000001</v>
      </c>
      <c r="H45" s="16">
        <v>357.88</v>
      </c>
      <c r="I45" s="8">
        <v>1.3969</v>
      </c>
      <c r="J45" s="16">
        <v>4.4740000000000002</v>
      </c>
      <c r="K45" s="10">
        <v>3.6726000000000001</v>
      </c>
      <c r="L45" s="11">
        <v>14840</v>
      </c>
      <c r="M45" s="13">
        <v>138.96</v>
      </c>
      <c r="N45" s="10">
        <v>34.403281</v>
      </c>
      <c r="O45" s="10">
        <v>42.95</v>
      </c>
      <c r="P45" s="10">
        <v>29.026</v>
      </c>
      <c r="Q45" s="11">
        <v>42000</v>
      </c>
      <c r="R45" s="16">
        <v>0.79339999999999999</v>
      </c>
      <c r="S45" s="16">
        <v>0.94540000000000002</v>
      </c>
      <c r="T45" s="16">
        <v>55.648000000000003</v>
      </c>
      <c r="U45" s="16">
        <v>81.782786000000002</v>
      </c>
      <c r="V45" s="16">
        <v>97.736999999999995</v>
      </c>
    </row>
    <row r="46" spans="1:22" x14ac:dyDescent="0.3">
      <c r="A46" s="22">
        <v>44805</v>
      </c>
      <c r="B46" s="16">
        <v>80.240606</v>
      </c>
      <c r="C46" s="16">
        <v>7.1135000000000002</v>
      </c>
      <c r="D46" s="21">
        <v>23450</v>
      </c>
      <c r="E46" s="16">
        <v>94.91</v>
      </c>
      <c r="F46" s="16">
        <v>7.8497000000000003</v>
      </c>
      <c r="G46" s="16">
        <v>17.478739000000001</v>
      </c>
      <c r="H46" s="16">
        <v>357</v>
      </c>
      <c r="I46" s="8">
        <v>1.3804000000000001</v>
      </c>
      <c r="J46" s="16">
        <v>4.4480000000000004</v>
      </c>
      <c r="K46" s="10">
        <v>3.6726000000000001</v>
      </c>
      <c r="L46" s="11">
        <v>14830</v>
      </c>
      <c r="M46" s="13">
        <v>133.19</v>
      </c>
      <c r="N46" s="10">
        <v>33.796303999999999</v>
      </c>
      <c r="O46" s="10">
        <v>43.15</v>
      </c>
      <c r="P46" s="10">
        <v>29.437999999999999</v>
      </c>
      <c r="Q46" s="11">
        <v>42000</v>
      </c>
      <c r="R46" s="16">
        <v>0.79520000000000002</v>
      </c>
      <c r="S46" s="16">
        <v>0.92449999999999999</v>
      </c>
      <c r="T46" s="16">
        <v>54.045999999999999</v>
      </c>
      <c r="U46" s="16">
        <v>82.403257999999994</v>
      </c>
      <c r="V46" s="16">
        <v>96.192999999999998</v>
      </c>
    </row>
    <row r="47" spans="1:22" x14ac:dyDescent="0.3">
      <c r="A47" s="22">
        <v>44774</v>
      </c>
      <c r="B47" s="16">
        <v>79.536995000000005</v>
      </c>
      <c r="C47" s="16">
        <v>6.8890000000000002</v>
      </c>
      <c r="D47" s="21">
        <v>23335</v>
      </c>
      <c r="E47" s="16">
        <v>94.44</v>
      </c>
      <c r="F47" s="16">
        <v>7.8461999999999996</v>
      </c>
      <c r="G47" s="16">
        <v>16.999889</v>
      </c>
      <c r="H47" s="16">
        <v>356</v>
      </c>
      <c r="I47" s="8">
        <v>1.3897999999999999</v>
      </c>
      <c r="J47" s="16">
        <v>4.4059999999999997</v>
      </c>
      <c r="K47" s="10">
        <v>3.6726000000000001</v>
      </c>
      <c r="L47" s="11">
        <v>14895</v>
      </c>
      <c r="M47" s="13">
        <v>135.72999999999999</v>
      </c>
      <c r="N47" s="10">
        <v>33.259571999999999</v>
      </c>
      <c r="O47" s="10">
        <v>45.2</v>
      </c>
      <c r="P47" s="10">
        <v>28.629000000000001</v>
      </c>
      <c r="Q47" s="11">
        <v>42000</v>
      </c>
      <c r="R47" s="16">
        <v>0.76119999999999999</v>
      </c>
      <c r="S47" s="16">
        <v>0.90756300000000001</v>
      </c>
      <c r="T47" s="16">
        <v>56.774000000000001</v>
      </c>
      <c r="U47" s="16">
        <v>83.993342999999996</v>
      </c>
      <c r="V47" s="16">
        <v>99.688999999999993</v>
      </c>
    </row>
    <row r="48" spans="1:22" x14ac:dyDescent="0.3">
      <c r="A48" s="22">
        <v>44743</v>
      </c>
      <c r="B48" s="16">
        <v>79.596326000000005</v>
      </c>
      <c r="C48" s="16">
        <v>6.7432999999999996</v>
      </c>
      <c r="D48" s="21">
        <v>23255</v>
      </c>
      <c r="E48" s="16">
        <v>93.45</v>
      </c>
      <c r="F48" s="16">
        <v>7.8468999999999998</v>
      </c>
      <c r="G48" s="16">
        <v>15.633397</v>
      </c>
      <c r="H48" s="16">
        <v>360</v>
      </c>
      <c r="I48" s="8">
        <v>1.3693</v>
      </c>
      <c r="J48" s="16">
        <v>4.3769999999999998</v>
      </c>
      <c r="K48" s="10">
        <v>3.6726000000000001</v>
      </c>
      <c r="L48" s="11">
        <v>14580</v>
      </c>
      <c r="M48" s="13">
        <v>128.68</v>
      </c>
      <c r="N48" s="10">
        <v>32.634954</v>
      </c>
      <c r="O48" s="10">
        <v>43.35</v>
      </c>
      <c r="P48" s="10">
        <v>27.995999999999999</v>
      </c>
      <c r="Q48" s="11">
        <v>42000</v>
      </c>
      <c r="R48" s="16">
        <v>0.745</v>
      </c>
      <c r="S48" s="16">
        <v>0.88173299999999999</v>
      </c>
      <c r="T48" s="16">
        <v>54.823</v>
      </c>
      <c r="U48" s="16">
        <v>85.031165000000001</v>
      </c>
      <c r="V48" s="16">
        <v>101.304</v>
      </c>
    </row>
    <row r="49" spans="1:22" x14ac:dyDescent="0.3">
      <c r="A49" s="22">
        <v>44713</v>
      </c>
      <c r="B49" s="16">
        <v>78.095657000000003</v>
      </c>
      <c r="C49" s="16">
        <v>6.6981000000000002</v>
      </c>
      <c r="D49" s="21">
        <v>23185</v>
      </c>
      <c r="E49" s="16">
        <v>88.91</v>
      </c>
      <c r="F49" s="16">
        <v>7.8465999999999996</v>
      </c>
      <c r="G49" s="16">
        <v>14.725992</v>
      </c>
      <c r="H49" s="16">
        <v>355</v>
      </c>
      <c r="I49" s="8">
        <v>1.3835</v>
      </c>
      <c r="J49" s="16">
        <v>4.3520000000000003</v>
      </c>
      <c r="K49" s="10">
        <v>3.6726000000000001</v>
      </c>
      <c r="L49" s="11">
        <v>14495</v>
      </c>
      <c r="M49" s="13">
        <v>129.83000000000001</v>
      </c>
      <c r="N49" s="10">
        <v>33.238098000000001</v>
      </c>
      <c r="O49" s="10">
        <v>43.55</v>
      </c>
      <c r="P49" s="10">
        <v>27.768999999999998</v>
      </c>
      <c r="Q49" s="11">
        <v>42000</v>
      </c>
      <c r="R49" s="16">
        <v>0.74339999999999995</v>
      </c>
      <c r="S49" s="16">
        <v>0.88387099999999996</v>
      </c>
      <c r="T49" s="16">
        <v>52.646999999999998</v>
      </c>
      <c r="U49" s="16">
        <v>84.227314000000007</v>
      </c>
      <c r="V49" s="16">
        <v>100.20399999999999</v>
      </c>
    </row>
    <row r="50" spans="1:22" x14ac:dyDescent="0.3">
      <c r="A50" s="22">
        <v>44682</v>
      </c>
      <c r="B50" s="16">
        <v>77.309526000000005</v>
      </c>
      <c r="C50" s="16">
        <v>6.6715</v>
      </c>
      <c r="D50" s="21">
        <v>22962</v>
      </c>
      <c r="E50" s="16">
        <v>86.36</v>
      </c>
      <c r="F50" s="16">
        <v>7.8320999999999996</v>
      </c>
      <c r="G50" s="16">
        <v>14.632688</v>
      </c>
      <c r="H50" s="16">
        <v>294</v>
      </c>
      <c r="I50" s="8">
        <v>1.3548</v>
      </c>
      <c r="J50" s="16">
        <v>4.2030000000000003</v>
      </c>
      <c r="K50" s="10">
        <v>3.6726000000000001</v>
      </c>
      <c r="L50" s="11">
        <v>14368</v>
      </c>
      <c r="M50" s="13">
        <v>121.66</v>
      </c>
      <c r="N50" s="10">
        <v>33.555844</v>
      </c>
      <c r="O50" s="10">
        <v>43.45</v>
      </c>
      <c r="P50" s="10">
        <v>27.712</v>
      </c>
      <c r="Q50" s="11">
        <v>42000</v>
      </c>
      <c r="R50" s="16">
        <v>0.7389</v>
      </c>
      <c r="S50" s="16">
        <v>0.88466299999999998</v>
      </c>
      <c r="T50" s="16">
        <v>54.063000000000002</v>
      </c>
      <c r="U50" s="16">
        <v>85.176152000000002</v>
      </c>
      <c r="V50" s="16">
        <v>100.746</v>
      </c>
    </row>
    <row r="51" spans="1:22" x14ac:dyDescent="0.3">
      <c r="A51" s="22">
        <v>44652</v>
      </c>
      <c r="B51" s="16">
        <v>76.171184999999994</v>
      </c>
      <c r="C51" s="16">
        <v>6.6079999999999997</v>
      </c>
      <c r="D51" s="21">
        <v>22838</v>
      </c>
      <c r="E51" s="16">
        <v>86.2</v>
      </c>
      <c r="F51" s="16">
        <v>7.8139000000000003</v>
      </c>
      <c r="G51" s="16">
        <v>13.658243000000001</v>
      </c>
      <c r="H51" s="16">
        <v>200.92</v>
      </c>
      <c r="I51" s="8">
        <v>1.3546</v>
      </c>
      <c r="J51" s="16">
        <v>4.1959999999999997</v>
      </c>
      <c r="K51" s="10">
        <v>3.6726999999999999</v>
      </c>
      <c r="L51" s="11">
        <v>14365</v>
      </c>
      <c r="M51" s="13">
        <v>114.99</v>
      </c>
      <c r="N51" s="10">
        <v>33.093674999999998</v>
      </c>
      <c r="O51" s="10">
        <v>43.35</v>
      </c>
      <c r="P51" s="10">
        <v>27.628</v>
      </c>
      <c r="Q51" s="11">
        <v>42000</v>
      </c>
      <c r="R51" s="16">
        <v>0.75180000000000002</v>
      </c>
      <c r="S51" s="16">
        <v>0.87623600000000001</v>
      </c>
      <c r="T51" s="16">
        <v>53.487000000000002</v>
      </c>
      <c r="U51" s="16">
        <v>85.003776999999999</v>
      </c>
      <c r="V51" s="16">
        <v>99.831999999999994</v>
      </c>
    </row>
    <row r="52" spans="1:22" x14ac:dyDescent="0.3">
      <c r="A52" s="22">
        <v>44621</v>
      </c>
      <c r="B52" s="16">
        <v>76.228148000000004</v>
      </c>
      <c r="C52" s="16">
        <v>6.3392999999999997</v>
      </c>
      <c r="D52" s="21">
        <v>22805</v>
      </c>
      <c r="E52" s="16">
        <v>85.77</v>
      </c>
      <c r="F52" s="16">
        <v>7.7973999999999997</v>
      </c>
      <c r="G52" s="16">
        <v>13.568861</v>
      </c>
      <c r="H52" s="16">
        <v>201.2</v>
      </c>
      <c r="I52" s="8">
        <v>1.3512</v>
      </c>
      <c r="J52" s="16">
        <v>4.1840000000000002</v>
      </c>
      <c r="K52" s="10">
        <v>3.6728999999999998</v>
      </c>
      <c r="L52" s="11">
        <v>14380</v>
      </c>
      <c r="M52" s="13">
        <v>115.1</v>
      </c>
      <c r="N52" s="10">
        <v>33.455182999999998</v>
      </c>
      <c r="O52" s="10">
        <v>42.9</v>
      </c>
      <c r="P52" s="10">
        <v>27.821999999999999</v>
      </c>
      <c r="Q52" s="11">
        <v>42000</v>
      </c>
      <c r="R52" s="16">
        <v>0.73019999999999996</v>
      </c>
      <c r="S52" s="16">
        <v>0.86196499999999998</v>
      </c>
      <c r="T52" s="16">
        <v>56.344000000000001</v>
      </c>
      <c r="U52" s="16">
        <v>86.957123999999993</v>
      </c>
      <c r="V52" s="16">
        <v>102.56699999999999</v>
      </c>
    </row>
    <row r="53" spans="1:22" x14ac:dyDescent="0.3">
      <c r="A53" s="22">
        <v>44593</v>
      </c>
      <c r="B53" s="16">
        <v>74.971907000000002</v>
      </c>
      <c r="C53" s="16">
        <v>6.3083999999999998</v>
      </c>
      <c r="D53" s="21">
        <v>22645</v>
      </c>
      <c r="E53" s="16">
        <v>85.8</v>
      </c>
      <c r="F53" s="16">
        <v>7.7957999999999998</v>
      </c>
      <c r="G53" s="16">
        <v>13.833595000000001</v>
      </c>
      <c r="H53" s="16">
        <v>202.75</v>
      </c>
      <c r="I53" s="8">
        <v>1.349</v>
      </c>
      <c r="J53" s="16">
        <v>4.1639999999999997</v>
      </c>
      <c r="K53" s="10">
        <v>3.6728999999999998</v>
      </c>
      <c r="L53" s="11">
        <v>14250</v>
      </c>
      <c r="M53" s="13">
        <v>115.08</v>
      </c>
      <c r="N53" s="10">
        <v>33.067945000000002</v>
      </c>
      <c r="O53" s="10">
        <v>42.5</v>
      </c>
      <c r="P53" s="10">
        <v>27.81</v>
      </c>
      <c r="Q53" s="11">
        <v>42000</v>
      </c>
      <c r="R53" s="16">
        <v>0.74209999999999998</v>
      </c>
      <c r="S53" s="16">
        <v>0.84963100000000003</v>
      </c>
      <c r="T53" s="16">
        <v>53.591000000000001</v>
      </c>
      <c r="U53" s="16">
        <v>86.633044999999996</v>
      </c>
      <c r="V53" s="16">
        <v>99.914000000000001</v>
      </c>
    </row>
    <row r="54" spans="1:22" x14ac:dyDescent="0.3">
      <c r="A54" s="22">
        <v>44562</v>
      </c>
      <c r="B54" s="16">
        <v>74.444012000000001</v>
      </c>
      <c r="C54" s="16">
        <v>6.3605</v>
      </c>
      <c r="D54" s="21">
        <v>22825</v>
      </c>
      <c r="E54" s="16">
        <v>85.62</v>
      </c>
      <c r="F54" s="16">
        <v>7.7969999999999997</v>
      </c>
      <c r="G54" s="16">
        <v>10.731657999999999</v>
      </c>
      <c r="H54" s="16">
        <v>202.5</v>
      </c>
      <c r="I54" s="8">
        <v>1.3641000000000001</v>
      </c>
      <c r="J54" s="16">
        <v>4.2</v>
      </c>
      <c r="K54" s="10">
        <v>3.6728000000000001</v>
      </c>
      <c r="L54" s="11">
        <v>14320</v>
      </c>
      <c r="M54" s="13">
        <v>113.13</v>
      </c>
      <c r="N54" s="10">
        <v>33.092936999999999</v>
      </c>
      <c r="O54" s="10">
        <v>42.9</v>
      </c>
      <c r="P54" s="10">
        <v>27.651</v>
      </c>
      <c r="Q54" s="11">
        <v>42000</v>
      </c>
      <c r="R54" s="16">
        <v>0.7268</v>
      </c>
      <c r="S54" s="16">
        <v>0.84950800000000004</v>
      </c>
      <c r="T54" s="16">
        <v>53.360999999999997</v>
      </c>
      <c r="U54" s="16">
        <v>87.257313999999994</v>
      </c>
      <c r="V54" s="16">
        <v>100.331</v>
      </c>
    </row>
    <row r="55" spans="1:22" x14ac:dyDescent="0.3">
      <c r="A55" s="22">
        <v>44531</v>
      </c>
      <c r="B55" s="16">
        <v>75.352399000000005</v>
      </c>
      <c r="C55" s="16">
        <v>6.3521000000000001</v>
      </c>
      <c r="D55" s="21">
        <v>22688</v>
      </c>
      <c r="E55" s="16">
        <v>85.61</v>
      </c>
      <c r="F55" s="16">
        <v>7.7786999999999997</v>
      </c>
      <c r="G55" s="16">
        <v>9.20608</v>
      </c>
      <c r="H55" s="16">
        <v>200</v>
      </c>
      <c r="I55" s="8">
        <v>1.3488</v>
      </c>
      <c r="J55" s="16">
        <v>4.1390000000000002</v>
      </c>
      <c r="K55" s="10">
        <v>3.6726000000000001</v>
      </c>
      <c r="L55" s="11">
        <v>14165</v>
      </c>
      <c r="M55" s="13">
        <v>114</v>
      </c>
      <c r="N55" s="10">
        <v>32.640017999999998</v>
      </c>
      <c r="O55" s="10">
        <v>42.3</v>
      </c>
      <c r="P55" s="10">
        <v>27.93</v>
      </c>
      <c r="Q55" s="11">
        <v>42000</v>
      </c>
      <c r="R55" s="16">
        <v>0.71919999999999995</v>
      </c>
      <c r="S55" s="16">
        <v>0.84590200000000004</v>
      </c>
      <c r="T55" s="16">
        <v>54.593000000000004</v>
      </c>
      <c r="U55" s="16">
        <v>88.113382000000001</v>
      </c>
      <c r="V55" s="16">
        <v>103.336</v>
      </c>
    </row>
    <row r="56" spans="1:22" x14ac:dyDescent="0.3">
      <c r="A56" s="22">
        <v>44501</v>
      </c>
      <c r="B56" s="16">
        <v>74.473561000000004</v>
      </c>
      <c r="C56" s="16">
        <v>6.3639999999999999</v>
      </c>
      <c r="D56" s="21">
        <v>22750</v>
      </c>
      <c r="E56" s="16">
        <v>85.41</v>
      </c>
      <c r="F56" s="16">
        <v>7.7858999999999998</v>
      </c>
      <c r="G56" s="16">
        <v>8.5559279999999998</v>
      </c>
      <c r="H56" s="16">
        <v>199</v>
      </c>
      <c r="I56" s="8">
        <v>1.3572</v>
      </c>
      <c r="J56" s="16">
        <v>4.1849999999999996</v>
      </c>
      <c r="K56" s="10">
        <v>3.6728000000000001</v>
      </c>
      <c r="L56" s="11">
        <v>14310</v>
      </c>
      <c r="M56" s="13">
        <v>111.27</v>
      </c>
      <c r="N56" s="10">
        <v>31.440847000000002</v>
      </c>
      <c r="O56" s="10">
        <v>42.85</v>
      </c>
      <c r="P56" s="10">
        <v>27.913</v>
      </c>
      <c r="Q56" s="11">
        <v>42000</v>
      </c>
      <c r="R56" s="16">
        <v>0.72299999999999998</v>
      </c>
      <c r="S56" s="16">
        <v>0.83016699999999999</v>
      </c>
      <c r="T56" s="16">
        <v>55.755000000000003</v>
      </c>
      <c r="U56" s="16">
        <v>88.629845000000003</v>
      </c>
      <c r="V56" s="16">
        <v>102.818</v>
      </c>
    </row>
    <row r="57" spans="1:22" x14ac:dyDescent="0.3">
      <c r="A57" s="22">
        <v>44470</v>
      </c>
      <c r="B57" s="16">
        <v>74.953777000000002</v>
      </c>
      <c r="C57" s="16">
        <v>6.4050000000000002</v>
      </c>
      <c r="D57" s="21">
        <v>22750</v>
      </c>
      <c r="E57" s="16">
        <v>85.6</v>
      </c>
      <c r="F57" s="16">
        <v>7.7773000000000003</v>
      </c>
      <c r="G57" s="16">
        <v>8.4770769999999995</v>
      </c>
      <c r="H57" s="16">
        <v>199</v>
      </c>
      <c r="I57" s="8">
        <v>1.3447</v>
      </c>
      <c r="J57" s="16">
        <v>4.1550000000000002</v>
      </c>
      <c r="K57" s="10">
        <v>3.6724000000000001</v>
      </c>
      <c r="L57" s="11">
        <v>14265</v>
      </c>
      <c r="M57" s="13">
        <v>110.02</v>
      </c>
      <c r="N57" s="10">
        <v>31.279059</v>
      </c>
      <c r="O57" s="10">
        <v>41.15</v>
      </c>
      <c r="P57" s="10">
        <v>27.524000000000001</v>
      </c>
      <c r="Q57" s="11">
        <v>42000</v>
      </c>
      <c r="R57" s="16">
        <v>0.70350000000000001</v>
      </c>
      <c r="S57" s="16">
        <v>0.823353</v>
      </c>
      <c r="T57" s="16">
        <v>56.066000000000003</v>
      </c>
      <c r="U57" s="16">
        <v>88.917133000000007</v>
      </c>
      <c r="V57" s="16">
        <v>103.03100000000001</v>
      </c>
    </row>
    <row r="58" spans="1:22" x14ac:dyDescent="0.3">
      <c r="A58" s="22">
        <v>44440</v>
      </c>
      <c r="B58" s="16">
        <v>73.604971000000006</v>
      </c>
      <c r="C58" s="16">
        <v>6.4451999999999998</v>
      </c>
      <c r="D58" s="21">
        <v>22775</v>
      </c>
      <c r="E58" s="16">
        <v>85.03</v>
      </c>
      <c r="F58" s="16">
        <v>7.7720000000000002</v>
      </c>
      <c r="G58" s="16">
        <v>8.5931099999999994</v>
      </c>
      <c r="H58" s="16">
        <v>199</v>
      </c>
      <c r="I58" s="8">
        <v>1.3539000000000001</v>
      </c>
      <c r="J58" s="16">
        <v>4.218</v>
      </c>
      <c r="K58" s="10">
        <v>3.6726000000000001</v>
      </c>
      <c r="L58" s="11">
        <v>14460</v>
      </c>
      <c r="M58" s="13">
        <v>109.7</v>
      </c>
      <c r="N58" s="10">
        <v>31.347629000000001</v>
      </c>
      <c r="O58" s="10">
        <v>40.15</v>
      </c>
      <c r="P58" s="10">
        <v>27.846</v>
      </c>
      <c r="Q58" s="11">
        <v>42000</v>
      </c>
      <c r="R58" s="16">
        <v>0.72370000000000001</v>
      </c>
      <c r="S58" s="16">
        <v>0.83484800000000003</v>
      </c>
      <c r="T58" s="16">
        <v>57.137</v>
      </c>
      <c r="U58" s="16">
        <v>89.421025</v>
      </c>
      <c r="V58" s="16">
        <v>102.29300000000001</v>
      </c>
    </row>
    <row r="59" spans="1:22" x14ac:dyDescent="0.3">
      <c r="A59" s="22">
        <v>44409</v>
      </c>
      <c r="B59" s="16">
        <v>74.124448999999998</v>
      </c>
      <c r="C59" s="16">
        <v>6.4603999999999999</v>
      </c>
      <c r="D59" s="21">
        <v>22950</v>
      </c>
      <c r="E59" s="16">
        <v>84.25</v>
      </c>
      <c r="F59" s="16">
        <v>7.7641</v>
      </c>
      <c r="G59" s="16">
        <v>8.6187939999999994</v>
      </c>
      <c r="H59" s="16">
        <v>199</v>
      </c>
      <c r="I59" s="8">
        <v>1.3451</v>
      </c>
      <c r="J59" s="16">
        <v>4.1500000000000004</v>
      </c>
      <c r="K59" s="10">
        <v>3.6728000000000001</v>
      </c>
      <c r="L59" s="11">
        <v>14495</v>
      </c>
      <c r="M59" s="13">
        <v>111.1</v>
      </c>
      <c r="N59" s="10">
        <v>30.787929999999999</v>
      </c>
      <c r="O59" s="10">
        <v>40.65</v>
      </c>
      <c r="P59" s="10">
        <v>28.443999999999999</v>
      </c>
      <c r="Q59" s="11">
        <v>42000</v>
      </c>
      <c r="R59" s="16">
        <v>0.72540000000000004</v>
      </c>
      <c r="S59" s="16">
        <v>0.840449</v>
      </c>
      <c r="T59" s="16">
        <v>55.555</v>
      </c>
      <c r="U59" s="16">
        <v>86.655034999999998</v>
      </c>
      <c r="V59" s="16">
        <v>100.77500000000001</v>
      </c>
    </row>
    <row r="60" spans="1:22" x14ac:dyDescent="0.3">
      <c r="A60" s="22">
        <v>44378</v>
      </c>
      <c r="B60" s="16">
        <v>74.534734999999998</v>
      </c>
      <c r="C60" s="16">
        <v>6.4608999999999996</v>
      </c>
      <c r="D60" s="21">
        <v>23014</v>
      </c>
      <c r="E60" s="16">
        <v>84.57</v>
      </c>
      <c r="F60" s="16">
        <v>7.7606999999999999</v>
      </c>
      <c r="G60" s="16">
        <v>8.3855710000000006</v>
      </c>
      <c r="H60" s="16">
        <v>197</v>
      </c>
      <c r="I60" s="8">
        <v>1.3211999999999999</v>
      </c>
      <c r="J60" s="16">
        <v>4.1219999999999999</v>
      </c>
      <c r="K60" s="10">
        <v>3.6728000000000001</v>
      </c>
      <c r="L60" s="11">
        <v>14275</v>
      </c>
      <c r="M60" s="13">
        <v>109.54</v>
      </c>
      <c r="N60" s="10">
        <v>30.010950000000001</v>
      </c>
      <c r="O60" s="10">
        <v>39.700000000000003</v>
      </c>
      <c r="P60" s="10">
        <v>27.864999999999998</v>
      </c>
      <c r="Q60" s="11">
        <v>42000</v>
      </c>
      <c r="R60" s="16">
        <v>0.71760000000000002</v>
      </c>
      <c r="S60" s="16">
        <v>0.82660999999999996</v>
      </c>
      <c r="T60" s="16">
        <v>56.954999999999998</v>
      </c>
      <c r="U60" s="16">
        <v>88.075630000000004</v>
      </c>
      <c r="V60" s="16">
        <v>102.985</v>
      </c>
    </row>
    <row r="61" spans="1:22" x14ac:dyDescent="0.3">
      <c r="A61" s="22">
        <v>44348</v>
      </c>
      <c r="B61" s="16">
        <v>73.575495000000004</v>
      </c>
      <c r="C61" s="16">
        <v>6.4565999999999999</v>
      </c>
      <c r="D61" s="21">
        <v>23040</v>
      </c>
      <c r="E61" s="16">
        <v>84.54</v>
      </c>
      <c r="F61" s="16">
        <v>7.7674000000000003</v>
      </c>
      <c r="G61" s="16">
        <v>8.1752850000000006</v>
      </c>
      <c r="H61" s="16">
        <v>197</v>
      </c>
      <c r="I61" s="8">
        <v>1.3301000000000001</v>
      </c>
      <c r="J61" s="16">
        <v>4.093</v>
      </c>
      <c r="K61" s="10">
        <v>3.6728000000000001</v>
      </c>
      <c r="L61" s="11">
        <v>14440</v>
      </c>
      <c r="M61" s="13">
        <v>109.27</v>
      </c>
      <c r="N61" s="10">
        <v>30.012457999999999</v>
      </c>
      <c r="O61" s="10">
        <v>39.450000000000003</v>
      </c>
      <c r="P61" s="10">
        <v>28.001000000000001</v>
      </c>
      <c r="Q61" s="11">
        <v>42000</v>
      </c>
      <c r="R61" s="16">
        <v>0.7298</v>
      </c>
      <c r="S61" s="16">
        <v>0.82166399999999995</v>
      </c>
      <c r="T61" s="16">
        <v>55.692999999999998</v>
      </c>
      <c r="U61" s="16">
        <v>88.993575000000007</v>
      </c>
      <c r="V61" s="16">
        <v>99.834000000000003</v>
      </c>
    </row>
    <row r="62" spans="1:22" x14ac:dyDescent="0.3">
      <c r="A62" s="22">
        <v>44317</v>
      </c>
      <c r="B62" s="16">
        <v>73.209689999999995</v>
      </c>
      <c r="C62" s="16">
        <v>6.3688000000000002</v>
      </c>
      <c r="D62" s="21">
        <v>23054</v>
      </c>
      <c r="E62" s="16">
        <v>84.28</v>
      </c>
      <c r="F62" s="16">
        <v>7.7739000000000003</v>
      </c>
      <c r="G62" s="16">
        <v>7.675084</v>
      </c>
      <c r="H62" s="16">
        <v>198.5</v>
      </c>
      <c r="I62" s="8">
        <v>1.3446</v>
      </c>
      <c r="J62" s="16">
        <v>4.1449999999999996</v>
      </c>
      <c r="K62" s="10">
        <v>3.6728000000000001</v>
      </c>
      <c r="L62" s="11">
        <v>14520</v>
      </c>
      <c r="M62" s="13">
        <v>110.7</v>
      </c>
      <c r="N62" s="10">
        <v>30.082975000000001</v>
      </c>
      <c r="O62" s="10">
        <v>39.549999999999997</v>
      </c>
      <c r="P62" s="10">
        <v>28.074999999999999</v>
      </c>
      <c r="Q62" s="11">
        <v>42000</v>
      </c>
      <c r="R62" s="16">
        <v>0.73109999999999997</v>
      </c>
      <c r="S62" s="16">
        <v>0.82174100000000005</v>
      </c>
      <c r="T62" s="16">
        <v>56.194000000000003</v>
      </c>
      <c r="U62" s="16">
        <v>89.608144999999993</v>
      </c>
      <c r="V62" s="16">
        <v>99.861999999999995</v>
      </c>
    </row>
    <row r="63" spans="1:22" x14ac:dyDescent="0.3">
      <c r="A63" s="22">
        <v>44287</v>
      </c>
      <c r="B63" s="16">
        <v>74.645910000000001</v>
      </c>
      <c r="C63" s="16">
        <v>6.4729999999999999</v>
      </c>
      <c r="D63" s="21">
        <v>23074</v>
      </c>
      <c r="E63" s="16">
        <v>84.37</v>
      </c>
      <c r="F63" s="16">
        <v>7.7564000000000002</v>
      </c>
      <c r="G63" s="16">
        <v>7.0909129999999996</v>
      </c>
      <c r="H63" s="16">
        <v>194</v>
      </c>
      <c r="I63" s="8">
        <v>1.3314999999999999</v>
      </c>
      <c r="J63" s="16">
        <v>4.0519999999999996</v>
      </c>
      <c r="K63" s="10">
        <v>3.6728000000000001</v>
      </c>
      <c r="L63" s="11">
        <v>14240</v>
      </c>
      <c r="M63" s="13">
        <v>106.58</v>
      </c>
      <c r="N63" s="10">
        <v>30.446672</v>
      </c>
      <c r="O63" s="10">
        <v>39.700000000000003</v>
      </c>
      <c r="P63" s="10">
        <v>28.576000000000001</v>
      </c>
      <c r="Q63" s="11">
        <v>42000</v>
      </c>
      <c r="R63" s="16">
        <v>0.75049999999999994</v>
      </c>
      <c r="S63" s="16">
        <v>0.84477899999999995</v>
      </c>
      <c r="T63" s="16">
        <v>54.345999999999997</v>
      </c>
      <c r="U63" s="16">
        <v>87.855271000000002</v>
      </c>
      <c r="V63" s="16">
        <v>98.561999999999998</v>
      </c>
    </row>
    <row r="64" spans="1:22" x14ac:dyDescent="0.3">
      <c r="A64" s="22">
        <v>44256</v>
      </c>
      <c r="B64" s="16">
        <v>72.824742000000001</v>
      </c>
      <c r="C64" s="16">
        <v>6.5518000000000001</v>
      </c>
      <c r="D64" s="21">
        <v>23015</v>
      </c>
      <c r="E64" s="16">
        <v>84.62</v>
      </c>
      <c r="F64" s="16">
        <v>7.7527999999999997</v>
      </c>
      <c r="G64" s="16">
        <v>7.3997510000000002</v>
      </c>
      <c r="H64" s="16">
        <v>190.5</v>
      </c>
      <c r="I64" s="8">
        <v>1.3288</v>
      </c>
      <c r="J64" s="16">
        <v>4.04</v>
      </c>
      <c r="K64" s="10">
        <v>3.6728000000000001</v>
      </c>
      <c r="L64" s="11">
        <v>14020</v>
      </c>
      <c r="M64" s="13">
        <v>104.68</v>
      </c>
      <c r="N64" s="10">
        <v>31.248495999999999</v>
      </c>
      <c r="O64" s="10">
        <v>39.799999999999997</v>
      </c>
      <c r="P64" s="10">
        <v>28.584</v>
      </c>
      <c r="Q64" s="11">
        <v>42000</v>
      </c>
      <c r="R64" s="16">
        <v>0.77249999999999996</v>
      </c>
      <c r="S64" s="16">
        <v>0.84925700000000004</v>
      </c>
      <c r="T64" s="16">
        <v>52.381999999999998</v>
      </c>
      <c r="U64" s="16">
        <v>86.589090999999996</v>
      </c>
      <c r="V64" s="16">
        <v>96.48</v>
      </c>
    </row>
    <row r="65" spans="1:22" x14ac:dyDescent="0.3">
      <c r="A65" s="22">
        <v>44228</v>
      </c>
      <c r="B65" s="16">
        <v>72.802874000000003</v>
      </c>
      <c r="C65" s="16">
        <v>6.4729999999999999</v>
      </c>
      <c r="D65" s="21">
        <v>23048</v>
      </c>
      <c r="E65" s="16">
        <v>84.37</v>
      </c>
      <c r="F65" s="16">
        <v>7.7523</v>
      </c>
      <c r="G65" s="16">
        <v>7.7098389999999997</v>
      </c>
      <c r="H65" s="16">
        <v>185</v>
      </c>
      <c r="I65" s="8">
        <v>1.3209</v>
      </c>
      <c r="J65" s="16">
        <v>4.0199999999999996</v>
      </c>
      <c r="K65" s="10">
        <v>3.6728000000000001</v>
      </c>
      <c r="L65" s="11">
        <v>14040</v>
      </c>
      <c r="M65" s="13">
        <v>103.24</v>
      </c>
      <c r="N65" s="10">
        <v>31.374798999999999</v>
      </c>
      <c r="O65" s="10">
        <v>39.700000000000003</v>
      </c>
      <c r="P65" s="10">
        <v>28.922999999999998</v>
      </c>
      <c r="Q65" s="11">
        <v>42000</v>
      </c>
      <c r="R65" s="16">
        <v>0.77380000000000004</v>
      </c>
      <c r="S65" s="16">
        <v>0.84804999999999997</v>
      </c>
      <c r="T65" s="16">
        <v>52.683999999999997</v>
      </c>
      <c r="U65" s="16">
        <v>86.726595000000003</v>
      </c>
      <c r="V65" s="16">
        <v>95.025000000000006</v>
      </c>
    </row>
    <row r="66" spans="1:22" x14ac:dyDescent="0.3">
      <c r="A66" s="22">
        <v>44197</v>
      </c>
      <c r="B66" s="16">
        <v>73.120053999999996</v>
      </c>
      <c r="C66" s="16">
        <v>6.4249999999999998</v>
      </c>
      <c r="D66" s="21">
        <v>23070</v>
      </c>
      <c r="E66" s="16">
        <v>84.27</v>
      </c>
      <c r="F66" s="16">
        <v>7.7515999999999998</v>
      </c>
      <c r="G66" s="16">
        <v>7.9856720000000001</v>
      </c>
      <c r="H66" s="16">
        <v>185.5</v>
      </c>
      <c r="I66" s="8">
        <v>1.3413999999999999</v>
      </c>
      <c r="J66" s="16">
        <v>4.0730000000000004</v>
      </c>
      <c r="K66" s="10">
        <v>3.6728000000000001</v>
      </c>
      <c r="L66" s="11">
        <v>14090</v>
      </c>
      <c r="M66" s="13">
        <v>104.27</v>
      </c>
      <c r="N66" s="10">
        <v>31.20627</v>
      </c>
      <c r="O66" s="10">
        <v>39.6</v>
      </c>
      <c r="P66" s="10">
        <v>29.364999999999998</v>
      </c>
      <c r="Q66" s="11">
        <v>42000</v>
      </c>
      <c r="R66" s="16">
        <v>0.74770000000000003</v>
      </c>
      <c r="S66" s="16">
        <v>0.84546500000000002</v>
      </c>
      <c r="T66" s="16">
        <v>54.024999999999999</v>
      </c>
      <c r="U66" s="16">
        <v>88.230857</v>
      </c>
      <c r="V66" s="16">
        <v>97.933000000000007</v>
      </c>
    </row>
    <row r="67" spans="1:22" x14ac:dyDescent="0.3">
      <c r="A67" s="22">
        <v>44166</v>
      </c>
      <c r="B67" s="16">
        <v>73.632669000000007</v>
      </c>
      <c r="C67" s="16">
        <v>6.5250000000000004</v>
      </c>
      <c r="D67" s="21">
        <v>23140</v>
      </c>
      <c r="E67" s="16">
        <v>84.46</v>
      </c>
      <c r="F67" s="16">
        <v>7.7515999999999998</v>
      </c>
      <c r="G67" s="16">
        <v>7.9576719999999996</v>
      </c>
      <c r="H67" s="16">
        <v>184.25</v>
      </c>
      <c r="I67" s="8">
        <v>1.3660000000000001</v>
      </c>
      <c r="J67" s="16">
        <v>4.1509999999999998</v>
      </c>
      <c r="K67" s="10">
        <v>3.6728000000000001</v>
      </c>
      <c r="L67" s="11">
        <v>14620</v>
      </c>
      <c r="M67" s="13">
        <v>104.64</v>
      </c>
      <c r="N67" s="10">
        <v>31.414643999999999</v>
      </c>
      <c r="O67" s="10">
        <v>39.4</v>
      </c>
      <c r="P67" s="10">
        <v>29.337</v>
      </c>
      <c r="Q67" s="11">
        <v>42000</v>
      </c>
      <c r="R67" s="16">
        <v>0.7641</v>
      </c>
      <c r="S67" s="16">
        <v>0.87257399999999996</v>
      </c>
      <c r="T67" s="16">
        <v>53.505000000000003</v>
      </c>
      <c r="U67" s="16">
        <v>85.884674000000004</v>
      </c>
      <c r="V67" s="16">
        <v>98.013000000000005</v>
      </c>
    </row>
    <row r="68" spans="1:22" x14ac:dyDescent="0.3">
      <c r="A68" s="22">
        <v>44136</v>
      </c>
      <c r="B68" s="16">
        <v>74.216222999999999</v>
      </c>
      <c r="C68" s="16">
        <v>6.5759999999999996</v>
      </c>
      <c r="D68" s="21">
        <v>23180</v>
      </c>
      <c r="E68" s="16">
        <v>84.29</v>
      </c>
      <c r="F68" s="16">
        <v>7.7496</v>
      </c>
      <c r="G68" s="16">
        <v>7.555097</v>
      </c>
      <c r="H68" s="16">
        <v>184.9</v>
      </c>
      <c r="I68" s="8">
        <v>1.3652</v>
      </c>
      <c r="J68" s="16">
        <v>4.1529999999999996</v>
      </c>
      <c r="K68" s="10">
        <v>3.6728000000000001</v>
      </c>
      <c r="L68" s="11">
        <v>14840</v>
      </c>
      <c r="M68" s="13">
        <v>105.45</v>
      </c>
      <c r="N68" s="10">
        <v>31.167275</v>
      </c>
      <c r="O68" s="10">
        <v>40</v>
      </c>
      <c r="P68" s="10">
        <v>29.411999999999999</v>
      </c>
      <c r="Q68" s="11">
        <v>42000</v>
      </c>
      <c r="R68" s="16">
        <v>0.80630000000000002</v>
      </c>
      <c r="S68" s="16">
        <v>0.88855300000000004</v>
      </c>
      <c r="T68" s="16">
        <v>52.137999999999998</v>
      </c>
      <c r="U68" s="16">
        <v>85.221204999999998</v>
      </c>
      <c r="V68" s="16">
        <v>93.662000000000006</v>
      </c>
    </row>
    <row r="69" spans="1:22" x14ac:dyDescent="0.3">
      <c r="A69" s="22">
        <v>44105</v>
      </c>
      <c r="B69" s="16">
        <v>73.535523999999995</v>
      </c>
      <c r="C69" s="16">
        <v>6.6919000000000004</v>
      </c>
      <c r="D69" s="21">
        <v>23181</v>
      </c>
      <c r="E69" s="16">
        <v>84.79</v>
      </c>
      <c r="F69" s="16">
        <v>7.7500999999999998</v>
      </c>
      <c r="G69" s="16">
        <v>7.2827159999999997</v>
      </c>
      <c r="H69" s="16">
        <v>185.8</v>
      </c>
      <c r="I69" s="8">
        <v>1.3601000000000001</v>
      </c>
      <c r="J69" s="16">
        <v>4.1630000000000003</v>
      </c>
      <c r="K69" s="10">
        <v>3.6728000000000001</v>
      </c>
      <c r="L69" s="11">
        <v>14560</v>
      </c>
      <c r="M69" s="13">
        <v>105.89</v>
      </c>
      <c r="N69" s="10">
        <v>32.062482000000003</v>
      </c>
      <c r="O69" s="10">
        <v>40.049999999999997</v>
      </c>
      <c r="P69" s="10">
        <v>29.943999999999999</v>
      </c>
      <c r="Q69" s="11">
        <v>44070</v>
      </c>
      <c r="R69" s="16">
        <v>0.80979999999999996</v>
      </c>
      <c r="S69" s="16">
        <v>0.91733900000000002</v>
      </c>
      <c r="T69" s="16">
        <v>50.387999999999998</v>
      </c>
      <c r="U69" s="16">
        <v>82.4983</v>
      </c>
      <c r="V69" s="16">
        <v>93.308000000000007</v>
      </c>
    </row>
    <row r="70" spans="1:22" x14ac:dyDescent="0.3">
      <c r="A70" s="22">
        <v>44075</v>
      </c>
      <c r="B70" s="16">
        <v>73.545564999999996</v>
      </c>
      <c r="C70" s="16">
        <v>6.7896000000000001</v>
      </c>
      <c r="D70" s="21">
        <v>23174</v>
      </c>
      <c r="E70" s="16">
        <v>84.63</v>
      </c>
      <c r="F70" s="16">
        <v>7.7502000000000004</v>
      </c>
      <c r="G70" s="16">
        <v>6.8773580000000001</v>
      </c>
      <c r="H70" s="16">
        <v>185.55</v>
      </c>
      <c r="I70" s="8">
        <v>1.3743000000000001</v>
      </c>
      <c r="J70" s="16">
        <v>4.2370000000000001</v>
      </c>
      <c r="K70" s="10">
        <v>3.6726999999999999</v>
      </c>
      <c r="L70" s="11">
        <v>14530</v>
      </c>
      <c r="M70" s="13">
        <v>105.88</v>
      </c>
      <c r="N70" s="10">
        <v>32.632618000000001</v>
      </c>
      <c r="O70" s="10">
        <v>39.700000000000003</v>
      </c>
      <c r="P70" s="10">
        <v>29.776</v>
      </c>
      <c r="Q70" s="11">
        <v>42590</v>
      </c>
      <c r="R70" s="16">
        <v>0.79390000000000005</v>
      </c>
      <c r="S70" s="16">
        <v>0.92066700000000001</v>
      </c>
      <c r="T70" s="16">
        <v>48.875</v>
      </c>
      <c r="U70" s="16">
        <v>82.786910000000006</v>
      </c>
      <c r="V70" s="16">
        <v>94.537000000000006</v>
      </c>
    </row>
    <row r="71" spans="1:22" x14ac:dyDescent="0.3">
      <c r="A71" s="22">
        <v>44044</v>
      </c>
      <c r="B71" s="16">
        <v>74.595697000000001</v>
      </c>
      <c r="C71" s="16">
        <v>6.8474000000000004</v>
      </c>
      <c r="D71" s="21">
        <v>23170</v>
      </c>
      <c r="E71" s="16">
        <v>84.63</v>
      </c>
      <c r="F71" s="16">
        <v>7.7504999999999997</v>
      </c>
      <c r="G71" s="16">
        <v>6.8245259999999996</v>
      </c>
      <c r="H71" s="16">
        <v>186.15</v>
      </c>
      <c r="I71" s="8">
        <v>1.3931</v>
      </c>
      <c r="J71" s="16">
        <v>4.282</v>
      </c>
      <c r="K71" s="10">
        <v>3.6728000000000001</v>
      </c>
      <c r="L71" s="11">
        <v>14180</v>
      </c>
      <c r="M71" s="13">
        <v>107.92</v>
      </c>
      <c r="N71" s="10">
        <v>32.095681999999996</v>
      </c>
      <c r="O71" s="10">
        <v>39.1</v>
      </c>
      <c r="P71" s="10">
        <v>30.268000000000001</v>
      </c>
      <c r="Q71" s="11">
        <v>42155</v>
      </c>
      <c r="R71" s="16">
        <v>0.80510000000000004</v>
      </c>
      <c r="S71" s="16">
        <v>0.90418399999999999</v>
      </c>
      <c r="T71" s="16">
        <v>46.216999999999999</v>
      </c>
      <c r="U71" s="16">
        <v>82.437432000000001</v>
      </c>
      <c r="V71" s="16">
        <v>93.549000000000007</v>
      </c>
    </row>
    <row r="72" spans="1:22" x14ac:dyDescent="0.3">
      <c r="A72" s="22">
        <v>44013</v>
      </c>
      <c r="B72" s="16">
        <v>74.922385000000006</v>
      </c>
      <c r="C72" s="16">
        <v>6.9744000000000002</v>
      </c>
      <c r="D72" s="21">
        <v>23204</v>
      </c>
      <c r="E72" s="16">
        <v>84.73</v>
      </c>
      <c r="F72" s="16">
        <v>7.7508999999999997</v>
      </c>
      <c r="G72" s="16">
        <v>6.928687</v>
      </c>
      <c r="H72" s="16">
        <v>186.2</v>
      </c>
      <c r="I72" s="8">
        <v>1.4115</v>
      </c>
      <c r="J72" s="16">
        <v>4.3449999999999998</v>
      </c>
      <c r="K72" s="10">
        <v>3.6728000000000001</v>
      </c>
      <c r="L72" s="11">
        <v>14575</v>
      </c>
      <c r="M72" s="13">
        <v>107.77</v>
      </c>
      <c r="N72" s="10">
        <v>31.328713</v>
      </c>
      <c r="O72" s="10">
        <v>37.549999999999997</v>
      </c>
      <c r="P72" s="10">
        <v>30.122</v>
      </c>
      <c r="Q72" s="11">
        <v>42000</v>
      </c>
      <c r="R72" s="16">
        <v>0.77990000000000004</v>
      </c>
      <c r="S72" s="16">
        <v>0.91706900000000002</v>
      </c>
      <c r="T72" s="16">
        <v>47.212000000000003</v>
      </c>
      <c r="U72" s="16">
        <v>77.981750000000005</v>
      </c>
      <c r="V72" s="16">
        <v>92.989000000000004</v>
      </c>
    </row>
    <row r="73" spans="1:22" x14ac:dyDescent="0.3">
      <c r="A73" s="22">
        <v>43983</v>
      </c>
      <c r="B73" s="16">
        <v>75.721254000000002</v>
      </c>
      <c r="C73" s="16">
        <v>7.0651000000000002</v>
      </c>
      <c r="D73" s="21">
        <v>23280</v>
      </c>
      <c r="E73" s="16">
        <v>84.73</v>
      </c>
      <c r="F73" s="16">
        <v>7.7516999999999996</v>
      </c>
      <c r="G73" s="16">
        <v>6.8697540000000004</v>
      </c>
      <c r="H73" s="16">
        <v>190</v>
      </c>
      <c r="I73" s="8">
        <v>1.4107000000000001</v>
      </c>
      <c r="J73" s="16">
        <v>4.2930000000000001</v>
      </c>
      <c r="K73" s="10">
        <v>3.6726000000000001</v>
      </c>
      <c r="L73" s="11">
        <v>14825</v>
      </c>
      <c r="M73" s="13">
        <v>107.17</v>
      </c>
      <c r="N73" s="10">
        <v>30.463754999999999</v>
      </c>
      <c r="O73" s="10">
        <v>36.630000000000003</v>
      </c>
      <c r="P73" s="10">
        <v>30.346</v>
      </c>
      <c r="Q73" s="11">
        <v>37743</v>
      </c>
      <c r="R73" s="16">
        <v>0.75739999999999996</v>
      </c>
      <c r="S73" s="16">
        <v>0.90089399999999997</v>
      </c>
      <c r="T73" s="16">
        <v>47.866999999999997</v>
      </c>
      <c r="U73" s="16">
        <v>79.134236000000001</v>
      </c>
      <c r="V73" s="16">
        <v>94.426000000000002</v>
      </c>
    </row>
    <row r="74" spans="1:22" x14ac:dyDescent="0.3">
      <c r="A74" s="22">
        <v>43952</v>
      </c>
      <c r="B74" s="16">
        <v>75.674092999999999</v>
      </c>
      <c r="C74" s="16">
        <v>7.1348000000000003</v>
      </c>
      <c r="D74" s="21">
        <v>23428</v>
      </c>
      <c r="E74" s="16">
        <v>84.78</v>
      </c>
      <c r="F74" s="16">
        <v>7.7507999999999999</v>
      </c>
      <c r="G74" s="16">
        <v>6.3451709999999997</v>
      </c>
      <c r="H74" s="16">
        <v>189</v>
      </c>
      <c r="I74" s="8">
        <v>1.4215</v>
      </c>
      <c r="J74" s="16">
        <v>4.3129999999999997</v>
      </c>
      <c r="K74" s="10">
        <v>3.6728000000000001</v>
      </c>
      <c r="L74" s="11">
        <v>16300</v>
      </c>
      <c r="M74" s="13">
        <v>107.53</v>
      </c>
      <c r="N74" s="10">
        <v>30.199511000000001</v>
      </c>
      <c r="O74" s="10">
        <v>36.200000000000003</v>
      </c>
      <c r="P74" s="10">
        <v>29.908999999999999</v>
      </c>
      <c r="Q74" s="11">
        <v>37299</v>
      </c>
      <c r="R74" s="16">
        <v>0.75349999999999995</v>
      </c>
      <c r="S74" s="16">
        <v>0.89982799999999996</v>
      </c>
      <c r="T74" s="16">
        <v>50.094999999999999</v>
      </c>
      <c r="U74" s="16">
        <v>79.109165000000004</v>
      </c>
      <c r="V74" s="16">
        <v>94.66</v>
      </c>
    </row>
    <row r="75" spans="1:22" x14ac:dyDescent="0.3">
      <c r="A75" s="22">
        <v>43922</v>
      </c>
      <c r="B75" s="16">
        <v>76.217590000000001</v>
      </c>
      <c r="C75" s="16">
        <v>7.06</v>
      </c>
      <c r="D75" s="21">
        <v>23616</v>
      </c>
      <c r="E75" s="16">
        <v>84.67</v>
      </c>
      <c r="F75" s="16">
        <v>7.7949000000000002</v>
      </c>
      <c r="G75" s="16">
        <v>6.0704089999999997</v>
      </c>
      <c r="H75" s="16">
        <v>181.85</v>
      </c>
      <c r="I75" s="8">
        <v>1.3929</v>
      </c>
      <c r="J75" s="16">
        <v>4.2110000000000003</v>
      </c>
      <c r="K75" s="10">
        <v>3.6728000000000001</v>
      </c>
      <c r="L75" s="11">
        <v>14340</v>
      </c>
      <c r="M75" s="13">
        <v>108.07</v>
      </c>
      <c r="N75" s="10">
        <v>30.243686</v>
      </c>
      <c r="O75" s="10">
        <v>36.700000000000003</v>
      </c>
      <c r="P75" s="10">
        <v>30.513999999999999</v>
      </c>
      <c r="Q75" s="11">
        <v>36952</v>
      </c>
      <c r="R75" s="16">
        <v>0.77310000000000001</v>
      </c>
      <c r="S75" s="16">
        <v>0.90491500000000002</v>
      </c>
      <c r="T75" s="16">
        <v>48.529000000000003</v>
      </c>
      <c r="U75" s="16">
        <v>78.979928999999998</v>
      </c>
      <c r="V75" s="16">
        <v>92.789000000000001</v>
      </c>
    </row>
    <row r="76" spans="1:22" x14ac:dyDescent="0.3">
      <c r="A76" s="22">
        <v>43891</v>
      </c>
      <c r="B76" s="16">
        <v>74.526435000000006</v>
      </c>
      <c r="C76" s="16">
        <v>7.0808</v>
      </c>
      <c r="D76" s="21">
        <v>23240</v>
      </c>
      <c r="E76" s="16">
        <v>84.65</v>
      </c>
      <c r="F76" s="16">
        <v>7.7648000000000001</v>
      </c>
      <c r="G76" s="16">
        <v>5.9285030000000001</v>
      </c>
      <c r="H76" s="16">
        <v>181.35</v>
      </c>
      <c r="I76" s="8">
        <v>1.3648</v>
      </c>
      <c r="J76" s="16">
        <v>4.0949999999999998</v>
      </c>
      <c r="K76" s="10">
        <v>3.6726000000000001</v>
      </c>
      <c r="L76" s="11">
        <v>13650</v>
      </c>
      <c r="M76" s="13">
        <v>108.38</v>
      </c>
      <c r="N76" s="10">
        <v>30.363247000000001</v>
      </c>
      <c r="O76" s="10">
        <v>36.1</v>
      </c>
      <c r="P76" s="10">
        <v>30.478000000000002</v>
      </c>
      <c r="Q76" s="11">
        <v>36074</v>
      </c>
      <c r="R76" s="16">
        <v>0.77259999999999995</v>
      </c>
      <c r="S76" s="16">
        <v>0.90481100000000003</v>
      </c>
      <c r="T76" s="16">
        <v>48.924999999999997</v>
      </c>
      <c r="U76" s="16">
        <v>78.517674</v>
      </c>
      <c r="V76" s="16">
        <v>91.846000000000004</v>
      </c>
    </row>
    <row r="77" spans="1:22" x14ac:dyDescent="0.3">
      <c r="A77" s="22">
        <v>43862</v>
      </c>
      <c r="B77" s="16">
        <v>71.510946000000004</v>
      </c>
      <c r="C77" s="16">
        <v>6.9905999999999997</v>
      </c>
      <c r="D77" s="21">
        <v>23222</v>
      </c>
      <c r="E77" s="16">
        <v>84.6</v>
      </c>
      <c r="F77" s="16">
        <v>7.79</v>
      </c>
      <c r="G77" s="16">
        <v>5.8506130000000001</v>
      </c>
      <c r="H77" s="16">
        <v>181.3</v>
      </c>
      <c r="I77" s="8">
        <v>1.3444</v>
      </c>
      <c r="J77" s="16">
        <v>4.0890000000000004</v>
      </c>
      <c r="K77" s="10">
        <v>3.6726999999999999</v>
      </c>
      <c r="L77" s="11">
        <v>13880</v>
      </c>
      <c r="M77" s="13">
        <v>108.61</v>
      </c>
      <c r="N77" s="10">
        <v>30.570180000000001</v>
      </c>
      <c r="O77" s="10">
        <v>36.1</v>
      </c>
      <c r="P77" s="10">
        <v>31.039000000000001</v>
      </c>
      <c r="Q77" s="11">
        <v>35265</v>
      </c>
      <c r="R77" s="16">
        <v>0.81340000000000001</v>
      </c>
      <c r="S77" s="16">
        <v>0.90878700000000001</v>
      </c>
      <c r="T77" s="16">
        <v>47.654000000000003</v>
      </c>
      <c r="U77" s="16">
        <v>78.567785999999998</v>
      </c>
      <c r="V77" s="16">
        <v>86.816999999999993</v>
      </c>
    </row>
    <row r="78" spans="1:22" x14ac:dyDescent="0.3">
      <c r="A78" s="22">
        <v>43831</v>
      </c>
      <c r="B78" s="16">
        <v>71.289604999999995</v>
      </c>
      <c r="C78" s="16">
        <v>6.9363999999999999</v>
      </c>
      <c r="D78" s="21">
        <v>23171</v>
      </c>
      <c r="E78" s="16">
        <v>84.89</v>
      </c>
      <c r="F78" s="16">
        <v>7.8280000000000003</v>
      </c>
      <c r="G78" s="16">
        <v>5.7389210000000004</v>
      </c>
      <c r="H78" s="16">
        <v>180.85</v>
      </c>
      <c r="I78" s="8">
        <v>1.3672</v>
      </c>
      <c r="J78" s="16">
        <v>4.1749999999999998</v>
      </c>
      <c r="K78" s="10">
        <v>3.6728000000000001</v>
      </c>
      <c r="L78" s="11">
        <v>14100</v>
      </c>
      <c r="M78" s="13">
        <v>109.51</v>
      </c>
      <c r="N78" s="10">
        <v>30.754369000000001</v>
      </c>
      <c r="O78" s="10">
        <v>35.950000000000003</v>
      </c>
      <c r="P78" s="10">
        <v>31.318000000000001</v>
      </c>
      <c r="Q78" s="11">
        <v>34954</v>
      </c>
      <c r="R78" s="16">
        <v>0.82240000000000002</v>
      </c>
      <c r="S78" s="16">
        <v>0.89880199999999999</v>
      </c>
      <c r="T78" s="16">
        <v>48.128999999999998</v>
      </c>
      <c r="U78" s="16">
        <v>79.190155000000004</v>
      </c>
      <c r="V78" s="16">
        <v>86.855999999999995</v>
      </c>
    </row>
    <row r="79" spans="1:22" x14ac:dyDescent="0.3">
      <c r="A79" s="22">
        <v>43800</v>
      </c>
      <c r="B79" s="16">
        <v>71.183558000000005</v>
      </c>
      <c r="C79" s="16">
        <v>6.9618000000000002</v>
      </c>
      <c r="D79" s="21">
        <v>23179</v>
      </c>
      <c r="E79" s="16">
        <v>84.89</v>
      </c>
      <c r="F79" s="16">
        <v>7.8371000000000004</v>
      </c>
      <c r="G79" s="16">
        <v>5.7925519999999997</v>
      </c>
      <c r="H79" s="16">
        <v>181.05</v>
      </c>
      <c r="I79" s="8">
        <v>1.3602000000000001</v>
      </c>
      <c r="J79" s="16">
        <v>4.1775000000000002</v>
      </c>
      <c r="K79" s="10">
        <v>3.6728000000000001</v>
      </c>
      <c r="L79" s="11">
        <v>14032</v>
      </c>
      <c r="M79" s="13">
        <v>108.02</v>
      </c>
      <c r="N79" s="10">
        <v>30.798216</v>
      </c>
      <c r="O79" s="10">
        <v>36.049999999999997</v>
      </c>
      <c r="P79" s="10">
        <v>31.154</v>
      </c>
      <c r="Q79" s="11">
        <v>33805</v>
      </c>
      <c r="R79" s="16">
        <v>0.82230000000000003</v>
      </c>
      <c r="S79" s="16">
        <v>0.89142100000000002</v>
      </c>
      <c r="T79" s="16">
        <v>47.128</v>
      </c>
      <c r="U79" s="16">
        <v>77.127870000000001</v>
      </c>
      <c r="V79" s="16">
        <v>83.712999999999994</v>
      </c>
    </row>
    <row r="80" spans="1:22" x14ac:dyDescent="0.3">
      <c r="A80" s="22">
        <v>43770</v>
      </c>
      <c r="B80" s="16">
        <v>71.470119999999994</v>
      </c>
      <c r="C80" s="16">
        <v>7.0308000000000002</v>
      </c>
      <c r="D80" s="21">
        <v>23202</v>
      </c>
      <c r="E80" s="16">
        <v>84.5</v>
      </c>
      <c r="F80" s="16">
        <v>7.8384</v>
      </c>
      <c r="G80" s="16">
        <v>5.7038320000000002</v>
      </c>
      <c r="H80" s="16">
        <v>182</v>
      </c>
      <c r="I80" s="8">
        <v>1.3817999999999999</v>
      </c>
      <c r="J80" s="16">
        <v>4.1849999999999996</v>
      </c>
      <c r="K80" s="10">
        <v>3.6728000000000001</v>
      </c>
      <c r="L80" s="11">
        <v>14190</v>
      </c>
      <c r="M80" s="13">
        <v>108.06</v>
      </c>
      <c r="N80" s="10">
        <v>31.115504000000001</v>
      </c>
      <c r="O80" s="10">
        <v>35.5</v>
      </c>
      <c r="P80" s="10">
        <v>30.957999999999998</v>
      </c>
      <c r="Q80" s="11">
        <v>33208</v>
      </c>
      <c r="R80" s="16">
        <v>0.78759999999999997</v>
      </c>
      <c r="S80" s="16">
        <v>0.88549999999999995</v>
      </c>
      <c r="T80" s="16">
        <v>48.396000000000001</v>
      </c>
      <c r="U80" s="16">
        <v>78.407799999999995</v>
      </c>
      <c r="V80" s="16">
        <v>87.506</v>
      </c>
    </row>
    <row r="81" spans="1:22" x14ac:dyDescent="0.3">
      <c r="A81" s="22">
        <v>43739</v>
      </c>
      <c r="B81" s="16">
        <v>71.040744000000004</v>
      </c>
      <c r="C81" s="16">
        <v>7.0378999999999996</v>
      </c>
      <c r="D81" s="21">
        <v>23200</v>
      </c>
      <c r="E81" s="16">
        <v>84.49</v>
      </c>
      <c r="F81" s="16">
        <v>7.8433999999999999</v>
      </c>
      <c r="G81" s="16">
        <v>5.6509020000000003</v>
      </c>
      <c r="H81" s="16">
        <v>179.2</v>
      </c>
      <c r="I81" s="8">
        <v>1.387</v>
      </c>
      <c r="J81" s="16">
        <v>4.2030000000000003</v>
      </c>
      <c r="K81" s="10">
        <v>3.6728000000000001</v>
      </c>
      <c r="L81" s="11">
        <v>14180</v>
      </c>
      <c r="M81" s="13">
        <v>106.29</v>
      </c>
      <c r="N81" s="10">
        <v>31.803184000000002</v>
      </c>
      <c r="O81" s="10">
        <v>35.65</v>
      </c>
      <c r="P81" s="10">
        <v>31.524000000000001</v>
      </c>
      <c r="Q81" s="11">
        <v>32735</v>
      </c>
      <c r="R81" s="16">
        <v>0.7913</v>
      </c>
      <c r="S81" s="16">
        <v>0.89409300000000003</v>
      </c>
      <c r="T81" s="16">
        <v>48.268000000000001</v>
      </c>
      <c r="U81" s="16">
        <v>78.079773000000003</v>
      </c>
      <c r="V81" s="16">
        <v>87.888000000000005</v>
      </c>
    </row>
    <row r="82" spans="1:22" x14ac:dyDescent="0.3">
      <c r="A82" s="22">
        <v>43709</v>
      </c>
      <c r="B82" s="16">
        <v>71.399432000000004</v>
      </c>
      <c r="C82" s="16">
        <v>7.1477000000000004</v>
      </c>
      <c r="D82" s="21">
        <v>23185</v>
      </c>
      <c r="E82" s="16">
        <v>84.49</v>
      </c>
      <c r="F82" s="16">
        <v>7.8277999999999999</v>
      </c>
      <c r="G82" s="16">
        <v>5.6628280000000002</v>
      </c>
      <c r="H82" s="16">
        <v>176.3</v>
      </c>
      <c r="I82" s="8">
        <v>1.3734999999999999</v>
      </c>
      <c r="J82" s="16">
        <v>4.125</v>
      </c>
      <c r="K82" s="10">
        <v>3.6728000000000001</v>
      </c>
      <c r="L82" s="11">
        <v>14012</v>
      </c>
      <c r="M82" s="13">
        <v>108.74</v>
      </c>
      <c r="N82" s="10">
        <v>31.856180999999999</v>
      </c>
      <c r="O82" s="10">
        <v>34.65</v>
      </c>
      <c r="P82" s="10">
        <v>30.893000000000001</v>
      </c>
      <c r="Q82" s="11">
        <v>32489</v>
      </c>
      <c r="R82" s="16">
        <v>0.7671</v>
      </c>
      <c r="S82" s="16">
        <v>0.88983999999999996</v>
      </c>
      <c r="T82" s="16">
        <v>49.079000000000001</v>
      </c>
      <c r="U82" s="16">
        <v>78.002724999999998</v>
      </c>
      <c r="V82" s="16">
        <v>90.742999999999995</v>
      </c>
    </row>
    <row r="83" spans="1:22" x14ac:dyDescent="0.3">
      <c r="A83" s="22">
        <v>43678</v>
      </c>
      <c r="B83" s="16">
        <v>71.174543</v>
      </c>
      <c r="C83" s="16">
        <v>7.1543000000000001</v>
      </c>
      <c r="D83" s="21">
        <v>23230</v>
      </c>
      <c r="E83" s="16">
        <v>84.25</v>
      </c>
      <c r="F83" s="16">
        <v>7.8125999999999998</v>
      </c>
      <c r="G83" s="16">
        <v>5.8105510000000002</v>
      </c>
      <c r="H83" s="16">
        <v>176.4</v>
      </c>
      <c r="I83" s="8">
        <v>1.3522000000000001</v>
      </c>
      <c r="J83" s="16">
        <v>4.13</v>
      </c>
      <c r="K83" s="10">
        <v>3.6726000000000001</v>
      </c>
      <c r="L83" s="11">
        <v>14125</v>
      </c>
      <c r="M83" s="13">
        <v>107.88</v>
      </c>
      <c r="N83" s="10">
        <v>31.735310999999999</v>
      </c>
      <c r="O83" s="10">
        <v>34.78</v>
      </c>
      <c r="P83" s="10">
        <v>30.838000000000001</v>
      </c>
      <c r="Q83" s="11">
        <v>32450</v>
      </c>
      <c r="R83" s="16">
        <v>0.76719999999999999</v>
      </c>
      <c r="S83" s="16">
        <v>0.88477799999999995</v>
      </c>
      <c r="T83" s="16">
        <v>49.076000000000001</v>
      </c>
      <c r="U83" s="16">
        <v>78.560524000000001</v>
      </c>
      <c r="V83" s="16">
        <v>90.147999999999996</v>
      </c>
    </row>
    <row r="84" spans="1:22" x14ac:dyDescent="0.3">
      <c r="A84" s="22">
        <v>43647</v>
      </c>
      <c r="B84" s="16">
        <v>68.751615999999999</v>
      </c>
      <c r="C84" s="16">
        <v>6.8833000000000002</v>
      </c>
      <c r="D84" s="21">
        <v>23300</v>
      </c>
      <c r="E84" s="16">
        <v>84.49</v>
      </c>
      <c r="F84" s="16">
        <v>7.8380999999999998</v>
      </c>
      <c r="G84" s="16">
        <v>6.0523619999999996</v>
      </c>
      <c r="H84" s="16">
        <v>176.2</v>
      </c>
      <c r="I84" s="8">
        <v>1.3734</v>
      </c>
      <c r="J84" s="16">
        <v>4.1890000000000001</v>
      </c>
      <c r="K84" s="10">
        <v>3.6726999999999999</v>
      </c>
      <c r="L84" s="11">
        <v>14270</v>
      </c>
      <c r="M84" s="13">
        <v>108.26</v>
      </c>
      <c r="N84" s="10">
        <v>31.302547000000001</v>
      </c>
      <c r="O84" s="10">
        <v>34.020000000000003</v>
      </c>
      <c r="P84" s="10">
        <v>30.815999999999999</v>
      </c>
      <c r="Q84" s="11">
        <v>32439</v>
      </c>
      <c r="R84" s="16">
        <v>0.75390000000000001</v>
      </c>
      <c r="S84" s="16">
        <v>0.88098900000000002</v>
      </c>
      <c r="T84" s="16">
        <v>50.247</v>
      </c>
      <c r="U84" s="16">
        <v>80.860050000000001</v>
      </c>
      <c r="V84" s="16">
        <v>93.927999999999997</v>
      </c>
    </row>
    <row r="85" spans="1:22" x14ac:dyDescent="0.3">
      <c r="A85" s="22">
        <v>43617</v>
      </c>
      <c r="B85" s="16">
        <v>69.428644000000006</v>
      </c>
      <c r="C85" s="16">
        <v>6.8650000000000002</v>
      </c>
      <c r="D85" s="21">
        <v>23410</v>
      </c>
      <c r="E85" s="16">
        <v>83.93</v>
      </c>
      <c r="F85" s="16">
        <v>7.8444000000000003</v>
      </c>
      <c r="G85" s="16">
        <v>5.7579419999999999</v>
      </c>
      <c r="H85" s="16">
        <v>176</v>
      </c>
      <c r="I85" s="8">
        <v>1.3597999999999999</v>
      </c>
      <c r="J85" s="16">
        <v>4.1319999999999997</v>
      </c>
      <c r="K85" s="10">
        <v>3.6726999999999999</v>
      </c>
      <c r="L85" s="11">
        <v>14245</v>
      </c>
      <c r="M85" s="13">
        <v>111.41</v>
      </c>
      <c r="N85" s="10">
        <v>31.812373000000001</v>
      </c>
      <c r="O85" s="10">
        <v>34.08</v>
      </c>
      <c r="P85" s="10">
        <v>30.687999999999999</v>
      </c>
      <c r="Q85" s="11">
        <v>32422</v>
      </c>
      <c r="R85" s="16">
        <v>0.76270000000000004</v>
      </c>
      <c r="S85" s="16">
        <v>0.87595199999999995</v>
      </c>
      <c r="T85" s="16">
        <v>51.616</v>
      </c>
      <c r="U85" s="16">
        <v>80.798272999999995</v>
      </c>
      <c r="V85" s="16">
        <v>92.994</v>
      </c>
    </row>
    <row r="86" spans="1:22" x14ac:dyDescent="0.3">
      <c r="A86" s="22">
        <v>43586</v>
      </c>
      <c r="B86" s="16">
        <v>69.809849999999997</v>
      </c>
      <c r="C86" s="16">
        <v>6.9027000000000003</v>
      </c>
      <c r="D86" s="21">
        <v>23285</v>
      </c>
      <c r="E86" s="16">
        <v>83.8</v>
      </c>
      <c r="F86" s="16">
        <v>7.8494999999999999</v>
      </c>
      <c r="G86" s="16">
        <v>5.4841389999999999</v>
      </c>
      <c r="H86" s="16">
        <v>175.35</v>
      </c>
      <c r="I86" s="8">
        <v>1.3554999999999999</v>
      </c>
      <c r="J86" s="16">
        <v>4.08</v>
      </c>
      <c r="K86" s="10">
        <v>3.6728000000000001</v>
      </c>
      <c r="L86" s="11">
        <v>14235</v>
      </c>
      <c r="M86" s="13">
        <v>110.84</v>
      </c>
      <c r="N86" s="10">
        <v>32.710925000000003</v>
      </c>
      <c r="O86" s="10">
        <v>34.15</v>
      </c>
      <c r="P86" s="10">
        <v>30.562999999999999</v>
      </c>
      <c r="Q86" s="11">
        <v>32403</v>
      </c>
      <c r="R86" s="16">
        <v>0.78359999999999996</v>
      </c>
      <c r="S86" s="16">
        <v>0.87842299999999995</v>
      </c>
      <c r="T86" s="16">
        <v>49.033000000000001</v>
      </c>
      <c r="U86" s="16">
        <v>80.616615999999993</v>
      </c>
      <c r="V86" s="16">
        <v>88.738</v>
      </c>
    </row>
    <row r="87" spans="1:22" x14ac:dyDescent="0.3">
      <c r="A87" s="22">
        <v>43556</v>
      </c>
      <c r="B87" s="16">
        <v>69.409238999999999</v>
      </c>
      <c r="C87" s="16">
        <v>6.7347000000000001</v>
      </c>
      <c r="D87" s="21">
        <v>23203</v>
      </c>
      <c r="E87" s="16">
        <v>83.44</v>
      </c>
      <c r="F87" s="16">
        <v>7.8498000000000001</v>
      </c>
      <c r="G87" s="16">
        <v>5.2760059999999998</v>
      </c>
      <c r="H87" s="16">
        <v>179.9</v>
      </c>
      <c r="I87" s="8">
        <v>1.3519000000000001</v>
      </c>
      <c r="J87" s="16">
        <v>4.0650000000000004</v>
      </c>
      <c r="K87" s="10">
        <v>3.6728000000000001</v>
      </c>
      <c r="L87" s="11">
        <v>14060</v>
      </c>
      <c r="M87" s="13">
        <v>111.37</v>
      </c>
      <c r="N87" s="10">
        <v>32.964207999999999</v>
      </c>
      <c r="O87" s="10">
        <v>34.35</v>
      </c>
      <c r="P87" s="10">
        <v>30.846</v>
      </c>
      <c r="Q87" s="11">
        <v>32366</v>
      </c>
      <c r="R87" s="16">
        <v>0.78369999999999995</v>
      </c>
      <c r="S87" s="16">
        <v>0.87977300000000003</v>
      </c>
      <c r="T87" s="16">
        <v>50.942</v>
      </c>
      <c r="U87" s="16">
        <v>81.561117999999993</v>
      </c>
      <c r="V87" s="16">
        <v>88.825999999999993</v>
      </c>
    </row>
    <row r="88" spans="1:22" x14ac:dyDescent="0.3">
      <c r="A88" s="22">
        <v>43525</v>
      </c>
      <c r="B88" s="16">
        <v>69.507559999999998</v>
      </c>
      <c r="C88" s="16">
        <v>6.7111999999999998</v>
      </c>
      <c r="D88" s="21">
        <v>23199</v>
      </c>
      <c r="E88" s="16">
        <v>83.4</v>
      </c>
      <c r="F88" s="16">
        <v>7.8465999999999996</v>
      </c>
      <c r="G88" s="16">
        <v>5.3750099999999996</v>
      </c>
      <c r="H88" s="16">
        <v>178.15</v>
      </c>
      <c r="I88" s="8">
        <v>1.3452</v>
      </c>
      <c r="J88" s="16">
        <v>4.0940000000000003</v>
      </c>
      <c r="K88" s="10">
        <v>3.6724999999999999</v>
      </c>
      <c r="L88" s="11">
        <v>13970</v>
      </c>
      <c r="M88" s="13">
        <v>108.87</v>
      </c>
      <c r="N88" s="10">
        <v>32.787827999999998</v>
      </c>
      <c r="O88" s="10">
        <v>34.4</v>
      </c>
      <c r="P88" s="10">
        <v>30.931999999999999</v>
      </c>
      <c r="Q88" s="11">
        <v>32376</v>
      </c>
      <c r="R88" s="16">
        <v>0.7833</v>
      </c>
      <c r="S88" s="16">
        <v>0.87081600000000003</v>
      </c>
      <c r="T88" s="16">
        <v>52.305</v>
      </c>
      <c r="U88" s="16">
        <v>84.544651999999999</v>
      </c>
      <c r="V88" s="16">
        <v>94.405000000000001</v>
      </c>
    </row>
    <row r="89" spans="1:22" x14ac:dyDescent="0.3">
      <c r="A89" s="22">
        <v>43497</v>
      </c>
      <c r="B89" s="16">
        <v>71.234618999999995</v>
      </c>
      <c r="C89" s="16">
        <v>6.6912000000000003</v>
      </c>
      <c r="D89" s="21">
        <v>23198</v>
      </c>
      <c r="E89" s="16">
        <v>83.26</v>
      </c>
      <c r="F89" s="16">
        <v>7.8315000000000001</v>
      </c>
      <c r="G89" s="16">
        <v>5.3258770000000002</v>
      </c>
      <c r="H89" s="16">
        <v>182.6</v>
      </c>
      <c r="I89" s="8">
        <v>1.3627</v>
      </c>
      <c r="J89" s="16">
        <v>4.13</v>
      </c>
      <c r="K89" s="10">
        <v>3.6728000000000001</v>
      </c>
      <c r="L89" s="11">
        <v>14375</v>
      </c>
      <c r="M89" s="13">
        <v>109.56</v>
      </c>
      <c r="N89" s="10">
        <v>32.605685000000001</v>
      </c>
      <c r="O89" s="10">
        <v>34.22</v>
      </c>
      <c r="P89" s="10">
        <v>30.446000000000002</v>
      </c>
      <c r="Q89" s="11">
        <v>32091</v>
      </c>
      <c r="R89" s="16">
        <v>0.76729999999999998</v>
      </c>
      <c r="S89" s="16">
        <v>0.85776300000000005</v>
      </c>
      <c r="T89" s="16">
        <v>52.402999999999999</v>
      </c>
      <c r="U89" s="16">
        <v>84.210899999999995</v>
      </c>
      <c r="V89" s="16">
        <v>94.453000000000003</v>
      </c>
    </row>
    <row r="90" spans="1:22" x14ac:dyDescent="0.3">
      <c r="A90" s="22">
        <v>43466</v>
      </c>
      <c r="B90" s="16">
        <v>70.774544000000006</v>
      </c>
      <c r="C90" s="16">
        <v>6.6958000000000002</v>
      </c>
      <c r="D90" s="21">
        <v>23190</v>
      </c>
      <c r="E90" s="16">
        <v>83.13</v>
      </c>
      <c r="F90" s="16">
        <v>7.8234000000000004</v>
      </c>
      <c r="G90" s="16">
        <v>5.3574060000000001</v>
      </c>
      <c r="H90" s="16">
        <v>178.5</v>
      </c>
      <c r="I90" s="8">
        <v>1.3718999999999999</v>
      </c>
      <c r="J90" s="16">
        <v>4.1820000000000004</v>
      </c>
      <c r="K90" s="10">
        <v>3.6728000000000001</v>
      </c>
      <c r="L90" s="11">
        <v>14300</v>
      </c>
      <c r="M90" s="13">
        <v>113.46</v>
      </c>
      <c r="N90" s="10">
        <v>33.031264</v>
      </c>
      <c r="O90" s="10">
        <v>34.200000000000003</v>
      </c>
      <c r="P90" s="10">
        <v>30.672999999999998</v>
      </c>
      <c r="Q90" s="11">
        <v>31778</v>
      </c>
      <c r="R90" s="16">
        <v>0.7712</v>
      </c>
      <c r="S90" s="16">
        <v>0.86596300000000004</v>
      </c>
      <c r="T90" s="16">
        <v>51.048999999999999</v>
      </c>
      <c r="U90" s="16">
        <v>80.426043000000007</v>
      </c>
      <c r="V90" s="16">
        <v>92.022999999999996</v>
      </c>
    </row>
    <row r="91" spans="1:22" x14ac:dyDescent="0.3">
      <c r="A91" s="22">
        <v>43435</v>
      </c>
      <c r="B91" s="16">
        <v>70.816106000000005</v>
      </c>
      <c r="C91" s="16">
        <v>6.8754999999999997</v>
      </c>
      <c r="D91" s="21">
        <v>23315</v>
      </c>
      <c r="E91" s="16">
        <v>84.7</v>
      </c>
      <c r="F91" s="16">
        <v>7.8410000000000002</v>
      </c>
      <c r="G91" s="16">
        <v>5.8262859999999996</v>
      </c>
      <c r="H91" s="16">
        <v>175.3</v>
      </c>
      <c r="I91" s="8">
        <v>1.3854</v>
      </c>
      <c r="J91" s="16">
        <v>4.1829999999999998</v>
      </c>
      <c r="K91" s="10">
        <v>3.6728000000000001</v>
      </c>
      <c r="L91" s="11">
        <v>15200</v>
      </c>
      <c r="M91" s="13">
        <v>112.93</v>
      </c>
      <c r="N91" s="10">
        <v>33.283188000000003</v>
      </c>
      <c r="O91" s="10">
        <v>34.15</v>
      </c>
      <c r="P91" s="10">
        <v>30.568000000000001</v>
      </c>
      <c r="Q91" s="11">
        <v>31460</v>
      </c>
      <c r="R91" s="16">
        <v>0.76170000000000004</v>
      </c>
      <c r="S91" s="16">
        <v>0.85575900000000005</v>
      </c>
      <c r="T91" s="16">
        <v>50.831000000000003</v>
      </c>
      <c r="U91" s="16">
        <v>80.299636000000007</v>
      </c>
      <c r="V91" s="16">
        <v>89.834000000000003</v>
      </c>
    </row>
    <row r="92" spans="1:22" x14ac:dyDescent="0.3">
      <c r="A92" s="22">
        <v>43405</v>
      </c>
      <c r="B92" s="16">
        <v>71.753184000000005</v>
      </c>
      <c r="C92" s="16">
        <v>6.9558</v>
      </c>
      <c r="D92" s="21">
        <v>23343</v>
      </c>
      <c r="E92" s="16">
        <v>83.77</v>
      </c>
      <c r="F92" s="16">
        <v>7.8278999999999996</v>
      </c>
      <c r="G92" s="16">
        <v>6.3341589999999997</v>
      </c>
      <c r="H92" s="16">
        <v>169</v>
      </c>
      <c r="I92" s="8">
        <v>1.3663000000000001</v>
      </c>
      <c r="J92" s="16">
        <v>4.1369999999999996</v>
      </c>
      <c r="K92" s="10">
        <v>3.6728000000000001</v>
      </c>
      <c r="L92" s="11">
        <v>14900</v>
      </c>
      <c r="M92" s="13">
        <v>113.68</v>
      </c>
      <c r="N92" s="10">
        <v>32.481637999999997</v>
      </c>
      <c r="O92" s="10">
        <v>34.5</v>
      </c>
      <c r="P92" s="10">
        <v>30.463999999999999</v>
      </c>
      <c r="Q92" s="11">
        <v>31253</v>
      </c>
      <c r="R92" s="16">
        <v>0.75700000000000001</v>
      </c>
      <c r="S92" s="16">
        <v>0.85633599999999999</v>
      </c>
      <c r="T92" s="16">
        <v>50.667000000000002</v>
      </c>
      <c r="U92" s="16">
        <v>79.160071000000002</v>
      </c>
      <c r="V92" s="16">
        <v>90.402000000000001</v>
      </c>
    </row>
    <row r="93" spans="1:22" x14ac:dyDescent="0.3">
      <c r="A93" s="22">
        <v>43374</v>
      </c>
      <c r="B93" s="16">
        <v>73.619440999999995</v>
      </c>
      <c r="C93" s="16">
        <v>6.9737</v>
      </c>
      <c r="D93" s="21">
        <v>23325</v>
      </c>
      <c r="E93" s="16">
        <v>83.61</v>
      </c>
      <c r="F93" s="16">
        <v>7.8489000000000004</v>
      </c>
      <c r="G93" s="16">
        <v>5.9314460000000002</v>
      </c>
      <c r="H93" s="16">
        <v>161.4</v>
      </c>
      <c r="I93" s="8">
        <v>1.3718999999999999</v>
      </c>
      <c r="J93" s="16">
        <v>4.1079999999999997</v>
      </c>
      <c r="K93" s="10">
        <v>3.6728000000000001</v>
      </c>
      <c r="L93" s="11">
        <v>14725</v>
      </c>
      <c r="M93" s="13">
        <v>111.02</v>
      </c>
      <c r="N93" s="10">
        <v>31.985952000000001</v>
      </c>
      <c r="O93" s="10">
        <v>34.450000000000003</v>
      </c>
      <c r="P93" s="10">
        <v>29.972999999999999</v>
      </c>
      <c r="Q93" s="11">
        <v>30951</v>
      </c>
      <c r="R93" s="16">
        <v>0.75170000000000003</v>
      </c>
      <c r="S93" s="16">
        <v>0.84667599999999998</v>
      </c>
      <c r="T93" s="16">
        <v>51.017000000000003</v>
      </c>
      <c r="U93" s="16">
        <v>79.789135999999999</v>
      </c>
      <c r="V93" s="16">
        <v>89.655000000000001</v>
      </c>
    </row>
    <row r="94" spans="1:22" x14ac:dyDescent="0.3">
      <c r="A94" s="22">
        <v>43344</v>
      </c>
      <c r="B94" s="16">
        <v>72.229001999999994</v>
      </c>
      <c r="C94" s="16">
        <v>6.8680000000000003</v>
      </c>
      <c r="D94" s="21">
        <v>23303</v>
      </c>
      <c r="E94" s="16">
        <v>83.67</v>
      </c>
      <c r="F94" s="16">
        <v>7.8489000000000004</v>
      </c>
      <c r="G94" s="16">
        <v>4.7707750000000004</v>
      </c>
      <c r="H94" s="16">
        <v>159.55000000000001</v>
      </c>
      <c r="I94" s="8">
        <v>1.3609</v>
      </c>
      <c r="J94" s="16">
        <v>4.0629999999999997</v>
      </c>
      <c r="K94" s="10">
        <v>3.6728000000000001</v>
      </c>
      <c r="L94" s="11">
        <v>14415</v>
      </c>
      <c r="M94" s="13">
        <v>111.86</v>
      </c>
      <c r="N94" s="10">
        <v>31.322700000000001</v>
      </c>
      <c r="O94" s="10">
        <v>34</v>
      </c>
      <c r="P94" s="10">
        <v>29.623000000000001</v>
      </c>
      <c r="Q94" s="11">
        <v>30700</v>
      </c>
      <c r="R94" s="16">
        <v>0.72599999999999998</v>
      </c>
      <c r="S94" s="16">
        <v>0.81462500000000004</v>
      </c>
      <c r="T94" s="16">
        <v>50.042999999999999</v>
      </c>
      <c r="U94" s="16">
        <v>80.654775000000001</v>
      </c>
      <c r="V94" s="16">
        <v>91.495000000000005</v>
      </c>
    </row>
    <row r="95" spans="1:22" x14ac:dyDescent="0.3">
      <c r="A95" s="22">
        <v>43313</v>
      </c>
      <c r="B95" s="16">
        <v>69.639795000000007</v>
      </c>
      <c r="C95" s="16">
        <v>6.83</v>
      </c>
      <c r="D95" s="21">
        <v>23280</v>
      </c>
      <c r="E95" s="16">
        <v>84</v>
      </c>
      <c r="F95" s="16">
        <v>7.8461999999999996</v>
      </c>
      <c r="G95" s="16">
        <v>4.6307090000000004</v>
      </c>
      <c r="H95" s="16">
        <v>158.19999999999999</v>
      </c>
      <c r="I95" s="8">
        <v>1.3626</v>
      </c>
      <c r="J95" s="16">
        <v>4.0380000000000003</v>
      </c>
      <c r="K95" s="10">
        <v>3.6724000000000001</v>
      </c>
      <c r="L95" s="11">
        <v>14325</v>
      </c>
      <c r="M95" s="13">
        <v>110.66</v>
      </c>
      <c r="N95" s="10">
        <v>31.274495999999999</v>
      </c>
      <c r="O95" s="10">
        <v>33.5</v>
      </c>
      <c r="P95" s="10">
        <v>29.074999999999999</v>
      </c>
      <c r="Q95" s="11">
        <v>30460</v>
      </c>
      <c r="R95" s="16">
        <v>0.71330000000000005</v>
      </c>
      <c r="S95" s="16">
        <v>0.81064199999999997</v>
      </c>
      <c r="T95" s="16">
        <v>49.991</v>
      </c>
      <c r="U95" s="16">
        <v>80.252571000000003</v>
      </c>
      <c r="V95" s="16">
        <v>91.251999999999995</v>
      </c>
    </row>
    <row r="96" spans="1:22" x14ac:dyDescent="0.3">
      <c r="A96" s="22">
        <v>43282</v>
      </c>
      <c r="B96" s="16">
        <v>68.716033999999993</v>
      </c>
      <c r="C96" s="16">
        <v>6.8037999999999998</v>
      </c>
      <c r="D96" s="21">
        <v>22956</v>
      </c>
      <c r="E96" s="16">
        <v>83.61</v>
      </c>
      <c r="F96" s="16">
        <v>7.8430999999999997</v>
      </c>
      <c r="G96" s="16">
        <v>4.4462760000000001</v>
      </c>
      <c r="H96" s="16">
        <v>158.15</v>
      </c>
      <c r="I96" s="8">
        <v>1.3373999999999999</v>
      </c>
      <c r="J96" s="16">
        <v>3.9780000000000002</v>
      </c>
      <c r="K96" s="10">
        <v>3.6724000000000001</v>
      </c>
      <c r="L96" s="11">
        <v>13890</v>
      </c>
      <c r="M96" s="13">
        <v>108.81</v>
      </c>
      <c r="N96" s="10">
        <v>31.494447999999998</v>
      </c>
      <c r="O96" s="10">
        <v>33.4</v>
      </c>
      <c r="P96" s="10">
        <v>29.33</v>
      </c>
      <c r="Q96" s="11">
        <v>30315</v>
      </c>
      <c r="R96" s="16">
        <v>0.72660000000000002</v>
      </c>
      <c r="S96" s="16">
        <v>0.80989599999999995</v>
      </c>
      <c r="T96" s="16">
        <v>50.601999999999997</v>
      </c>
      <c r="U96" s="16">
        <v>79.561475000000002</v>
      </c>
      <c r="V96" s="16">
        <v>89.709000000000003</v>
      </c>
    </row>
    <row r="97" spans="1:22" x14ac:dyDescent="0.3">
      <c r="A97" s="22">
        <v>43252</v>
      </c>
      <c r="B97" s="16">
        <v>67.786743000000001</v>
      </c>
      <c r="C97" s="16">
        <v>6.6170999999999998</v>
      </c>
      <c r="D97" s="21">
        <v>22804</v>
      </c>
      <c r="E97" s="16">
        <v>84</v>
      </c>
      <c r="F97" s="16">
        <v>7.8480999999999996</v>
      </c>
      <c r="G97" s="16">
        <v>4.0730219999999999</v>
      </c>
      <c r="H97" s="16">
        <v>157.6</v>
      </c>
      <c r="I97" s="8">
        <v>1.3258000000000001</v>
      </c>
      <c r="J97" s="16">
        <v>3.92</v>
      </c>
      <c r="K97" s="10">
        <v>3.6720999999999999</v>
      </c>
      <c r="L97" s="11">
        <v>13910</v>
      </c>
      <c r="M97" s="13">
        <v>109.33</v>
      </c>
      <c r="N97" s="10">
        <v>31.901343000000001</v>
      </c>
      <c r="O97" s="10">
        <v>32.15</v>
      </c>
      <c r="P97" s="10">
        <v>29.161000000000001</v>
      </c>
      <c r="Q97" s="11">
        <v>30162</v>
      </c>
      <c r="R97" s="16">
        <v>0.70450000000000002</v>
      </c>
      <c r="S97" s="16">
        <v>0.819851</v>
      </c>
      <c r="T97" s="16">
        <v>51.174999999999997</v>
      </c>
      <c r="U97" s="16">
        <v>77.655817999999996</v>
      </c>
      <c r="V97" s="16">
        <v>90.162999999999997</v>
      </c>
    </row>
    <row r="98" spans="1:22" x14ac:dyDescent="0.3">
      <c r="A98" s="22">
        <v>43221</v>
      </c>
      <c r="B98" s="16">
        <v>67.551006999999998</v>
      </c>
      <c r="C98" s="16">
        <v>6.4096000000000002</v>
      </c>
      <c r="D98" s="21">
        <v>22763</v>
      </c>
      <c r="E98" s="16">
        <v>84.2</v>
      </c>
      <c r="F98" s="16">
        <v>7.8484999999999996</v>
      </c>
      <c r="G98" s="16">
        <v>3.890422</v>
      </c>
      <c r="H98" s="16">
        <v>155.6</v>
      </c>
      <c r="I98" s="8">
        <v>1.3107</v>
      </c>
      <c r="J98" s="16">
        <v>3.8620000000000001</v>
      </c>
      <c r="K98" s="10">
        <v>3.6726000000000001</v>
      </c>
      <c r="L98" s="11">
        <v>13760</v>
      </c>
      <c r="M98" s="13">
        <v>106.26</v>
      </c>
      <c r="N98" s="10">
        <v>32.644750999999999</v>
      </c>
      <c r="O98" s="10">
        <v>33.4</v>
      </c>
      <c r="P98" s="10">
        <v>29.661999999999999</v>
      </c>
      <c r="Q98" s="11">
        <v>30197</v>
      </c>
      <c r="R98" s="16">
        <v>0.73980000000000001</v>
      </c>
      <c r="S98" s="16">
        <v>0.84488799999999997</v>
      </c>
      <c r="T98" s="16">
        <v>49.793999999999997</v>
      </c>
      <c r="U98" s="16">
        <v>76.066263000000006</v>
      </c>
      <c r="V98" s="16">
        <v>86.247</v>
      </c>
    </row>
    <row r="99" spans="1:22" x14ac:dyDescent="0.3">
      <c r="A99" s="22">
        <v>43191</v>
      </c>
      <c r="B99" s="16">
        <v>65.702752000000004</v>
      </c>
      <c r="C99" s="16">
        <v>6.3324999999999996</v>
      </c>
      <c r="D99" s="21">
        <v>22793</v>
      </c>
      <c r="E99" s="16">
        <v>82.91</v>
      </c>
      <c r="F99" s="16">
        <v>7.8262</v>
      </c>
      <c r="G99" s="16">
        <v>3.7829489999999999</v>
      </c>
      <c r="H99" s="16">
        <v>154.94999999999999</v>
      </c>
      <c r="I99" s="8">
        <v>1.3246</v>
      </c>
      <c r="J99" s="16">
        <v>3.915</v>
      </c>
      <c r="K99" s="10">
        <v>3.6724000000000001</v>
      </c>
      <c r="L99" s="11">
        <v>13740</v>
      </c>
      <c r="M99" s="13">
        <v>106.67</v>
      </c>
      <c r="N99" s="10">
        <v>32.906177</v>
      </c>
      <c r="O99" s="10">
        <v>33.590000000000003</v>
      </c>
      <c r="P99" s="10">
        <v>29.984000000000002</v>
      </c>
      <c r="Q99" s="11">
        <v>30186</v>
      </c>
      <c r="R99" s="16">
        <v>0.73919999999999997</v>
      </c>
      <c r="S99" s="16">
        <v>0.85200900000000002</v>
      </c>
      <c r="T99" s="16">
        <v>48.786000000000001</v>
      </c>
      <c r="U99" s="16">
        <v>76.124841000000004</v>
      </c>
      <c r="V99" s="16">
        <v>87.209000000000003</v>
      </c>
    </row>
    <row r="100" spans="1:22" x14ac:dyDescent="0.3">
      <c r="A100" s="22">
        <v>43160</v>
      </c>
      <c r="B100" s="16">
        <v>65.054934000000003</v>
      </c>
      <c r="C100" s="16">
        <v>6.2725999999999997</v>
      </c>
      <c r="D100" s="21">
        <v>22756</v>
      </c>
      <c r="E100" s="16">
        <v>82.92</v>
      </c>
      <c r="F100" s="16">
        <v>7.8226000000000004</v>
      </c>
      <c r="G100" s="16">
        <v>3.7728679999999999</v>
      </c>
      <c r="H100" s="16">
        <v>153.9</v>
      </c>
      <c r="I100" s="8">
        <v>1.3117000000000001</v>
      </c>
      <c r="J100" s="16">
        <v>3.8995000000000002</v>
      </c>
      <c r="K100" s="10">
        <v>3.6722000000000001</v>
      </c>
      <c r="L100" s="11">
        <v>13387</v>
      </c>
      <c r="M100" s="13">
        <v>109.17</v>
      </c>
      <c r="N100" s="10">
        <v>33.233998</v>
      </c>
      <c r="O100" s="10">
        <v>34.15</v>
      </c>
      <c r="P100" s="10">
        <v>30.152999999999999</v>
      </c>
      <c r="Q100" s="11">
        <v>30130</v>
      </c>
      <c r="R100" s="16">
        <v>0.75280000000000002</v>
      </c>
      <c r="S100" s="16">
        <v>0.85066600000000003</v>
      </c>
      <c r="T100" s="16">
        <v>49.558</v>
      </c>
      <c r="U100" s="16">
        <v>76.497699999999995</v>
      </c>
      <c r="V100" s="16">
        <v>85.988</v>
      </c>
    </row>
    <row r="101" spans="1:22" x14ac:dyDescent="0.3">
      <c r="A101" s="22">
        <v>43132</v>
      </c>
      <c r="B101" s="16">
        <v>64.435411999999999</v>
      </c>
      <c r="C101" s="16">
        <v>6.3280000000000003</v>
      </c>
      <c r="D101" s="21">
        <v>22700</v>
      </c>
      <c r="E101" s="16">
        <v>82.87</v>
      </c>
      <c r="F101" s="16">
        <v>7.8125999999999998</v>
      </c>
      <c r="G101" s="16">
        <v>3.8450980000000001</v>
      </c>
      <c r="H101" s="16">
        <v>153.4</v>
      </c>
      <c r="I101" s="8">
        <v>1.3372999999999999</v>
      </c>
      <c r="J101" s="16">
        <v>4.0439999999999996</v>
      </c>
      <c r="K101" s="10">
        <v>3.6720999999999999</v>
      </c>
      <c r="L101" s="11">
        <v>13565</v>
      </c>
      <c r="M101" s="13">
        <v>112.67</v>
      </c>
      <c r="N101" s="10">
        <v>33.150528999999999</v>
      </c>
      <c r="O101" s="10">
        <v>33.83</v>
      </c>
      <c r="P101" s="10">
        <v>30.312999999999999</v>
      </c>
      <c r="Q101" s="11">
        <v>30086</v>
      </c>
      <c r="R101" s="16">
        <v>0.74639999999999995</v>
      </c>
      <c r="S101" s="16">
        <v>0.83934600000000004</v>
      </c>
      <c r="T101" s="16">
        <v>51.152999999999999</v>
      </c>
      <c r="U101" s="16">
        <v>76.800185999999997</v>
      </c>
      <c r="V101" s="16">
        <v>87.483000000000004</v>
      </c>
    </row>
    <row r="102" spans="1:22" x14ac:dyDescent="0.3">
      <c r="A102" s="22">
        <v>43101</v>
      </c>
      <c r="B102" s="16">
        <v>63.654439000000004</v>
      </c>
      <c r="C102" s="16">
        <v>6.2840999999999996</v>
      </c>
      <c r="D102" s="21">
        <v>22700</v>
      </c>
      <c r="E102" s="16">
        <v>82.65</v>
      </c>
      <c r="F102" s="16">
        <v>7.8097000000000003</v>
      </c>
      <c r="G102" s="16">
        <v>3.8943089999999998</v>
      </c>
      <c r="H102" s="16">
        <v>153.55000000000001</v>
      </c>
      <c r="I102" s="8">
        <v>1.3484</v>
      </c>
      <c r="J102" s="16">
        <v>4.0875000000000004</v>
      </c>
      <c r="K102" s="10">
        <v>3.6724000000000001</v>
      </c>
      <c r="L102" s="11">
        <v>13524</v>
      </c>
      <c r="M102" s="13">
        <v>112.52</v>
      </c>
      <c r="N102" s="10">
        <v>33.259610000000002</v>
      </c>
      <c r="O102" s="10">
        <v>32.49</v>
      </c>
      <c r="P102" s="10">
        <v>30.178999999999998</v>
      </c>
      <c r="Q102" s="11">
        <v>29957</v>
      </c>
      <c r="R102" s="16">
        <v>0.77329999999999999</v>
      </c>
      <c r="S102" s="16">
        <v>0.84696899999999997</v>
      </c>
      <c r="T102" s="16">
        <v>50.798999999999999</v>
      </c>
      <c r="U102" s="16">
        <v>75.551139000000006</v>
      </c>
      <c r="V102" s="16">
        <v>82.655000000000001</v>
      </c>
    </row>
    <row r="103" spans="1:22" x14ac:dyDescent="0.3">
      <c r="A103" s="22">
        <v>43070</v>
      </c>
      <c r="B103" s="16">
        <v>64.266334999999998</v>
      </c>
      <c r="C103" s="16">
        <v>6.5063000000000004</v>
      </c>
      <c r="D103" s="21">
        <v>22705</v>
      </c>
      <c r="E103" s="16">
        <v>82.22</v>
      </c>
      <c r="F103" s="16">
        <v>7.8009000000000004</v>
      </c>
      <c r="G103" s="16">
        <v>3.6778559999999998</v>
      </c>
      <c r="H103" s="16">
        <v>153.55000000000001</v>
      </c>
      <c r="I103" s="8">
        <v>1.3625</v>
      </c>
      <c r="J103" s="16">
        <v>4.2314999999999996</v>
      </c>
      <c r="K103" s="10">
        <v>3.6726000000000001</v>
      </c>
      <c r="L103" s="11">
        <v>13560</v>
      </c>
      <c r="M103" s="13">
        <v>113.62</v>
      </c>
      <c r="N103" s="10">
        <v>33.739341000000003</v>
      </c>
      <c r="O103" s="10">
        <v>33.1</v>
      </c>
      <c r="P103" s="10">
        <v>30.199000000000002</v>
      </c>
      <c r="Q103" s="11">
        <v>29956</v>
      </c>
      <c r="R103" s="16">
        <v>0.75670000000000004</v>
      </c>
      <c r="S103" s="16">
        <v>0.86883900000000003</v>
      </c>
      <c r="T103" s="16">
        <v>51.348999999999997</v>
      </c>
      <c r="U103" s="16">
        <v>74.194467000000003</v>
      </c>
      <c r="V103" s="16">
        <v>84.793999999999997</v>
      </c>
    </row>
    <row r="104" spans="1:22" x14ac:dyDescent="0.3">
      <c r="A104" s="22">
        <v>43040</v>
      </c>
      <c r="B104" s="16">
        <v>64.854237999999995</v>
      </c>
      <c r="C104" s="16">
        <v>6.609</v>
      </c>
      <c r="D104" s="21">
        <v>22700</v>
      </c>
      <c r="E104" s="16">
        <v>82.82</v>
      </c>
      <c r="F104" s="16">
        <v>7.8110999999999997</v>
      </c>
      <c r="G104" s="16">
        <v>3.4730189999999999</v>
      </c>
      <c r="H104" s="16">
        <v>152.97999999999999</v>
      </c>
      <c r="I104" s="8">
        <v>1.3572</v>
      </c>
      <c r="J104" s="16">
        <v>4.2190000000000003</v>
      </c>
      <c r="K104" s="10">
        <v>3.6726000000000001</v>
      </c>
      <c r="L104" s="11">
        <v>13470</v>
      </c>
      <c r="M104" s="13">
        <v>112.47</v>
      </c>
      <c r="N104" s="10">
        <v>34.000804000000002</v>
      </c>
      <c r="O104" s="10">
        <v>34.33</v>
      </c>
      <c r="P104" s="10">
        <v>30.417000000000002</v>
      </c>
      <c r="Q104" s="11">
        <v>29958</v>
      </c>
      <c r="R104" s="16">
        <v>0.76749999999999996</v>
      </c>
      <c r="S104" s="16">
        <v>0.89055499999999999</v>
      </c>
      <c r="T104" s="16">
        <v>49.662999999999997</v>
      </c>
      <c r="U104" s="16">
        <v>72.379750000000001</v>
      </c>
      <c r="V104" s="16">
        <v>84.161000000000001</v>
      </c>
    </row>
    <row r="105" spans="1:22" x14ac:dyDescent="0.3">
      <c r="A105" s="22">
        <v>43009</v>
      </c>
      <c r="B105" s="16">
        <v>65.071886000000006</v>
      </c>
      <c r="C105" s="16">
        <v>6.6327999999999996</v>
      </c>
      <c r="D105" s="21">
        <v>22720</v>
      </c>
      <c r="E105" s="16">
        <v>82.07</v>
      </c>
      <c r="F105" s="16">
        <v>7.8258000000000001</v>
      </c>
      <c r="G105" s="16">
        <v>3.5099719999999999</v>
      </c>
      <c r="H105" s="16">
        <v>152.69999999999999</v>
      </c>
      <c r="I105" s="8">
        <v>1.3555999999999999</v>
      </c>
      <c r="J105" s="16">
        <v>4.2690000000000001</v>
      </c>
      <c r="K105" s="10">
        <v>3.6726999999999999</v>
      </c>
      <c r="L105" s="11">
        <v>13342</v>
      </c>
      <c r="M105" s="13">
        <v>109.96</v>
      </c>
      <c r="N105" s="10">
        <v>34.460943</v>
      </c>
      <c r="O105" s="10">
        <v>34.619999999999997</v>
      </c>
      <c r="P105" s="10">
        <v>30.081</v>
      </c>
      <c r="Q105" s="11">
        <v>29600</v>
      </c>
      <c r="R105" s="16">
        <v>0.77569999999999995</v>
      </c>
      <c r="S105" s="16">
        <v>0.904505</v>
      </c>
      <c r="T105" s="16">
        <v>47.920999999999999</v>
      </c>
      <c r="U105" s="16">
        <v>71.268127000000007</v>
      </c>
      <c r="V105" s="16">
        <v>83.134</v>
      </c>
    </row>
    <row r="106" spans="1:22" x14ac:dyDescent="0.3">
      <c r="A106" s="22">
        <v>42979</v>
      </c>
      <c r="B106" s="16">
        <v>64.462391999999994</v>
      </c>
      <c r="C106" s="16">
        <v>6.6532999999999998</v>
      </c>
      <c r="D106" s="21">
        <v>22715</v>
      </c>
      <c r="E106" s="16">
        <v>80.88</v>
      </c>
      <c r="F106" s="16">
        <v>7.81</v>
      </c>
      <c r="G106" s="16">
        <v>3.5638350000000001</v>
      </c>
      <c r="H106" s="16">
        <v>153.5</v>
      </c>
      <c r="I106" s="8">
        <v>1.3545</v>
      </c>
      <c r="J106" s="16">
        <v>4.28</v>
      </c>
      <c r="K106" s="10">
        <v>3.6724000000000001</v>
      </c>
      <c r="L106" s="11">
        <v>13324</v>
      </c>
      <c r="M106" s="13">
        <v>110.25</v>
      </c>
      <c r="N106" s="10">
        <v>34.475181999999997</v>
      </c>
      <c r="O106" s="10">
        <v>34.67</v>
      </c>
      <c r="P106" s="10">
        <v>30.157</v>
      </c>
      <c r="Q106" s="11">
        <v>29319</v>
      </c>
      <c r="R106" s="16">
        <v>0.77190000000000003</v>
      </c>
      <c r="S106" s="16">
        <v>0.93270299999999995</v>
      </c>
      <c r="T106" s="16">
        <v>48.1</v>
      </c>
      <c r="U106" s="16">
        <v>69.201555999999997</v>
      </c>
      <c r="V106" s="16">
        <v>83.203999999999994</v>
      </c>
    </row>
    <row r="107" spans="1:22" x14ac:dyDescent="0.3">
      <c r="A107" s="22">
        <v>42948</v>
      </c>
      <c r="B107" s="16">
        <v>63.987231000000001</v>
      </c>
      <c r="C107" s="16">
        <v>6.5888</v>
      </c>
      <c r="D107" s="21">
        <v>22726</v>
      </c>
      <c r="E107" s="16">
        <v>81.2</v>
      </c>
      <c r="F107" s="16">
        <v>7.8068</v>
      </c>
      <c r="G107" s="16">
        <v>3.522383</v>
      </c>
      <c r="H107" s="16">
        <v>153</v>
      </c>
      <c r="I107" s="8">
        <v>1.3759999999999999</v>
      </c>
      <c r="J107" s="16">
        <v>4.2910000000000004</v>
      </c>
      <c r="K107" s="10">
        <v>3.6724000000000001</v>
      </c>
      <c r="L107" s="11">
        <v>13325</v>
      </c>
      <c r="M107" s="13">
        <v>112.35</v>
      </c>
      <c r="N107" s="10">
        <v>34.874769999999998</v>
      </c>
      <c r="O107" s="10">
        <v>35.03</v>
      </c>
      <c r="P107" s="10">
        <v>30.315000000000001</v>
      </c>
      <c r="Q107" s="11">
        <v>28829</v>
      </c>
      <c r="R107" s="16">
        <v>0.7964</v>
      </c>
      <c r="S107" s="16">
        <v>0.93601599999999996</v>
      </c>
      <c r="T107" s="16">
        <v>49.468000000000004</v>
      </c>
      <c r="U107" s="16">
        <v>70.323761000000005</v>
      </c>
      <c r="V107" s="16">
        <v>81.406000000000006</v>
      </c>
    </row>
    <row r="108" spans="1:22" x14ac:dyDescent="0.3">
      <c r="A108" s="22">
        <v>42917</v>
      </c>
      <c r="B108" s="16">
        <v>64.456379999999996</v>
      </c>
      <c r="C108" s="16">
        <v>6.7240000000000002</v>
      </c>
      <c r="D108" s="21">
        <v>22700</v>
      </c>
      <c r="E108" s="16">
        <v>80.569999999999993</v>
      </c>
      <c r="F108" s="16">
        <v>7.7915000000000001</v>
      </c>
      <c r="G108" s="16">
        <v>3.5689259999999998</v>
      </c>
      <c r="H108" s="16">
        <v>152.44999999999999</v>
      </c>
      <c r="I108" s="8">
        <v>1.3831</v>
      </c>
      <c r="J108" s="16">
        <v>4.2789999999999999</v>
      </c>
      <c r="K108" s="10">
        <v>3.6720000000000002</v>
      </c>
      <c r="L108" s="11">
        <v>13321</v>
      </c>
      <c r="M108" s="13">
        <v>110.75</v>
      </c>
      <c r="N108" s="10">
        <v>35.008310000000002</v>
      </c>
      <c r="O108" s="10">
        <v>35.33</v>
      </c>
      <c r="P108" s="10">
        <v>30.640999999999998</v>
      </c>
      <c r="Q108" s="11">
        <v>28369</v>
      </c>
      <c r="R108" s="16">
        <v>0.80769999999999997</v>
      </c>
      <c r="S108" s="16">
        <v>0.93966400000000005</v>
      </c>
      <c r="T108" s="16">
        <v>51.072000000000003</v>
      </c>
      <c r="U108" s="16">
        <v>71.290824999999998</v>
      </c>
      <c r="V108" s="16">
        <v>82.575000000000003</v>
      </c>
    </row>
    <row r="109" spans="1:22" x14ac:dyDescent="0.3">
      <c r="A109" s="22">
        <v>42887</v>
      </c>
      <c r="B109" s="16">
        <v>64.455022999999997</v>
      </c>
      <c r="C109" s="16">
        <v>6.7793000000000001</v>
      </c>
      <c r="D109" s="21">
        <v>22710</v>
      </c>
      <c r="E109" s="16">
        <v>80.680000000000007</v>
      </c>
      <c r="F109" s="16">
        <v>7.7778</v>
      </c>
      <c r="G109" s="16">
        <v>3.651656</v>
      </c>
      <c r="H109" s="16">
        <v>151.94999999999999</v>
      </c>
      <c r="I109" s="8">
        <v>1.3965000000000001</v>
      </c>
      <c r="J109" s="16">
        <v>4.3390000000000004</v>
      </c>
      <c r="K109" s="10">
        <v>3.6724000000000001</v>
      </c>
      <c r="L109" s="11">
        <v>13327</v>
      </c>
      <c r="M109" s="13">
        <v>111.53</v>
      </c>
      <c r="N109" s="10">
        <v>35.467840000000002</v>
      </c>
      <c r="O109" s="10">
        <v>35.4</v>
      </c>
      <c r="P109" s="10">
        <v>31.161999999999999</v>
      </c>
      <c r="Q109" s="11">
        <v>28045</v>
      </c>
      <c r="R109" s="16">
        <v>0.79479999999999995</v>
      </c>
      <c r="S109" s="16">
        <v>0.94220599999999999</v>
      </c>
      <c r="T109" s="16">
        <v>51.177999999999997</v>
      </c>
      <c r="U109" s="16">
        <v>72.282268000000002</v>
      </c>
      <c r="V109" s="16">
        <v>84.882000000000005</v>
      </c>
    </row>
    <row r="110" spans="1:22" x14ac:dyDescent="0.3">
      <c r="A110" s="22">
        <v>42856</v>
      </c>
      <c r="B110" s="16">
        <v>64.450710999999998</v>
      </c>
      <c r="C110" s="16">
        <v>6.8098000000000001</v>
      </c>
      <c r="D110" s="21">
        <v>22740</v>
      </c>
      <c r="E110" s="16">
        <v>81.459999999999994</v>
      </c>
      <c r="F110" s="16">
        <v>7.7708000000000004</v>
      </c>
      <c r="G110" s="16">
        <v>3.671799</v>
      </c>
      <c r="H110" s="16">
        <v>151.72</v>
      </c>
      <c r="I110" s="8">
        <v>1.3967000000000001</v>
      </c>
      <c r="J110" s="16">
        <v>4.4240000000000004</v>
      </c>
      <c r="K110" s="10">
        <v>3.6724000000000001</v>
      </c>
      <c r="L110" s="11">
        <v>13323</v>
      </c>
      <c r="M110" s="13">
        <v>111.38</v>
      </c>
      <c r="N110" s="10">
        <v>35.789088</v>
      </c>
      <c r="O110" s="10">
        <v>35.85</v>
      </c>
      <c r="P110" s="10">
        <v>32.439</v>
      </c>
      <c r="Q110" s="11">
        <v>27705</v>
      </c>
      <c r="R110" s="16">
        <v>0.81030000000000002</v>
      </c>
      <c r="S110" s="16">
        <v>0.94863600000000003</v>
      </c>
      <c r="T110" s="16">
        <v>49.021999999999998</v>
      </c>
      <c r="U110" s="16">
        <v>71.538976000000005</v>
      </c>
      <c r="V110" s="16">
        <v>83.816000000000003</v>
      </c>
    </row>
    <row r="111" spans="1:22" x14ac:dyDescent="0.3">
      <c r="A111" s="22">
        <v>42826</v>
      </c>
      <c r="B111" s="16">
        <v>64.539287999999999</v>
      </c>
      <c r="C111" s="16">
        <v>6.89</v>
      </c>
      <c r="D111" s="21">
        <v>22750</v>
      </c>
      <c r="E111" s="16">
        <v>80.2</v>
      </c>
      <c r="F111" s="16">
        <v>7.7621000000000002</v>
      </c>
      <c r="G111" s="16">
        <v>3.665216</v>
      </c>
      <c r="H111" s="16">
        <v>152.34</v>
      </c>
      <c r="I111" s="8">
        <v>1.4029</v>
      </c>
      <c r="J111" s="16">
        <v>4.4379999999999997</v>
      </c>
      <c r="K111" s="10">
        <v>3.6722999999999999</v>
      </c>
      <c r="L111" s="11">
        <v>13331</v>
      </c>
      <c r="M111" s="13">
        <v>112.75</v>
      </c>
      <c r="N111" s="10">
        <v>35.337054000000002</v>
      </c>
      <c r="O111" s="10">
        <v>35.840000000000003</v>
      </c>
      <c r="P111" s="10">
        <v>31.882999999999999</v>
      </c>
      <c r="Q111" s="11">
        <v>27530</v>
      </c>
      <c r="R111" s="16">
        <v>0.79949999999999999</v>
      </c>
      <c r="S111" s="16">
        <v>0.92632599999999998</v>
      </c>
      <c r="T111" s="16">
        <v>50.631999999999998</v>
      </c>
      <c r="U111" s="16">
        <v>73.054976999999994</v>
      </c>
      <c r="V111" s="16">
        <v>85.763000000000005</v>
      </c>
    </row>
    <row r="112" spans="1:22" x14ac:dyDescent="0.3">
      <c r="A112" s="22">
        <v>42795</v>
      </c>
      <c r="B112" s="16">
        <v>65.823712999999998</v>
      </c>
      <c r="C112" s="16">
        <v>6.8832000000000004</v>
      </c>
      <c r="D112" s="21">
        <v>22750</v>
      </c>
      <c r="E112" s="16">
        <v>79.569999999999993</v>
      </c>
      <c r="F112" s="16">
        <v>7.7587999999999999</v>
      </c>
      <c r="G112" s="16">
        <v>3.7554799999999999</v>
      </c>
      <c r="H112" s="16">
        <v>149.94999999999999</v>
      </c>
      <c r="I112" s="8">
        <v>1.4097</v>
      </c>
      <c r="J112" s="16">
        <v>4.4279999999999999</v>
      </c>
      <c r="K112" s="10">
        <v>3.6728999999999998</v>
      </c>
      <c r="L112" s="11">
        <v>13347</v>
      </c>
      <c r="M112" s="13">
        <v>112.78</v>
      </c>
      <c r="N112" s="10">
        <v>35.068686999999997</v>
      </c>
      <c r="O112" s="10">
        <v>35.69</v>
      </c>
      <c r="P112" s="10">
        <v>31.516999999999999</v>
      </c>
      <c r="Q112" s="11">
        <v>27138</v>
      </c>
      <c r="R112" s="16">
        <v>0.81659999999999999</v>
      </c>
      <c r="S112" s="16">
        <v>0.90703599999999995</v>
      </c>
      <c r="T112" s="16">
        <v>50.732999999999997</v>
      </c>
      <c r="U112" s="16">
        <v>73.577518999999995</v>
      </c>
      <c r="V112" s="16">
        <v>81.623999999999995</v>
      </c>
    </row>
    <row r="113" spans="1:22" x14ac:dyDescent="0.3">
      <c r="A113" s="22">
        <v>42767</v>
      </c>
      <c r="B113" s="16">
        <v>66.984848</v>
      </c>
      <c r="C113" s="16">
        <v>6.8665000000000003</v>
      </c>
      <c r="D113" s="21">
        <v>22590</v>
      </c>
      <c r="E113" s="16">
        <v>79.489999999999995</v>
      </c>
      <c r="F113" s="16">
        <v>7.7541000000000002</v>
      </c>
      <c r="G113" s="16">
        <v>3.5018440000000002</v>
      </c>
      <c r="H113" s="16">
        <v>149.6</v>
      </c>
      <c r="I113" s="8">
        <v>1.4478</v>
      </c>
      <c r="J113" s="16">
        <v>4.4844999999999997</v>
      </c>
      <c r="K113" s="10">
        <v>3.6726000000000001</v>
      </c>
      <c r="L113" s="11">
        <v>13470</v>
      </c>
      <c r="M113" s="13">
        <v>116.87</v>
      </c>
      <c r="N113" s="10">
        <v>34.725388000000002</v>
      </c>
      <c r="O113" s="10">
        <v>35.33</v>
      </c>
      <c r="P113" s="10">
        <v>31.305</v>
      </c>
      <c r="Q113" s="11">
        <v>26815</v>
      </c>
      <c r="R113" s="16">
        <v>0.77049999999999996</v>
      </c>
      <c r="S113" s="16">
        <v>0.89190700000000001</v>
      </c>
      <c r="T113" s="16">
        <v>50.933999999999997</v>
      </c>
      <c r="U113" s="16">
        <v>74.822000000000003</v>
      </c>
      <c r="V113" s="16">
        <v>86.343000000000004</v>
      </c>
    </row>
    <row r="114" spans="1:22" x14ac:dyDescent="0.3">
      <c r="A114" s="22">
        <v>42736</v>
      </c>
      <c r="B114" s="16">
        <v>68.098877000000002</v>
      </c>
      <c r="C114" s="16">
        <v>6.8768000000000002</v>
      </c>
      <c r="D114" s="21">
        <v>22770</v>
      </c>
      <c r="E114" s="16">
        <v>78.92</v>
      </c>
      <c r="F114" s="16">
        <v>7.7563000000000004</v>
      </c>
      <c r="G114" s="16">
        <v>3.2893870000000001</v>
      </c>
      <c r="H114" s="16">
        <v>148.55000000000001</v>
      </c>
      <c r="I114" s="8">
        <v>1.4332</v>
      </c>
      <c r="J114" s="16">
        <v>4.4640000000000004</v>
      </c>
      <c r="K114" s="10">
        <v>3.6726000000000001</v>
      </c>
      <c r="L114" s="11">
        <v>13550</v>
      </c>
      <c r="M114" s="13">
        <v>114.44</v>
      </c>
      <c r="N114" s="10">
        <v>34.710296</v>
      </c>
      <c r="O114" s="10">
        <v>35.049999999999997</v>
      </c>
      <c r="P114" s="10">
        <v>31.731999999999999</v>
      </c>
      <c r="Q114" s="11">
        <v>26706</v>
      </c>
      <c r="R114" s="16">
        <v>0.7611</v>
      </c>
      <c r="S114" s="16">
        <v>0.89196500000000001</v>
      </c>
      <c r="T114" s="16">
        <v>50.316000000000003</v>
      </c>
      <c r="U114" s="16">
        <v>75.030299999999997</v>
      </c>
      <c r="V114" s="16">
        <v>87.968999999999994</v>
      </c>
    </row>
    <row r="115" spans="1:22" x14ac:dyDescent="0.3">
      <c r="A115" s="22">
        <v>42705</v>
      </c>
      <c r="B115" s="16">
        <v>67.856139999999996</v>
      </c>
      <c r="C115" s="16">
        <v>6.9429999999999996</v>
      </c>
      <c r="D115" s="21">
        <v>22640</v>
      </c>
      <c r="E115" s="16">
        <v>79.11</v>
      </c>
      <c r="F115" s="16">
        <v>7.7549000000000001</v>
      </c>
      <c r="G115" s="16">
        <v>3.0757720000000002</v>
      </c>
      <c r="H115" s="16">
        <v>147.4</v>
      </c>
      <c r="I115" s="8">
        <v>1.3905000000000001</v>
      </c>
      <c r="J115" s="16">
        <v>4.1900000000000004</v>
      </c>
      <c r="K115" s="10">
        <v>3.673</v>
      </c>
      <c r="L115" s="11">
        <v>13047</v>
      </c>
      <c r="M115" s="13">
        <v>104.81</v>
      </c>
      <c r="N115" s="10">
        <v>35.048833999999999</v>
      </c>
      <c r="O115" s="10">
        <v>35.25</v>
      </c>
      <c r="P115" s="10">
        <v>31.818000000000001</v>
      </c>
      <c r="Q115" s="11">
        <v>26668</v>
      </c>
      <c r="R115" s="16">
        <v>0.75600000000000001</v>
      </c>
      <c r="S115" s="16">
        <v>0.90348399999999995</v>
      </c>
      <c r="T115" s="16">
        <v>50.604999999999997</v>
      </c>
      <c r="U115" s="16">
        <v>74.373829000000001</v>
      </c>
      <c r="V115" s="16">
        <v>88.117999999999995</v>
      </c>
    </row>
    <row r="116" spans="1:22" x14ac:dyDescent="0.3">
      <c r="A116" s="22">
        <v>42675</v>
      </c>
      <c r="B116" s="16">
        <v>67.664608000000001</v>
      </c>
      <c r="C116" s="16">
        <v>6.8837000000000002</v>
      </c>
      <c r="D116" s="21">
        <v>22284</v>
      </c>
      <c r="E116" s="16">
        <v>78.23</v>
      </c>
      <c r="F116" s="16">
        <v>7.7556000000000003</v>
      </c>
      <c r="G116" s="16">
        <v>2.9686159999999999</v>
      </c>
      <c r="H116" s="16">
        <v>146.30000000000001</v>
      </c>
      <c r="I116" s="8">
        <v>1.3623000000000001</v>
      </c>
      <c r="J116" s="16">
        <v>4.1319999999999997</v>
      </c>
      <c r="K116" s="10">
        <v>3.6726000000000001</v>
      </c>
      <c r="L116" s="11">
        <v>13047</v>
      </c>
      <c r="M116" s="13">
        <v>101.33</v>
      </c>
      <c r="N116" s="10">
        <v>35.287754</v>
      </c>
      <c r="O116" s="10">
        <v>35.47</v>
      </c>
      <c r="P116" s="10">
        <v>32.212000000000003</v>
      </c>
      <c r="Q116" s="11">
        <v>26601</v>
      </c>
      <c r="R116" s="16">
        <v>0.75109999999999999</v>
      </c>
      <c r="S116" s="16">
        <v>0.89064600000000005</v>
      </c>
      <c r="T116" s="16">
        <v>50.262</v>
      </c>
      <c r="U116" s="16">
        <v>75.559235999999999</v>
      </c>
      <c r="V116" s="16">
        <v>89.826999999999998</v>
      </c>
    </row>
    <row r="117" spans="1:22" x14ac:dyDescent="0.3">
      <c r="A117" s="22">
        <v>42644</v>
      </c>
      <c r="B117" s="16">
        <v>66.731599000000003</v>
      </c>
      <c r="C117" s="16">
        <v>6.7735000000000003</v>
      </c>
      <c r="D117" s="21">
        <v>22281</v>
      </c>
      <c r="E117" s="16">
        <v>78.430000000000007</v>
      </c>
      <c r="F117" s="16">
        <v>7.7565</v>
      </c>
      <c r="G117" s="16">
        <v>2.9618199999999999</v>
      </c>
      <c r="H117" s="16">
        <v>145.30000000000001</v>
      </c>
      <c r="I117" s="8">
        <v>1.3622000000000001</v>
      </c>
      <c r="J117" s="16">
        <v>4.048</v>
      </c>
      <c r="K117" s="10">
        <v>3.6726000000000001</v>
      </c>
      <c r="L117" s="11">
        <v>13265</v>
      </c>
      <c r="M117" s="13">
        <v>103.42</v>
      </c>
      <c r="N117" s="10">
        <v>35.422834000000002</v>
      </c>
      <c r="O117" s="10">
        <v>35.4</v>
      </c>
      <c r="P117" s="10">
        <v>32.584000000000003</v>
      </c>
      <c r="Q117" s="11">
        <v>26303</v>
      </c>
      <c r="R117" s="16">
        <v>0.69069999999999998</v>
      </c>
      <c r="S117" s="16">
        <v>0.88420399999999999</v>
      </c>
      <c r="T117" s="16">
        <v>48.578000000000003</v>
      </c>
      <c r="U117" s="16">
        <v>75.701564000000005</v>
      </c>
      <c r="V117" s="16">
        <v>97.284000000000006</v>
      </c>
    </row>
    <row r="118" spans="1:22" x14ac:dyDescent="0.3">
      <c r="A118" s="22">
        <v>42614</v>
      </c>
      <c r="B118" s="16">
        <v>66.733506000000006</v>
      </c>
      <c r="C118" s="16">
        <v>6.6684999999999999</v>
      </c>
      <c r="D118" s="21">
        <v>22300</v>
      </c>
      <c r="E118" s="16">
        <v>78.349999999999994</v>
      </c>
      <c r="F118" s="16">
        <v>7.7571000000000003</v>
      </c>
      <c r="G118" s="16">
        <v>2.9623119999999998</v>
      </c>
      <c r="H118" s="16">
        <v>144.76</v>
      </c>
      <c r="I118" s="8">
        <v>1.3392999999999999</v>
      </c>
      <c r="J118" s="16">
        <v>4.0670000000000002</v>
      </c>
      <c r="K118" s="10">
        <v>3.6728999999999998</v>
      </c>
      <c r="L118" s="11">
        <v>13097</v>
      </c>
      <c r="M118" s="13">
        <v>102.05</v>
      </c>
      <c r="N118" s="10">
        <v>35.081740000000003</v>
      </c>
      <c r="O118" s="10">
        <v>34.89</v>
      </c>
      <c r="P118" s="10">
        <v>32.286000000000001</v>
      </c>
      <c r="Q118" s="11">
        <v>25651</v>
      </c>
      <c r="R118" s="16">
        <v>0.68420000000000003</v>
      </c>
      <c r="S118" s="16">
        <v>0.881915</v>
      </c>
      <c r="T118" s="16">
        <v>50.488999999999997</v>
      </c>
      <c r="U118" s="16">
        <v>75.382318999999995</v>
      </c>
      <c r="V118" s="16">
        <v>97.039000000000001</v>
      </c>
    </row>
    <row r="119" spans="1:22" x14ac:dyDescent="0.3">
      <c r="A119" s="22">
        <v>42583</v>
      </c>
      <c r="B119" s="16">
        <v>66.920762999999994</v>
      </c>
      <c r="C119" s="16">
        <v>6.6776</v>
      </c>
      <c r="D119" s="21">
        <v>22273</v>
      </c>
      <c r="E119" s="16">
        <v>78.319999999999993</v>
      </c>
      <c r="F119" s="16">
        <v>7.7590000000000003</v>
      </c>
      <c r="G119" s="16">
        <v>2.9155009999999999</v>
      </c>
      <c r="H119" s="16">
        <v>145.35</v>
      </c>
      <c r="I119" s="8">
        <v>1.3468</v>
      </c>
      <c r="J119" s="16">
        <v>4.0250000000000004</v>
      </c>
      <c r="K119" s="10">
        <v>3.6726000000000001</v>
      </c>
      <c r="L119" s="11">
        <v>13210</v>
      </c>
      <c r="M119" s="13">
        <v>103.25</v>
      </c>
      <c r="N119" s="10">
        <v>35.218325</v>
      </c>
      <c r="O119" s="10">
        <v>35.08</v>
      </c>
      <c r="P119" s="10">
        <v>32.201999999999998</v>
      </c>
      <c r="Q119" s="11">
        <v>25582</v>
      </c>
      <c r="R119" s="16">
        <v>0.69610000000000005</v>
      </c>
      <c r="S119" s="16">
        <v>0.901115</v>
      </c>
      <c r="T119" s="16">
        <v>50.707999999999998</v>
      </c>
      <c r="U119" s="16">
        <v>74.3018</v>
      </c>
      <c r="V119" s="16">
        <v>95.122</v>
      </c>
    </row>
    <row r="120" spans="1:22" x14ac:dyDescent="0.3">
      <c r="A120" s="22">
        <v>42552</v>
      </c>
      <c r="B120" s="16">
        <v>67.194143999999994</v>
      </c>
      <c r="C120" s="16">
        <v>6.6371000000000002</v>
      </c>
      <c r="D120" s="21">
        <v>22281</v>
      </c>
      <c r="E120" s="16">
        <v>78.33</v>
      </c>
      <c r="F120" s="16">
        <v>7.7708000000000004</v>
      </c>
      <c r="G120" s="16">
        <v>2.938256</v>
      </c>
      <c r="H120" s="16">
        <v>147.35</v>
      </c>
      <c r="I120" s="8">
        <v>1.3772</v>
      </c>
      <c r="J120" s="16">
        <v>4.1230000000000002</v>
      </c>
      <c r="K120" s="10">
        <v>3.6726000000000001</v>
      </c>
      <c r="L120" s="11">
        <v>13655</v>
      </c>
      <c r="M120" s="13">
        <v>110.68</v>
      </c>
      <c r="N120" s="10">
        <v>35.615903000000003</v>
      </c>
      <c r="O120" s="10">
        <v>35.81</v>
      </c>
      <c r="P120" s="10">
        <v>33.24</v>
      </c>
      <c r="Q120" s="11">
        <v>25518</v>
      </c>
      <c r="R120" s="16">
        <v>0.71850000000000003</v>
      </c>
      <c r="S120" s="16">
        <v>0.90159999999999996</v>
      </c>
      <c r="T120" s="16">
        <v>48.68</v>
      </c>
      <c r="U120" s="16">
        <v>75.717170999999993</v>
      </c>
      <c r="V120" s="16">
        <v>94.897999999999996</v>
      </c>
    </row>
    <row r="121" spans="1:22" x14ac:dyDescent="0.3">
      <c r="A121" s="22">
        <v>42522</v>
      </c>
      <c r="B121" s="16">
        <v>67.292874999999995</v>
      </c>
      <c r="C121" s="16">
        <v>6.6459000000000001</v>
      </c>
      <c r="D121" s="21">
        <v>22366</v>
      </c>
      <c r="E121" s="16">
        <v>78.599999999999994</v>
      </c>
      <c r="F121" s="16">
        <v>7.7568000000000001</v>
      </c>
      <c r="G121" s="16">
        <v>2.834063</v>
      </c>
      <c r="H121" s="16">
        <v>145.85</v>
      </c>
      <c r="I121" s="8">
        <v>1.3435999999999999</v>
      </c>
      <c r="J121" s="16">
        <v>3.903</v>
      </c>
      <c r="K121" s="10">
        <v>3.6728999999999998</v>
      </c>
      <c r="L121" s="11">
        <v>13180</v>
      </c>
      <c r="M121" s="13">
        <v>106.35</v>
      </c>
      <c r="N121" s="10">
        <v>36.141840000000002</v>
      </c>
      <c r="O121" s="10">
        <v>35.9</v>
      </c>
      <c r="P121" s="10">
        <v>33.482999999999997</v>
      </c>
      <c r="Q121" s="11">
        <v>25444</v>
      </c>
      <c r="R121" s="16">
        <v>0.70179999999999998</v>
      </c>
      <c r="S121" s="16">
        <v>0.92086000000000001</v>
      </c>
      <c r="T121" s="16">
        <v>48.064</v>
      </c>
      <c r="U121" s="16">
        <v>73.203644999999995</v>
      </c>
      <c r="V121" s="16">
        <v>96.677999999999997</v>
      </c>
    </row>
    <row r="122" spans="1:22" x14ac:dyDescent="0.3">
      <c r="A122" s="22">
        <v>42491</v>
      </c>
      <c r="B122" s="16">
        <v>66.930688000000004</v>
      </c>
      <c r="C122" s="16">
        <v>6.5797999999999996</v>
      </c>
      <c r="D122" s="21">
        <v>22244</v>
      </c>
      <c r="E122" s="16">
        <v>78.27</v>
      </c>
      <c r="F122" s="16">
        <v>7.7565</v>
      </c>
      <c r="G122" s="16">
        <v>2.889872</v>
      </c>
      <c r="H122" s="16">
        <v>145.35</v>
      </c>
      <c r="I122" s="8">
        <v>1.3480000000000001</v>
      </c>
      <c r="J122" s="16">
        <v>3.9</v>
      </c>
      <c r="K122" s="10">
        <v>3.6716000000000002</v>
      </c>
      <c r="L122" s="11">
        <v>13255</v>
      </c>
      <c r="M122" s="13">
        <v>112.56</v>
      </c>
      <c r="N122" s="10">
        <v>36.002918000000001</v>
      </c>
      <c r="O122" s="10">
        <v>35.700000000000003</v>
      </c>
      <c r="P122" s="10">
        <v>32.814999999999998</v>
      </c>
      <c r="Q122" s="11">
        <v>24898</v>
      </c>
      <c r="R122" s="16">
        <v>0.6784</v>
      </c>
      <c r="S122" s="16">
        <v>0.91945100000000002</v>
      </c>
      <c r="T122" s="16">
        <v>48.158999999999999</v>
      </c>
      <c r="U122" s="16">
        <v>72.385050000000007</v>
      </c>
      <c r="V122" s="16">
        <v>97.563000000000002</v>
      </c>
    </row>
    <row r="123" spans="1:22" x14ac:dyDescent="0.3">
      <c r="A123" s="22">
        <v>42461</v>
      </c>
      <c r="B123" s="16">
        <v>66.479806999999994</v>
      </c>
      <c r="C123" s="16">
        <v>6.4737999999999998</v>
      </c>
      <c r="D123" s="21">
        <v>22264</v>
      </c>
      <c r="E123" s="16">
        <v>78.22</v>
      </c>
      <c r="F123" s="16">
        <v>7.7770000000000001</v>
      </c>
      <c r="G123" s="16">
        <v>2.9423490000000001</v>
      </c>
      <c r="H123" s="16">
        <v>144.16999999999999</v>
      </c>
      <c r="I123" s="8">
        <v>1.4064000000000001</v>
      </c>
      <c r="J123" s="16">
        <v>4.2</v>
      </c>
      <c r="K123" s="10">
        <v>3.6726000000000001</v>
      </c>
      <c r="L123" s="11">
        <v>13367</v>
      </c>
      <c r="M123" s="13">
        <v>112.66</v>
      </c>
      <c r="N123" s="10">
        <v>35.798155999999999</v>
      </c>
      <c r="O123" s="10">
        <v>36.18</v>
      </c>
      <c r="P123" s="10">
        <v>32.69</v>
      </c>
      <c r="Q123" s="11">
        <v>24866</v>
      </c>
      <c r="R123" s="16">
        <v>0.66410000000000002</v>
      </c>
      <c r="S123" s="16">
        <v>0.93157699999999999</v>
      </c>
      <c r="T123" s="16">
        <v>48.018999999999998</v>
      </c>
      <c r="U123" s="16">
        <v>71.040648000000004</v>
      </c>
      <c r="V123" s="16">
        <v>100.03700000000001</v>
      </c>
    </row>
    <row r="124" spans="1:22" x14ac:dyDescent="0.3">
      <c r="A124" s="22">
        <v>42430</v>
      </c>
      <c r="B124" s="16">
        <v>66.945571999999999</v>
      </c>
      <c r="C124" s="16">
        <v>6.4480000000000004</v>
      </c>
      <c r="D124" s="21">
        <v>22277</v>
      </c>
      <c r="E124" s="16">
        <v>78.349999999999994</v>
      </c>
      <c r="F124" s="16">
        <v>7.7801</v>
      </c>
      <c r="G124" s="16">
        <v>3.0122870000000002</v>
      </c>
      <c r="H124" s="16">
        <v>143.81</v>
      </c>
      <c r="I124" s="8">
        <v>1.4238999999999999</v>
      </c>
      <c r="J124" s="16">
        <v>4.1500000000000004</v>
      </c>
      <c r="K124" s="10">
        <v>3.6724999999999999</v>
      </c>
      <c r="L124" s="11">
        <v>13770</v>
      </c>
      <c r="M124" s="13">
        <v>121.03</v>
      </c>
      <c r="N124" s="10">
        <v>35.685982000000003</v>
      </c>
      <c r="O124" s="10">
        <v>35.78</v>
      </c>
      <c r="P124" s="10">
        <v>32.436999999999998</v>
      </c>
      <c r="Q124" s="11">
        <v>24774</v>
      </c>
      <c r="R124" s="16">
        <v>0.64810000000000001</v>
      </c>
      <c r="S124" s="16">
        <v>0.89022100000000004</v>
      </c>
      <c r="T124" s="16">
        <v>46.685000000000002</v>
      </c>
      <c r="U124" s="16">
        <v>73.111591000000004</v>
      </c>
      <c r="V124" s="16">
        <v>100.919</v>
      </c>
    </row>
    <row r="125" spans="1:22" x14ac:dyDescent="0.3">
      <c r="A125" s="22">
        <v>42401</v>
      </c>
      <c r="B125" s="16">
        <v>68.257846000000001</v>
      </c>
      <c r="C125" s="16">
        <v>6.5525000000000002</v>
      </c>
      <c r="D125" s="21">
        <v>22198</v>
      </c>
      <c r="E125" s="16">
        <v>78.33</v>
      </c>
      <c r="F125" s="16">
        <v>7.7500999999999998</v>
      </c>
      <c r="G125" s="16">
        <v>2.923327</v>
      </c>
      <c r="H125" s="16">
        <v>144.15</v>
      </c>
      <c r="I125" s="8">
        <v>1.4175</v>
      </c>
      <c r="J125" s="16">
        <v>4.29</v>
      </c>
      <c r="K125" s="10">
        <v>3.6724000000000001</v>
      </c>
      <c r="L125" s="11">
        <v>13785</v>
      </c>
      <c r="M125" s="13">
        <v>120.3</v>
      </c>
      <c r="N125" s="10">
        <v>36.027450000000002</v>
      </c>
      <c r="O125" s="10">
        <v>35.270000000000003</v>
      </c>
      <c r="P125" s="10">
        <v>32.988</v>
      </c>
      <c r="Q125" s="11">
        <v>24829</v>
      </c>
      <c r="R125" s="16">
        <v>0.66090000000000004</v>
      </c>
      <c r="S125" s="16">
        <v>0.89120699999999997</v>
      </c>
      <c r="T125" s="16">
        <v>45.966000000000001</v>
      </c>
      <c r="U125" s="16">
        <v>74.299018000000004</v>
      </c>
      <c r="V125" s="16">
        <v>99.091999999999999</v>
      </c>
    </row>
    <row r="126" spans="1:22" x14ac:dyDescent="0.3">
      <c r="A126" s="22">
        <v>42370</v>
      </c>
      <c r="B126" s="16">
        <v>67.407629</v>
      </c>
      <c r="C126" s="16">
        <v>6.5751999999999997</v>
      </c>
      <c r="D126" s="21">
        <v>22480</v>
      </c>
      <c r="E126" s="16">
        <v>78.08</v>
      </c>
      <c r="F126" s="16">
        <v>7.7523</v>
      </c>
      <c r="G126" s="16">
        <v>2.873621</v>
      </c>
      <c r="H126" s="16">
        <v>142.47999999999999</v>
      </c>
      <c r="I126" s="8">
        <v>1.4101999999999999</v>
      </c>
      <c r="J126" s="16">
        <v>4.2560000000000002</v>
      </c>
      <c r="K126" s="10">
        <v>3.6728000000000001</v>
      </c>
      <c r="L126" s="11">
        <v>13830</v>
      </c>
      <c r="M126" s="13">
        <v>123.08</v>
      </c>
      <c r="N126" s="10">
        <v>35.426692000000003</v>
      </c>
      <c r="O126" s="10">
        <v>35</v>
      </c>
      <c r="P126" s="10">
        <v>32.496000000000002</v>
      </c>
      <c r="Q126" s="11">
        <v>24955</v>
      </c>
      <c r="R126" s="16">
        <v>0.65169999999999995</v>
      </c>
      <c r="S126" s="16">
        <v>0.89797800000000005</v>
      </c>
      <c r="T126" s="16">
        <v>47.212000000000003</v>
      </c>
      <c r="U126" s="16">
        <v>72.536105000000006</v>
      </c>
      <c r="V126" s="16">
        <v>101.874</v>
      </c>
    </row>
    <row r="127" spans="1:22" x14ac:dyDescent="0.3">
      <c r="A127" s="22">
        <v>42339</v>
      </c>
      <c r="B127" s="16">
        <v>66.547421</v>
      </c>
      <c r="C127" s="16">
        <v>6.4920999999999998</v>
      </c>
      <c r="D127" s="21">
        <v>22468</v>
      </c>
      <c r="E127" s="16">
        <v>77.97</v>
      </c>
      <c r="F127" s="16">
        <v>7.7504999999999997</v>
      </c>
      <c r="G127" s="16">
        <v>2.9272010000000002</v>
      </c>
      <c r="H127" s="16">
        <v>140.94999999999999</v>
      </c>
      <c r="I127" s="8">
        <v>1.4005000000000001</v>
      </c>
      <c r="J127" s="16">
        <v>4.2919999999999998</v>
      </c>
      <c r="K127" s="10">
        <v>3.6724000000000001</v>
      </c>
      <c r="L127" s="11">
        <v>13675</v>
      </c>
      <c r="M127" s="13">
        <v>120.61</v>
      </c>
      <c r="N127" s="10">
        <v>34.341951999999999</v>
      </c>
      <c r="O127" s="10">
        <v>35.32</v>
      </c>
      <c r="P127" s="10">
        <v>31.641999999999999</v>
      </c>
      <c r="Q127" s="11">
        <v>24812</v>
      </c>
      <c r="R127" s="16">
        <v>0.64</v>
      </c>
      <c r="S127" s="16">
        <v>0.90949199999999997</v>
      </c>
      <c r="T127" s="16">
        <v>46.716999999999999</v>
      </c>
      <c r="U127" s="16">
        <v>69.996026000000001</v>
      </c>
      <c r="V127" s="16">
        <v>99.945999999999998</v>
      </c>
    </row>
    <row r="128" spans="1:22" x14ac:dyDescent="0.3">
      <c r="A128" s="22">
        <v>42309</v>
      </c>
      <c r="B128" s="16">
        <v>66.173863999999995</v>
      </c>
      <c r="C128" s="16">
        <v>6.3981000000000003</v>
      </c>
      <c r="D128" s="21">
        <v>22309</v>
      </c>
      <c r="E128" s="16">
        <v>77.77</v>
      </c>
      <c r="F128" s="16">
        <v>7.7499000000000002</v>
      </c>
      <c r="G128" s="16">
        <v>3.0152570000000001</v>
      </c>
      <c r="H128" s="16">
        <v>140.88999999999999</v>
      </c>
      <c r="I128" s="8">
        <v>1.4219999999999999</v>
      </c>
      <c r="J128" s="16">
        <v>4.3940000000000001</v>
      </c>
      <c r="K128" s="10">
        <v>3.6728000000000001</v>
      </c>
      <c r="L128" s="11">
        <v>14645</v>
      </c>
      <c r="M128" s="13">
        <v>119.84</v>
      </c>
      <c r="N128" s="10">
        <v>33.726154999999999</v>
      </c>
      <c r="O128" s="10">
        <v>34.799999999999997</v>
      </c>
      <c r="P128" s="10">
        <v>30.866</v>
      </c>
      <c r="Q128" s="11">
        <v>24787</v>
      </c>
      <c r="R128" s="16">
        <v>0.63639999999999997</v>
      </c>
      <c r="S128" s="16">
        <v>0.89187000000000005</v>
      </c>
      <c r="T128" s="16">
        <v>48.993000000000002</v>
      </c>
      <c r="U128" s="16">
        <v>71.587267999999995</v>
      </c>
      <c r="V128" s="16">
        <v>99.873999999999995</v>
      </c>
    </row>
    <row r="129" spans="1:22" x14ac:dyDescent="0.3">
      <c r="A129" s="22">
        <v>42278</v>
      </c>
      <c r="B129" s="16">
        <v>65.075531999999995</v>
      </c>
      <c r="C129" s="16">
        <v>6.3179999999999996</v>
      </c>
      <c r="D129" s="21">
        <v>22471</v>
      </c>
      <c r="E129" s="16">
        <v>77.75</v>
      </c>
      <c r="F129" s="16">
        <v>7.7495000000000003</v>
      </c>
      <c r="G129" s="16">
        <v>2.856325</v>
      </c>
      <c r="H129" s="16">
        <v>134.5</v>
      </c>
      <c r="I129" s="8">
        <v>1.411</v>
      </c>
      <c r="J129" s="16">
        <v>4.1920000000000002</v>
      </c>
      <c r="K129" s="10">
        <v>3.673</v>
      </c>
      <c r="L129" s="11">
        <v>14045</v>
      </c>
      <c r="M129" s="13">
        <v>121.22</v>
      </c>
      <c r="N129" s="10">
        <v>33.552596999999999</v>
      </c>
      <c r="O129" s="10">
        <v>35.200000000000003</v>
      </c>
      <c r="P129" s="10">
        <v>30.818000000000001</v>
      </c>
      <c r="Q129" s="11">
        <v>24790</v>
      </c>
      <c r="R129" s="16">
        <v>0.65390000000000004</v>
      </c>
      <c r="S129" s="16">
        <v>0.89706799999999998</v>
      </c>
      <c r="T129" s="16">
        <v>48.667000000000002</v>
      </c>
      <c r="U129" s="16">
        <v>71.115300000000005</v>
      </c>
      <c r="V129" s="16">
        <v>97.435000000000002</v>
      </c>
    </row>
    <row r="130" spans="1:22" x14ac:dyDescent="0.3">
      <c r="A130" s="22">
        <v>42248</v>
      </c>
      <c r="B130" s="16">
        <v>66.213695999999999</v>
      </c>
      <c r="C130" s="16">
        <v>6.3555999999999999</v>
      </c>
      <c r="D130" s="21">
        <v>22480</v>
      </c>
      <c r="E130" s="16">
        <v>77.75</v>
      </c>
      <c r="F130" s="16">
        <v>7.7527999999999997</v>
      </c>
      <c r="G130" s="16">
        <v>2.7015090000000002</v>
      </c>
      <c r="H130" s="16">
        <v>133.66</v>
      </c>
      <c r="I130" s="8">
        <v>1.3715999999999999</v>
      </c>
      <c r="J130" s="16">
        <v>3.8155999999999999</v>
      </c>
      <c r="K130" s="10">
        <v>3.6726999999999999</v>
      </c>
      <c r="L130" s="11">
        <v>13525</v>
      </c>
      <c r="M130" s="13">
        <v>123.92</v>
      </c>
      <c r="N130" s="10">
        <v>32.535328</v>
      </c>
      <c r="O130" s="10">
        <v>34.35</v>
      </c>
      <c r="P130" s="10">
        <v>30.61</v>
      </c>
      <c r="Q130" s="11">
        <v>12278.5</v>
      </c>
      <c r="R130" s="16">
        <v>0.65129999999999999</v>
      </c>
      <c r="S130" s="16">
        <v>0.92789299999999997</v>
      </c>
      <c r="T130" s="16">
        <v>50.198999999999998</v>
      </c>
      <c r="U130" s="16">
        <v>67.643190000000004</v>
      </c>
      <c r="V130" s="16">
        <v>97.495999999999995</v>
      </c>
    </row>
    <row r="131" spans="1:22" x14ac:dyDescent="0.3">
      <c r="A131" s="22">
        <v>42217</v>
      </c>
      <c r="B131" s="16">
        <v>65.104408000000006</v>
      </c>
      <c r="C131" s="16">
        <v>6.3760000000000003</v>
      </c>
      <c r="D131" s="21">
        <v>21813</v>
      </c>
      <c r="E131" s="16">
        <v>77.75</v>
      </c>
      <c r="F131" s="16">
        <v>7.7508999999999997</v>
      </c>
      <c r="G131" s="16">
        <v>2.7020209999999998</v>
      </c>
      <c r="H131" s="16">
        <v>133.80000000000001</v>
      </c>
      <c r="I131" s="8">
        <v>1.3471</v>
      </c>
      <c r="J131" s="16">
        <v>3.7719999999999998</v>
      </c>
      <c r="K131" s="10">
        <v>3.6728000000000001</v>
      </c>
      <c r="L131" s="11">
        <v>13330</v>
      </c>
      <c r="M131" s="13">
        <v>122.49</v>
      </c>
      <c r="N131" s="10">
        <v>32.625487</v>
      </c>
      <c r="O131" s="10">
        <v>36.4</v>
      </c>
      <c r="P131" s="10">
        <v>31.242999999999999</v>
      </c>
      <c r="Q131" s="11">
        <v>12260</v>
      </c>
      <c r="R131" s="16">
        <v>0.67479999999999996</v>
      </c>
      <c r="S131" s="16">
        <v>0.92302200000000001</v>
      </c>
      <c r="T131" s="16">
        <v>47.365000000000002</v>
      </c>
      <c r="U131" s="16">
        <v>67.738722999999993</v>
      </c>
      <c r="V131" s="16">
        <v>92.275999999999996</v>
      </c>
    </row>
    <row r="132" spans="1:22" x14ac:dyDescent="0.3">
      <c r="A132" s="22">
        <v>42186</v>
      </c>
      <c r="B132" s="16">
        <v>63.657459000000003</v>
      </c>
      <c r="C132" s="16">
        <v>6.2096999999999998</v>
      </c>
      <c r="D132" s="21">
        <v>21802</v>
      </c>
      <c r="E132" s="16">
        <v>77.73</v>
      </c>
      <c r="F132" s="16">
        <v>7.7529000000000003</v>
      </c>
      <c r="G132" s="16">
        <v>2.6451009999999999</v>
      </c>
      <c r="H132" s="16">
        <v>133.9</v>
      </c>
      <c r="I132" s="8">
        <v>1.3474999999999999</v>
      </c>
      <c r="J132" s="16">
        <v>3.6640000000000001</v>
      </c>
      <c r="K132" s="10">
        <v>3.6726999999999999</v>
      </c>
      <c r="L132" s="11">
        <v>13223</v>
      </c>
      <c r="M132" s="13">
        <v>124.11</v>
      </c>
      <c r="N132" s="10">
        <v>32.567219999999999</v>
      </c>
      <c r="O132" s="10">
        <v>33.49</v>
      </c>
      <c r="P132" s="10">
        <v>31.422000000000001</v>
      </c>
      <c r="Q132" s="11">
        <v>12260</v>
      </c>
      <c r="R132" s="16">
        <v>0.64780000000000004</v>
      </c>
      <c r="S132" s="16">
        <v>0.88110599999999994</v>
      </c>
      <c r="T132" s="16">
        <v>48.142000000000003</v>
      </c>
      <c r="U132" s="16">
        <v>70.435630000000003</v>
      </c>
      <c r="V132" s="16">
        <v>95.137</v>
      </c>
    </row>
    <row r="133" spans="1:22" x14ac:dyDescent="0.3">
      <c r="A133" s="22">
        <v>42156</v>
      </c>
      <c r="B133" s="16">
        <v>63.841814999999997</v>
      </c>
      <c r="C133" s="16">
        <v>6.2</v>
      </c>
      <c r="D133" s="21">
        <v>21785</v>
      </c>
      <c r="E133" s="16">
        <v>77.75</v>
      </c>
      <c r="F133" s="16">
        <v>7.75</v>
      </c>
      <c r="G133" s="16">
        <v>2.6666159999999999</v>
      </c>
      <c r="H133" s="16">
        <v>133.1</v>
      </c>
      <c r="I133" s="8">
        <v>1.323</v>
      </c>
      <c r="J133" s="16">
        <v>3.56</v>
      </c>
      <c r="K133" s="10">
        <v>3.673</v>
      </c>
      <c r="L133" s="11">
        <v>12960</v>
      </c>
      <c r="M133" s="13">
        <v>119.34</v>
      </c>
      <c r="N133" s="10">
        <v>32.744084000000001</v>
      </c>
      <c r="O133" s="10">
        <v>32.549999999999997</v>
      </c>
      <c r="P133" s="10">
        <v>31.73</v>
      </c>
      <c r="Q133" s="11">
        <v>12260</v>
      </c>
      <c r="R133" s="16">
        <v>0.66349999999999998</v>
      </c>
      <c r="S133" s="16">
        <v>0.86086499999999999</v>
      </c>
      <c r="T133" s="16">
        <v>48.156999999999996</v>
      </c>
      <c r="U133" s="16">
        <v>72.214085999999995</v>
      </c>
      <c r="V133" s="16">
        <v>93.424000000000007</v>
      </c>
    </row>
    <row r="134" spans="1:22" x14ac:dyDescent="0.3">
      <c r="A134" s="22">
        <v>42125</v>
      </c>
      <c r="B134" s="16">
        <v>63.783290000000001</v>
      </c>
      <c r="C134" s="16">
        <v>6.1980000000000004</v>
      </c>
      <c r="D134" s="21">
        <v>21550</v>
      </c>
      <c r="E134" s="16">
        <v>77.8</v>
      </c>
      <c r="F134" s="16">
        <v>7.7523</v>
      </c>
      <c r="G134" s="16">
        <v>2.5911580000000001</v>
      </c>
      <c r="H134" s="16">
        <v>132.94999999999999</v>
      </c>
      <c r="I134" s="8">
        <v>1.3715999999999999</v>
      </c>
      <c r="J134" s="16">
        <v>3.702</v>
      </c>
      <c r="K134" s="10">
        <v>3.6728999999999998</v>
      </c>
      <c r="L134" s="11">
        <v>13070</v>
      </c>
      <c r="M134" s="13">
        <v>120.12</v>
      </c>
      <c r="N134" s="10">
        <v>32.895040000000002</v>
      </c>
      <c r="O134" s="10">
        <v>31.43</v>
      </c>
      <c r="P134" s="10">
        <v>31.62</v>
      </c>
      <c r="Q134" s="11">
        <v>12278.5</v>
      </c>
      <c r="R134" s="16">
        <v>0.64200000000000002</v>
      </c>
      <c r="S134" s="16">
        <v>0.81100499999999998</v>
      </c>
      <c r="T134" s="16">
        <v>51.482999999999997</v>
      </c>
      <c r="U134" s="16">
        <v>77.378095000000002</v>
      </c>
      <c r="V134" s="16">
        <v>98.156999999999996</v>
      </c>
    </row>
    <row r="135" spans="1:22" x14ac:dyDescent="0.3">
      <c r="A135" s="22">
        <v>42095</v>
      </c>
      <c r="B135" s="16">
        <v>62.749088</v>
      </c>
      <c r="C135" s="16">
        <v>6.2018000000000004</v>
      </c>
      <c r="D135" s="21">
        <v>21520</v>
      </c>
      <c r="E135" s="16">
        <v>77.8</v>
      </c>
      <c r="F135" s="16">
        <v>7.7557</v>
      </c>
      <c r="G135" s="16">
        <v>2.4634</v>
      </c>
      <c r="H135" s="16">
        <v>133</v>
      </c>
      <c r="I135" s="8">
        <v>1.3627</v>
      </c>
      <c r="J135" s="16">
        <v>3.61</v>
      </c>
      <c r="K135" s="10">
        <v>3.673</v>
      </c>
      <c r="L135" s="11">
        <v>12920</v>
      </c>
      <c r="M135" s="13">
        <v>119.51</v>
      </c>
      <c r="N135" s="10">
        <v>32.799419</v>
      </c>
      <c r="O135" s="10">
        <v>31.495000000000001</v>
      </c>
      <c r="P135" s="10">
        <v>30.986000000000001</v>
      </c>
      <c r="Q135" s="11">
        <v>12278.5</v>
      </c>
      <c r="R135" s="16">
        <v>0.63890000000000002</v>
      </c>
      <c r="S135" s="16">
        <v>0.80179199999999995</v>
      </c>
      <c r="T135" s="16">
        <v>52.921999999999997</v>
      </c>
      <c r="U135" s="16">
        <v>76.956609999999998</v>
      </c>
      <c r="V135" s="16">
        <v>97.31</v>
      </c>
    </row>
    <row r="136" spans="1:22" x14ac:dyDescent="0.3">
      <c r="A136" s="22">
        <v>42064</v>
      </c>
      <c r="B136" s="16">
        <v>62.507221999999999</v>
      </c>
      <c r="C136" s="16">
        <v>6.1989999999999998</v>
      </c>
      <c r="D136" s="21">
        <v>21320</v>
      </c>
      <c r="E136" s="16">
        <v>77.8</v>
      </c>
      <c r="F136" s="16">
        <v>7.7516999999999996</v>
      </c>
      <c r="G136" s="16">
        <v>2.3369949999999999</v>
      </c>
      <c r="H136" s="16">
        <v>132.15</v>
      </c>
      <c r="I136" s="8">
        <v>1.353</v>
      </c>
      <c r="J136" s="16">
        <v>3.629</v>
      </c>
      <c r="K136" s="10">
        <v>3.6728999999999998</v>
      </c>
      <c r="L136" s="11">
        <v>12665</v>
      </c>
      <c r="M136" s="13">
        <v>117.44</v>
      </c>
      <c r="N136" s="10">
        <v>32.462761999999998</v>
      </c>
      <c r="O136" s="10">
        <v>31.33</v>
      </c>
      <c r="P136" s="10">
        <v>30.43</v>
      </c>
      <c r="Q136" s="11">
        <v>12275</v>
      </c>
      <c r="R136" s="16">
        <v>0.625</v>
      </c>
      <c r="S136" s="16">
        <v>0.78912099999999996</v>
      </c>
      <c r="T136" s="16">
        <v>53.985999999999997</v>
      </c>
      <c r="U136" s="16">
        <v>77.789582999999993</v>
      </c>
      <c r="V136" s="16">
        <v>98.192999999999998</v>
      </c>
    </row>
    <row r="137" spans="1:22" x14ac:dyDescent="0.3">
      <c r="A137" s="22">
        <v>42036</v>
      </c>
      <c r="B137" s="16">
        <v>62.060003000000002</v>
      </c>
      <c r="C137" s="16">
        <v>6.2694999999999999</v>
      </c>
      <c r="D137" s="21">
        <v>21267</v>
      </c>
      <c r="E137" s="16">
        <v>77.349999999999994</v>
      </c>
      <c r="F137" s="16">
        <v>7.7538</v>
      </c>
      <c r="G137" s="16">
        <v>2.2953610000000002</v>
      </c>
      <c r="H137" s="16">
        <v>131.15</v>
      </c>
      <c r="I137" s="8">
        <v>1.3253999999999999</v>
      </c>
      <c r="J137" s="16">
        <v>3.4950000000000001</v>
      </c>
      <c r="K137" s="10">
        <v>3.6726000000000001</v>
      </c>
      <c r="L137" s="11">
        <v>12380</v>
      </c>
      <c r="M137" s="13">
        <v>119.68</v>
      </c>
      <c r="N137" s="10">
        <v>32.196199</v>
      </c>
      <c r="O137" s="10">
        <v>31.27</v>
      </c>
      <c r="P137" s="10">
        <v>30.425999999999998</v>
      </c>
      <c r="Q137" s="11">
        <v>12305</v>
      </c>
      <c r="R137" s="16">
        <v>0.61670000000000003</v>
      </c>
      <c r="S137" s="16">
        <v>0.77519800000000005</v>
      </c>
      <c r="T137" s="16">
        <v>54.152999999999999</v>
      </c>
      <c r="U137" s="16">
        <v>78.567559000000003</v>
      </c>
      <c r="V137" s="16">
        <v>100.393</v>
      </c>
    </row>
    <row r="138" spans="1:22" x14ac:dyDescent="0.3">
      <c r="A138" s="22">
        <v>42005</v>
      </c>
      <c r="B138" s="16">
        <v>62.127985000000002</v>
      </c>
      <c r="C138" s="16">
        <v>6.2495000000000003</v>
      </c>
      <c r="D138" s="21">
        <v>21370</v>
      </c>
      <c r="E138" s="16">
        <v>77.8</v>
      </c>
      <c r="F138" s="16">
        <v>7.7545000000000002</v>
      </c>
      <c r="G138" s="16">
        <v>2.2357659999999999</v>
      </c>
      <c r="H138" s="16">
        <v>131</v>
      </c>
      <c r="I138" s="8">
        <v>1.3041</v>
      </c>
      <c r="J138" s="16">
        <v>3.3809999999999998</v>
      </c>
      <c r="K138" s="10">
        <v>3.6728999999999998</v>
      </c>
      <c r="L138" s="11">
        <v>12199</v>
      </c>
      <c r="M138" s="13">
        <v>118.61</v>
      </c>
      <c r="N138" s="10">
        <v>32.024104000000001</v>
      </c>
      <c r="O138" s="10">
        <v>30.85</v>
      </c>
      <c r="P138" s="10">
        <v>29.864999999999998</v>
      </c>
      <c r="Q138" s="11">
        <v>12350</v>
      </c>
      <c r="R138" s="16">
        <v>0.60240000000000005</v>
      </c>
      <c r="S138" s="16">
        <v>0.751</v>
      </c>
      <c r="T138" s="16">
        <v>56.469000000000001</v>
      </c>
      <c r="U138" s="16">
        <v>81.070932999999997</v>
      </c>
      <c r="V138" s="16">
        <v>100.42</v>
      </c>
    </row>
    <row r="139" spans="1:22" x14ac:dyDescent="0.3">
      <c r="A139" s="22">
        <v>41974</v>
      </c>
      <c r="B139" s="16">
        <v>62.750776999999999</v>
      </c>
      <c r="C139" s="16">
        <v>6.2046000000000001</v>
      </c>
      <c r="D139" s="21">
        <v>21300</v>
      </c>
      <c r="E139" s="16">
        <v>77.180000000000007</v>
      </c>
      <c r="F139" s="16">
        <v>7.7544000000000004</v>
      </c>
      <c r="G139" s="16">
        <v>2.255061</v>
      </c>
      <c r="H139" s="16">
        <v>130.75</v>
      </c>
      <c r="I139" s="8">
        <v>1.2863</v>
      </c>
      <c r="J139" s="16">
        <v>3.2894999999999999</v>
      </c>
      <c r="K139" s="10">
        <v>3.673</v>
      </c>
      <c r="L139" s="11">
        <v>12080</v>
      </c>
      <c r="M139" s="13">
        <v>112.3</v>
      </c>
      <c r="N139" s="10">
        <v>32.105960000000003</v>
      </c>
      <c r="O139" s="10">
        <v>30.3</v>
      </c>
      <c r="P139" s="10">
        <v>30.059000000000001</v>
      </c>
      <c r="Q139" s="11">
        <v>12282.5</v>
      </c>
      <c r="R139" s="16">
        <v>0.59209999999999996</v>
      </c>
      <c r="S139" s="16">
        <v>0.73862799999999995</v>
      </c>
      <c r="T139" s="16">
        <v>56.280999999999999</v>
      </c>
      <c r="U139" s="16">
        <v>81.305803999999995</v>
      </c>
      <c r="V139" s="16">
        <v>102.233</v>
      </c>
    </row>
    <row r="140" spans="1:22" x14ac:dyDescent="0.3">
      <c r="A140" s="22">
        <v>41944</v>
      </c>
      <c r="B140" s="16">
        <v>61.702491999999999</v>
      </c>
      <c r="C140" s="16">
        <v>6.1429</v>
      </c>
      <c r="D140" s="21">
        <v>21255</v>
      </c>
      <c r="E140" s="16">
        <v>77.3</v>
      </c>
      <c r="F140" s="16">
        <v>7.7649999999999997</v>
      </c>
      <c r="G140" s="16">
        <v>2.2128040000000002</v>
      </c>
      <c r="H140" s="16">
        <v>130.26</v>
      </c>
      <c r="I140" s="8">
        <v>1.2756000000000001</v>
      </c>
      <c r="J140" s="16">
        <v>3.2789999999999999</v>
      </c>
      <c r="K140" s="10">
        <v>3.6726999999999999</v>
      </c>
      <c r="L140" s="11">
        <v>12180</v>
      </c>
      <c r="M140" s="13">
        <v>109.64</v>
      </c>
      <c r="N140" s="10">
        <v>32.514077999999998</v>
      </c>
      <c r="O140" s="10">
        <v>30.23</v>
      </c>
      <c r="P140" s="10">
        <v>29.864999999999998</v>
      </c>
      <c r="Q140" s="11">
        <v>12259.5</v>
      </c>
      <c r="R140" s="16">
        <v>0.58450000000000002</v>
      </c>
      <c r="S140" s="16">
        <v>0.73571200000000003</v>
      </c>
      <c r="T140" s="16">
        <v>56.622</v>
      </c>
      <c r="U140" s="16">
        <v>81.204594999999998</v>
      </c>
      <c r="V140" s="16">
        <v>102.69499999999999</v>
      </c>
    </row>
    <row r="141" spans="1:22" x14ac:dyDescent="0.3">
      <c r="A141" s="22">
        <v>41913</v>
      </c>
      <c r="B141" s="16">
        <v>61.383819000000003</v>
      </c>
      <c r="C141" s="16">
        <v>6.1124000000000001</v>
      </c>
      <c r="D141" s="21">
        <v>21190</v>
      </c>
      <c r="E141" s="16">
        <v>77.319999999999993</v>
      </c>
      <c r="F141" s="16">
        <v>7.75</v>
      </c>
      <c r="G141" s="16">
        <v>2.1616330000000001</v>
      </c>
      <c r="H141" s="16">
        <v>130.21</v>
      </c>
      <c r="I141" s="8">
        <v>1.2483</v>
      </c>
      <c r="J141" s="16">
        <v>3.15</v>
      </c>
      <c r="K141" s="10">
        <v>3.6724999999999999</v>
      </c>
      <c r="L141" s="11">
        <v>11685</v>
      </c>
      <c r="M141" s="13">
        <v>104.05</v>
      </c>
      <c r="N141" s="10">
        <v>32.542214999999999</v>
      </c>
      <c r="O141" s="10">
        <v>30.215</v>
      </c>
      <c r="P141" s="10">
        <v>29.99</v>
      </c>
      <c r="Q141" s="11">
        <v>12259.5</v>
      </c>
      <c r="R141" s="16">
        <v>0.59689999999999999</v>
      </c>
      <c r="S141" s="16">
        <v>0.728267</v>
      </c>
      <c r="T141" s="16">
        <v>55.091000000000001</v>
      </c>
      <c r="U141" s="16">
        <v>81.431770999999998</v>
      </c>
      <c r="V141" s="16">
        <v>99.126999999999995</v>
      </c>
    </row>
    <row r="142" spans="1:22" x14ac:dyDescent="0.3">
      <c r="A142" s="22">
        <v>41883</v>
      </c>
      <c r="B142" s="16">
        <v>60.902123000000003</v>
      </c>
      <c r="C142" s="16">
        <v>6.1379999999999999</v>
      </c>
      <c r="D142" s="21">
        <v>21170</v>
      </c>
      <c r="E142" s="16">
        <v>77.02</v>
      </c>
      <c r="F142" s="16">
        <v>7.7497999999999996</v>
      </c>
      <c r="G142" s="16">
        <v>2.1196899999999999</v>
      </c>
      <c r="H142" s="16">
        <v>130.19999999999999</v>
      </c>
      <c r="I142" s="8">
        <v>1.2477</v>
      </c>
      <c r="J142" s="16">
        <v>3.1960000000000002</v>
      </c>
      <c r="K142" s="10">
        <v>3.6728999999999998</v>
      </c>
      <c r="L142" s="11">
        <v>11575</v>
      </c>
      <c r="M142" s="13">
        <v>102.79</v>
      </c>
      <c r="N142" s="10">
        <v>32.330879000000003</v>
      </c>
      <c r="O142" s="10">
        <v>30.03</v>
      </c>
      <c r="P142" s="10">
        <v>30.15</v>
      </c>
      <c r="Q142" s="11">
        <v>12283.5</v>
      </c>
      <c r="R142" s="16">
        <v>0.59260000000000002</v>
      </c>
      <c r="S142" s="16">
        <v>0.72398899999999999</v>
      </c>
      <c r="T142" s="16">
        <v>56.014000000000003</v>
      </c>
      <c r="U142" s="16">
        <v>83.362354999999994</v>
      </c>
      <c r="V142" s="16">
        <v>101.794</v>
      </c>
    </row>
    <row r="143" spans="1:22" x14ac:dyDescent="0.3">
      <c r="A143" s="22">
        <v>41852</v>
      </c>
      <c r="B143" s="16">
        <v>60.880533999999997</v>
      </c>
      <c r="C143" s="16">
        <v>6.1429999999999998</v>
      </c>
      <c r="D143" s="21">
        <v>21200</v>
      </c>
      <c r="E143" s="16">
        <v>77.319999999999993</v>
      </c>
      <c r="F143" s="16">
        <v>7.7503000000000002</v>
      </c>
      <c r="G143" s="16">
        <v>2.1194250000000001</v>
      </c>
      <c r="H143" s="16">
        <v>130.30000000000001</v>
      </c>
      <c r="I143" s="8">
        <v>1.2462</v>
      </c>
      <c r="J143" s="16">
        <v>3.2094999999999998</v>
      </c>
      <c r="K143" s="10">
        <v>3.6728999999999998</v>
      </c>
      <c r="L143" s="11">
        <v>11845</v>
      </c>
      <c r="M143" s="13">
        <v>101.3</v>
      </c>
      <c r="N143" s="10">
        <v>32.385730000000002</v>
      </c>
      <c r="O143" s="10">
        <v>30.1</v>
      </c>
      <c r="P143" s="10">
        <v>30.445</v>
      </c>
      <c r="Q143" s="11">
        <v>12290</v>
      </c>
      <c r="R143" s="16">
        <v>0.60009999999999997</v>
      </c>
      <c r="S143" s="16">
        <v>0.72347399999999995</v>
      </c>
      <c r="T143" s="16">
        <v>55.576999999999998</v>
      </c>
      <c r="U143" s="16">
        <v>84.299014</v>
      </c>
      <c r="V143" s="16">
        <v>99.98</v>
      </c>
    </row>
    <row r="144" spans="1:22" x14ac:dyDescent="0.3">
      <c r="A144" s="22">
        <v>41821</v>
      </c>
      <c r="B144" s="16">
        <v>60.053117999999998</v>
      </c>
      <c r="C144" s="16">
        <v>6.1737000000000002</v>
      </c>
      <c r="D144" s="21">
        <v>21300</v>
      </c>
      <c r="E144" s="16">
        <v>77.52</v>
      </c>
      <c r="F144" s="16">
        <v>7.7526000000000002</v>
      </c>
      <c r="G144" s="16">
        <v>2.092635</v>
      </c>
      <c r="H144" s="16">
        <v>130.35</v>
      </c>
      <c r="I144" s="8">
        <v>1.2534000000000001</v>
      </c>
      <c r="J144" s="16">
        <v>3.2149999999999999</v>
      </c>
      <c r="K144" s="10">
        <v>3.6728000000000001</v>
      </c>
      <c r="L144" s="11">
        <v>11670</v>
      </c>
      <c r="M144" s="13">
        <v>101.78</v>
      </c>
      <c r="N144" s="10">
        <v>32.630768000000003</v>
      </c>
      <c r="O144" s="10">
        <v>30.1</v>
      </c>
      <c r="P144" s="10">
        <v>30.303999999999998</v>
      </c>
      <c r="Q144" s="11">
        <v>12290</v>
      </c>
      <c r="R144" s="16">
        <v>0.59709999999999996</v>
      </c>
      <c r="S144" s="16">
        <v>0.73217699999999997</v>
      </c>
      <c r="T144" s="16">
        <v>55.154000000000003</v>
      </c>
      <c r="U144" s="16">
        <v>84.950329999999994</v>
      </c>
      <c r="V144" s="16">
        <v>103.455</v>
      </c>
    </row>
    <row r="145" spans="1:22" x14ac:dyDescent="0.3">
      <c r="A145" s="22">
        <v>41791</v>
      </c>
      <c r="B145" s="16">
        <v>59.742615999999998</v>
      </c>
      <c r="C145" s="16">
        <v>6.2035999999999998</v>
      </c>
      <c r="D145" s="21">
        <v>21135</v>
      </c>
      <c r="E145" s="16">
        <v>77.36</v>
      </c>
      <c r="F145" s="16">
        <v>7.7525000000000004</v>
      </c>
      <c r="G145" s="16">
        <v>2.1279919999999999</v>
      </c>
      <c r="H145" s="16">
        <v>130.63</v>
      </c>
      <c r="I145" s="8">
        <v>1.2535000000000001</v>
      </c>
      <c r="J145" s="16">
        <v>3.2610000000000001</v>
      </c>
      <c r="K145" s="10">
        <v>3.6728000000000001</v>
      </c>
      <c r="L145" s="11">
        <v>11558</v>
      </c>
      <c r="M145" s="13">
        <v>102.24</v>
      </c>
      <c r="N145" s="10">
        <v>32.932592999999997</v>
      </c>
      <c r="O145" s="10">
        <v>30.14</v>
      </c>
      <c r="P145" s="10">
        <v>30.32</v>
      </c>
      <c r="Q145" s="11">
        <v>12256.5</v>
      </c>
      <c r="R145" s="16">
        <v>0.60829999999999995</v>
      </c>
      <c r="S145" s="16">
        <v>0.73474899999999999</v>
      </c>
      <c r="T145" s="16">
        <v>54.863999999999997</v>
      </c>
      <c r="U145" s="16">
        <v>84.509945000000002</v>
      </c>
      <c r="V145" s="16">
        <v>102.996</v>
      </c>
    </row>
    <row r="146" spans="1:22" x14ac:dyDescent="0.3">
      <c r="A146" s="22">
        <v>41760</v>
      </c>
      <c r="B146" s="16">
        <v>59.296067999999998</v>
      </c>
      <c r="C146" s="16">
        <v>6.2470999999999997</v>
      </c>
      <c r="D146" s="21">
        <v>21060</v>
      </c>
      <c r="E146" s="16">
        <v>77.53</v>
      </c>
      <c r="F146" s="16">
        <v>7.7565</v>
      </c>
      <c r="G146" s="16">
        <v>2.2158820000000001</v>
      </c>
      <c r="H146" s="16">
        <v>130.65</v>
      </c>
      <c r="I146" s="8">
        <v>1.2573000000000001</v>
      </c>
      <c r="J146" s="16">
        <v>3.2629999999999999</v>
      </c>
      <c r="K146" s="10">
        <v>3.6728999999999998</v>
      </c>
      <c r="L146" s="11">
        <v>11355</v>
      </c>
      <c r="M146" s="13">
        <v>103.19</v>
      </c>
      <c r="N146" s="10">
        <v>32.343634999999999</v>
      </c>
      <c r="O146" s="10">
        <v>30.254999999999999</v>
      </c>
      <c r="P146" s="10">
        <v>29.815000000000001</v>
      </c>
      <c r="Q146" s="11">
        <v>12280</v>
      </c>
      <c r="R146" s="16">
        <v>0.60389999999999999</v>
      </c>
      <c r="S146" s="16">
        <v>0.72975900000000005</v>
      </c>
      <c r="T146" s="16">
        <v>55.082000000000001</v>
      </c>
      <c r="U146" s="16">
        <v>84.763144999999994</v>
      </c>
      <c r="V146" s="16">
        <v>102.316</v>
      </c>
    </row>
    <row r="147" spans="1:22" x14ac:dyDescent="0.3">
      <c r="A147" s="22">
        <v>41730</v>
      </c>
      <c r="B147" s="16">
        <v>60.352524000000003</v>
      </c>
      <c r="C147" s="16">
        <v>6.2591000000000001</v>
      </c>
      <c r="D147" s="21">
        <v>21075</v>
      </c>
      <c r="E147" s="16">
        <v>77.540000000000006</v>
      </c>
      <c r="F147" s="16">
        <v>7.7601000000000004</v>
      </c>
      <c r="G147" s="16">
        <v>2.2099880000000001</v>
      </c>
      <c r="H147" s="16">
        <v>130.69999999999999</v>
      </c>
      <c r="I147" s="8">
        <v>1.2672000000000001</v>
      </c>
      <c r="J147" s="16">
        <v>3.2759999999999998</v>
      </c>
      <c r="K147" s="10">
        <v>3.6728000000000001</v>
      </c>
      <c r="L147" s="11">
        <v>11604</v>
      </c>
      <c r="M147" s="13">
        <v>101.8</v>
      </c>
      <c r="N147" s="10">
        <v>31.642019000000001</v>
      </c>
      <c r="O147" s="10">
        <v>30.4</v>
      </c>
      <c r="P147" s="10">
        <v>29.593</v>
      </c>
      <c r="Q147" s="11">
        <v>11325</v>
      </c>
      <c r="R147" s="16">
        <v>0.6109</v>
      </c>
      <c r="S147" s="16">
        <v>0.741147</v>
      </c>
      <c r="T147" s="16">
        <v>56.835999999999999</v>
      </c>
      <c r="U147" s="16">
        <v>84.498975999999999</v>
      </c>
      <c r="V147" s="16">
        <v>102.1</v>
      </c>
    </row>
    <row r="148" spans="1:22" x14ac:dyDescent="0.3">
      <c r="A148" s="22">
        <v>41699</v>
      </c>
      <c r="B148" s="16">
        <v>60.986502999999999</v>
      </c>
      <c r="C148" s="16">
        <v>6.2164000000000001</v>
      </c>
      <c r="D148" s="21">
        <v>21080</v>
      </c>
      <c r="E148" s="16">
        <v>77.37</v>
      </c>
      <c r="F148" s="16">
        <v>7.7632000000000003</v>
      </c>
      <c r="G148" s="16">
        <v>2.226054</v>
      </c>
      <c r="H148" s="16">
        <v>130.69999999999999</v>
      </c>
      <c r="I148" s="8">
        <v>1.2763</v>
      </c>
      <c r="J148" s="16">
        <v>3.3450000000000002</v>
      </c>
      <c r="K148" s="10">
        <v>3.6728000000000001</v>
      </c>
      <c r="L148" s="11">
        <v>12205</v>
      </c>
      <c r="M148" s="13">
        <v>102.03</v>
      </c>
      <c r="N148" s="10">
        <v>31.206377</v>
      </c>
      <c r="O148" s="10">
        <v>30.1</v>
      </c>
      <c r="P148" s="10">
        <v>29.42</v>
      </c>
      <c r="Q148" s="11">
        <v>11172.5</v>
      </c>
      <c r="R148" s="16">
        <v>0.62319999999999998</v>
      </c>
      <c r="S148" s="16">
        <v>0.73344600000000004</v>
      </c>
      <c r="T148" s="16">
        <v>58.274999999999999</v>
      </c>
      <c r="U148" s="16">
        <v>84.007086999999999</v>
      </c>
      <c r="V148" s="16">
        <v>98.828999999999994</v>
      </c>
    </row>
    <row r="149" spans="1:22" x14ac:dyDescent="0.3">
      <c r="A149" s="22">
        <v>41671</v>
      </c>
      <c r="B149" s="16">
        <v>62.197125999999997</v>
      </c>
      <c r="C149" s="16">
        <v>6.1448</v>
      </c>
      <c r="D149" s="21">
        <v>21035</v>
      </c>
      <c r="E149" s="16">
        <v>77.52</v>
      </c>
      <c r="F149" s="16">
        <v>7.7538</v>
      </c>
      <c r="G149" s="16">
        <v>2.0633460000000001</v>
      </c>
      <c r="H149" s="16">
        <v>130.75</v>
      </c>
      <c r="I149" s="8">
        <v>1.2629999999999999</v>
      </c>
      <c r="J149" s="16">
        <v>3.2770000000000001</v>
      </c>
      <c r="K149" s="10">
        <v>3.6728999999999998</v>
      </c>
      <c r="L149" s="11">
        <v>12160</v>
      </c>
      <c r="M149" s="13">
        <v>105.3</v>
      </c>
      <c r="N149" s="10">
        <v>31.704039000000002</v>
      </c>
      <c r="O149" s="10">
        <v>30.4</v>
      </c>
      <c r="P149" s="10">
        <v>29.558</v>
      </c>
      <c r="Q149" s="11">
        <v>10877.5</v>
      </c>
      <c r="R149" s="16">
        <v>0.61770000000000003</v>
      </c>
      <c r="S149" s="16">
        <v>0.74926499999999996</v>
      </c>
      <c r="T149" s="16">
        <v>58.27</v>
      </c>
      <c r="U149" s="16">
        <v>85.267762000000005</v>
      </c>
      <c r="V149" s="16">
        <v>101.271</v>
      </c>
    </row>
    <row r="150" spans="1:22" x14ac:dyDescent="0.3">
      <c r="A150" s="22">
        <v>41640</v>
      </c>
      <c r="B150" s="16">
        <v>62.092844999999997</v>
      </c>
      <c r="C150" s="16">
        <v>6.06</v>
      </c>
      <c r="D150" s="21">
        <v>21075</v>
      </c>
      <c r="E150" s="16">
        <v>77.16</v>
      </c>
      <c r="F150" s="16">
        <v>7.7525000000000004</v>
      </c>
      <c r="G150" s="16">
        <v>2.0245299999999999</v>
      </c>
      <c r="H150" s="16">
        <v>131.19999999999999</v>
      </c>
      <c r="I150" s="8">
        <v>1.2544999999999999</v>
      </c>
      <c r="J150" s="16">
        <v>3.2229999999999999</v>
      </c>
      <c r="K150" s="10">
        <v>3.6728000000000001</v>
      </c>
      <c r="L150" s="11">
        <v>11955</v>
      </c>
      <c r="M150" s="13">
        <v>102.41</v>
      </c>
      <c r="N150" s="10">
        <v>31.610194</v>
      </c>
      <c r="O150" s="10">
        <v>30.7</v>
      </c>
      <c r="P150" s="10">
        <v>29.9</v>
      </c>
      <c r="Q150" s="11">
        <v>10777</v>
      </c>
      <c r="R150" s="16">
        <v>0.64470000000000005</v>
      </c>
      <c r="S150" s="16">
        <v>0.751355</v>
      </c>
      <c r="T150" s="16">
        <v>58.447000000000003</v>
      </c>
      <c r="U150" s="16">
        <v>83.948044999999993</v>
      </c>
      <c r="V150" s="16">
        <v>101.88800000000001</v>
      </c>
    </row>
    <row r="151" spans="1:22" x14ac:dyDescent="0.3">
      <c r="A151" s="22">
        <v>41609</v>
      </c>
      <c r="B151" s="16">
        <v>61.855358000000003</v>
      </c>
      <c r="C151" s="16">
        <v>6.0537000000000001</v>
      </c>
      <c r="D151" s="21">
        <v>21090</v>
      </c>
      <c r="E151" s="16">
        <v>77.55</v>
      </c>
      <c r="F151" s="16">
        <v>7.7525000000000004</v>
      </c>
      <c r="G151" s="16">
        <v>1.9872399999999999</v>
      </c>
      <c r="H151" s="16">
        <v>130.85</v>
      </c>
      <c r="I151" s="8">
        <v>1.2414000000000001</v>
      </c>
      <c r="J151" s="16">
        <v>3.1549999999999998</v>
      </c>
      <c r="K151" s="10">
        <v>3.6728999999999998</v>
      </c>
      <c r="L151" s="11">
        <v>11265</v>
      </c>
      <c r="M151" s="13">
        <v>98.35</v>
      </c>
      <c r="N151" s="10">
        <v>31.126861999999999</v>
      </c>
      <c r="O151" s="10">
        <v>30.85</v>
      </c>
      <c r="P151" s="10">
        <v>29.984999999999999</v>
      </c>
      <c r="Q151" s="11">
        <v>10737.5</v>
      </c>
      <c r="R151" s="16">
        <v>0.65749999999999997</v>
      </c>
      <c r="S151" s="16">
        <v>0.76460899999999998</v>
      </c>
      <c r="T151" s="16">
        <v>54.634</v>
      </c>
      <c r="U151" s="16">
        <v>78.176174000000003</v>
      </c>
      <c r="V151" s="16">
        <v>92.513000000000005</v>
      </c>
    </row>
    <row r="152" spans="1:22" x14ac:dyDescent="0.3">
      <c r="A152" s="22">
        <v>41579</v>
      </c>
      <c r="B152" s="16">
        <v>62.626136000000002</v>
      </c>
      <c r="C152" s="16">
        <v>6.0922000000000001</v>
      </c>
      <c r="D152" s="21">
        <v>21080</v>
      </c>
      <c r="E152" s="16">
        <v>77.069999999999993</v>
      </c>
      <c r="F152" s="16">
        <v>7.7557999999999998</v>
      </c>
      <c r="G152" s="16">
        <v>2.019415</v>
      </c>
      <c r="H152" s="16">
        <v>131.9</v>
      </c>
      <c r="I152" s="8">
        <v>1.2552000000000001</v>
      </c>
      <c r="J152" s="16">
        <v>3.2559999999999998</v>
      </c>
      <c r="K152" s="10">
        <v>3.6728999999999998</v>
      </c>
      <c r="L152" s="11">
        <v>11570</v>
      </c>
      <c r="M152" s="13">
        <v>98.21</v>
      </c>
      <c r="N152" s="10">
        <v>30.832274000000002</v>
      </c>
      <c r="O152" s="10">
        <v>31.1</v>
      </c>
      <c r="P152" s="10">
        <v>29.937000000000001</v>
      </c>
      <c r="Q152" s="11">
        <v>10605</v>
      </c>
      <c r="R152" s="16">
        <v>0.6573</v>
      </c>
      <c r="S152" s="16">
        <v>0.75828600000000002</v>
      </c>
      <c r="T152" s="16">
        <v>54.38</v>
      </c>
      <c r="U152" s="16">
        <v>77.028400000000005</v>
      </c>
      <c r="V152" s="16">
        <v>90.54</v>
      </c>
    </row>
    <row r="153" spans="1:22" x14ac:dyDescent="0.3">
      <c r="A153" s="22">
        <v>41548</v>
      </c>
      <c r="B153" s="16">
        <v>61.612586999999998</v>
      </c>
      <c r="C153" s="16">
        <v>6.0942999999999996</v>
      </c>
      <c r="D153" s="21">
        <v>21112</v>
      </c>
      <c r="E153" s="16">
        <v>77.22</v>
      </c>
      <c r="F153" s="16">
        <v>7.7545000000000002</v>
      </c>
      <c r="G153" s="16">
        <v>1.9628589999999999</v>
      </c>
      <c r="H153" s="16">
        <v>132.80000000000001</v>
      </c>
      <c r="I153" s="8">
        <v>1.2743</v>
      </c>
      <c r="J153" s="16">
        <v>3.2850000000000001</v>
      </c>
      <c r="K153" s="10">
        <v>3.6728999999999998</v>
      </c>
      <c r="L153" s="11">
        <v>10910</v>
      </c>
      <c r="M153" s="13">
        <v>98.15</v>
      </c>
      <c r="N153" s="10">
        <v>29.786123</v>
      </c>
      <c r="O153" s="10">
        <v>31</v>
      </c>
      <c r="P153" s="10">
        <v>29.934999999999999</v>
      </c>
      <c r="Q153" s="11">
        <v>10549</v>
      </c>
      <c r="R153" s="16">
        <v>0.65790000000000004</v>
      </c>
      <c r="S153" s="16">
        <v>0.77034199999999997</v>
      </c>
      <c r="T153" s="16">
        <v>54.137</v>
      </c>
      <c r="U153" s="16">
        <v>71.475999999999999</v>
      </c>
      <c r="V153" s="16">
        <v>85.974999999999994</v>
      </c>
    </row>
    <row r="154" spans="1:22" x14ac:dyDescent="0.3">
      <c r="A154" s="22">
        <v>41518</v>
      </c>
      <c r="B154" s="16">
        <v>63.896438000000003</v>
      </c>
      <c r="C154" s="16">
        <v>6.12</v>
      </c>
      <c r="D154" s="21">
        <v>21120</v>
      </c>
      <c r="E154" s="16">
        <v>77.22</v>
      </c>
      <c r="F154" s="16">
        <v>7.7556000000000003</v>
      </c>
      <c r="G154" s="16">
        <v>1.9323399999999999</v>
      </c>
      <c r="H154" s="16">
        <v>131.65</v>
      </c>
      <c r="I154" s="8">
        <v>1.2703</v>
      </c>
      <c r="J154" s="16">
        <v>3.2450000000000001</v>
      </c>
      <c r="K154" s="10">
        <v>3.6728999999999998</v>
      </c>
      <c r="L154" s="11">
        <v>10270</v>
      </c>
      <c r="M154" s="13">
        <v>97.86</v>
      </c>
      <c r="N154" s="10">
        <v>29.063309</v>
      </c>
      <c r="O154" s="10">
        <v>31.05</v>
      </c>
      <c r="P154" s="10">
        <v>29.474</v>
      </c>
      <c r="Q154" s="11">
        <v>10668.5</v>
      </c>
      <c r="R154" s="16">
        <v>0.64370000000000005</v>
      </c>
      <c r="S154" s="16">
        <v>0.76773499999999995</v>
      </c>
      <c r="T154" s="16">
        <v>55.661000000000001</v>
      </c>
      <c r="U154" s="16">
        <v>70.773809999999997</v>
      </c>
      <c r="V154" s="16">
        <v>83.37</v>
      </c>
    </row>
    <row r="155" spans="1:22" x14ac:dyDescent="0.3">
      <c r="A155" s="22">
        <v>41487</v>
      </c>
      <c r="B155" s="16">
        <v>63.071268000000003</v>
      </c>
      <c r="C155" s="16">
        <v>6.1193</v>
      </c>
      <c r="D155" s="21">
        <v>21140</v>
      </c>
      <c r="E155" s="16">
        <v>77.7</v>
      </c>
      <c r="F155" s="16">
        <v>7.7561999999999998</v>
      </c>
      <c r="G155" s="16">
        <v>1.897845</v>
      </c>
      <c r="H155" s="16">
        <v>130.4</v>
      </c>
      <c r="I155" s="8">
        <v>1.2678</v>
      </c>
      <c r="J155" s="16">
        <v>3.1579999999999999</v>
      </c>
      <c r="K155" s="10">
        <v>3.6728999999999998</v>
      </c>
      <c r="L155" s="11">
        <v>9920</v>
      </c>
      <c r="M155" s="13">
        <v>99.12</v>
      </c>
      <c r="N155" s="10">
        <v>29.515601</v>
      </c>
      <c r="O155" s="10">
        <v>31.2</v>
      </c>
      <c r="P155" s="10">
        <v>29.806000000000001</v>
      </c>
      <c r="Q155" s="11">
        <v>10600</v>
      </c>
      <c r="R155" s="16">
        <v>0.65749999999999997</v>
      </c>
      <c r="S155" s="16">
        <v>0.77142200000000005</v>
      </c>
      <c r="T155" s="16">
        <v>56.542999999999999</v>
      </c>
      <c r="U155" s="16">
        <v>70.557865000000007</v>
      </c>
      <c r="V155" s="16">
        <v>82.533000000000001</v>
      </c>
    </row>
    <row r="156" spans="1:22" x14ac:dyDescent="0.3">
      <c r="A156" s="22">
        <v>41456</v>
      </c>
      <c r="B156" s="16">
        <v>59.769353000000002</v>
      </c>
      <c r="C156" s="16">
        <v>6.1284000000000001</v>
      </c>
      <c r="D156" s="21">
        <v>21170</v>
      </c>
      <c r="E156" s="16">
        <v>77.7</v>
      </c>
      <c r="F156" s="16">
        <v>7.7625999999999999</v>
      </c>
      <c r="G156" s="16">
        <v>1.828786</v>
      </c>
      <c r="H156" s="16">
        <v>126.45</v>
      </c>
      <c r="I156" s="8">
        <v>1.2638</v>
      </c>
      <c r="J156" s="16">
        <v>3.0975000000000001</v>
      </c>
      <c r="K156" s="10">
        <v>3.6728999999999998</v>
      </c>
      <c r="L156" s="11">
        <v>9790</v>
      </c>
      <c r="M156" s="13">
        <v>100.46</v>
      </c>
      <c r="N156" s="10">
        <v>29.821936999999998</v>
      </c>
      <c r="O156" s="10">
        <v>30.95</v>
      </c>
      <c r="P156" s="10">
        <v>29.648</v>
      </c>
      <c r="Q156" s="11">
        <v>10465</v>
      </c>
      <c r="R156" s="16">
        <v>0.65920000000000001</v>
      </c>
      <c r="S156" s="16">
        <v>0.74866100000000002</v>
      </c>
      <c r="T156" s="16">
        <v>55.533999999999999</v>
      </c>
      <c r="U156" s="16">
        <v>71.934155000000004</v>
      </c>
      <c r="V156" s="16">
        <v>82.454999999999998</v>
      </c>
    </row>
    <row r="157" spans="1:22" x14ac:dyDescent="0.3">
      <c r="A157" s="22">
        <v>41426</v>
      </c>
      <c r="B157" s="16">
        <v>58.406112999999998</v>
      </c>
      <c r="C157" s="16">
        <v>6.1374000000000004</v>
      </c>
      <c r="D157" s="21">
        <v>20990</v>
      </c>
      <c r="E157" s="16">
        <v>77.72</v>
      </c>
      <c r="F157" s="16">
        <v>7.7595999999999998</v>
      </c>
      <c r="G157" s="16">
        <v>1.7968789999999999</v>
      </c>
      <c r="H157" s="16">
        <v>126.7</v>
      </c>
      <c r="I157" s="8">
        <v>1.2310000000000001</v>
      </c>
      <c r="J157" s="16">
        <v>3.0415000000000001</v>
      </c>
      <c r="K157" s="10">
        <v>3.6728999999999998</v>
      </c>
      <c r="L157" s="11">
        <v>9720</v>
      </c>
      <c r="M157" s="13">
        <v>97.41</v>
      </c>
      <c r="N157" s="10">
        <v>30.047955000000002</v>
      </c>
      <c r="O157" s="10">
        <v>30.45</v>
      </c>
      <c r="P157" s="10">
        <v>29.53</v>
      </c>
      <c r="Q157" s="11">
        <v>10420</v>
      </c>
      <c r="R157" s="16">
        <v>0.63049999999999995</v>
      </c>
      <c r="S157" s="16">
        <v>0.75265899999999997</v>
      </c>
      <c r="T157" s="16">
        <v>55.545000000000002</v>
      </c>
      <c r="U157" s="16">
        <v>72.071595000000002</v>
      </c>
      <c r="V157" s="16">
        <v>84.448999999999998</v>
      </c>
    </row>
    <row r="158" spans="1:22" x14ac:dyDescent="0.3">
      <c r="A158" s="22">
        <v>41395</v>
      </c>
      <c r="B158" s="16">
        <v>55.061478999999999</v>
      </c>
      <c r="C158" s="16">
        <v>6.1345000000000001</v>
      </c>
      <c r="D158" s="21">
        <v>20810</v>
      </c>
      <c r="E158" s="16">
        <v>77.92</v>
      </c>
      <c r="F158" s="16">
        <v>7.7629999999999999</v>
      </c>
      <c r="G158" s="16">
        <v>1.8091710000000001</v>
      </c>
      <c r="H158" s="16">
        <v>126.7</v>
      </c>
      <c r="I158" s="8">
        <v>1.2402</v>
      </c>
      <c r="J158" s="16">
        <v>3.0920000000000001</v>
      </c>
      <c r="K158" s="10">
        <v>3.6730999999999998</v>
      </c>
      <c r="L158" s="11">
        <v>9715</v>
      </c>
      <c r="M158" s="13">
        <v>94.19</v>
      </c>
      <c r="N158" s="10">
        <v>30.632027000000001</v>
      </c>
      <c r="O158" s="10">
        <v>30.5</v>
      </c>
      <c r="P158" s="10">
        <v>29.045000000000002</v>
      </c>
      <c r="Q158" s="11">
        <v>10325</v>
      </c>
      <c r="R158" s="16">
        <v>0.61580000000000001</v>
      </c>
      <c r="S158" s="16">
        <v>0.76228300000000004</v>
      </c>
      <c r="T158" s="16">
        <v>57.005000000000003</v>
      </c>
      <c r="U158" s="16">
        <v>71.694568000000004</v>
      </c>
      <c r="V158" s="16">
        <v>89.057000000000002</v>
      </c>
    </row>
    <row r="159" spans="1:22" x14ac:dyDescent="0.3">
      <c r="A159" s="22">
        <v>41365</v>
      </c>
      <c r="B159" s="16">
        <v>54.333561000000003</v>
      </c>
      <c r="C159" s="16">
        <v>6.1646999999999998</v>
      </c>
      <c r="D159" s="21">
        <v>20925</v>
      </c>
      <c r="E159" s="16">
        <v>78.05</v>
      </c>
      <c r="F159" s="16">
        <v>7.7549000000000001</v>
      </c>
      <c r="G159" s="16">
        <v>1.777115</v>
      </c>
      <c r="H159" s="16">
        <v>127.45</v>
      </c>
      <c r="I159" s="8">
        <v>1.2383999999999999</v>
      </c>
      <c r="J159" s="16">
        <v>3.0910000000000002</v>
      </c>
      <c r="K159" s="10">
        <v>3.673</v>
      </c>
      <c r="L159" s="11">
        <v>9660</v>
      </c>
      <c r="M159" s="13">
        <v>92.53</v>
      </c>
      <c r="N159" s="10">
        <v>30.707765999999999</v>
      </c>
      <c r="O159" s="10">
        <v>30.9</v>
      </c>
      <c r="P159" s="10">
        <v>29.05</v>
      </c>
      <c r="Q159" s="11">
        <v>10385</v>
      </c>
      <c r="R159" s="16">
        <v>0.62409999999999999</v>
      </c>
      <c r="S159" s="16">
        <v>0.77960799999999997</v>
      </c>
      <c r="T159" s="16">
        <v>56.62</v>
      </c>
      <c r="U159" s="16">
        <v>70.324955000000003</v>
      </c>
      <c r="V159" s="16">
        <v>86.93</v>
      </c>
    </row>
    <row r="160" spans="1:22" x14ac:dyDescent="0.3">
      <c r="A160" s="22">
        <v>41334</v>
      </c>
      <c r="B160" s="16">
        <v>54.427458999999999</v>
      </c>
      <c r="C160" s="16">
        <v>6.2106000000000003</v>
      </c>
      <c r="D160" s="21">
        <v>20930</v>
      </c>
      <c r="E160" s="16">
        <v>78.84</v>
      </c>
      <c r="F160" s="16">
        <v>7.7550999999999997</v>
      </c>
      <c r="G160" s="16">
        <v>1.771795</v>
      </c>
      <c r="H160" s="16">
        <v>126.2</v>
      </c>
      <c r="I160" s="8">
        <v>1.2364999999999999</v>
      </c>
      <c r="J160" s="16">
        <v>3.105</v>
      </c>
      <c r="K160" s="10">
        <v>3.673</v>
      </c>
      <c r="L160" s="11">
        <v>9690</v>
      </c>
      <c r="M160" s="13">
        <v>91.72</v>
      </c>
      <c r="N160" s="10">
        <v>30.684518000000001</v>
      </c>
      <c r="O160" s="10">
        <v>30.9</v>
      </c>
      <c r="P160" s="10">
        <v>29.2</v>
      </c>
      <c r="Q160" s="11">
        <v>10350</v>
      </c>
      <c r="R160" s="16">
        <v>0.61990000000000001</v>
      </c>
      <c r="S160" s="16">
        <v>0.77078199999999997</v>
      </c>
      <c r="T160" s="16">
        <v>55.801000000000002</v>
      </c>
      <c r="U160" s="16">
        <v>68.858864999999994</v>
      </c>
      <c r="V160" s="16">
        <v>86.769000000000005</v>
      </c>
    </row>
    <row r="161" spans="1:22" x14ac:dyDescent="0.3">
      <c r="A161" s="22">
        <v>41306</v>
      </c>
      <c r="B161" s="16">
        <v>53.850726999999999</v>
      </c>
      <c r="C161" s="16">
        <v>6.2213000000000003</v>
      </c>
      <c r="D161" s="21">
        <v>20810</v>
      </c>
      <c r="E161" s="16">
        <v>78.849999999999994</v>
      </c>
      <c r="F161" s="16">
        <v>7.75</v>
      </c>
      <c r="G161" s="16">
        <v>1.7866139999999999</v>
      </c>
      <c r="H161" s="16">
        <v>127.5</v>
      </c>
      <c r="I161" s="8">
        <v>1.2210000000000001</v>
      </c>
      <c r="J161" s="16">
        <v>3.0569999999999999</v>
      </c>
      <c r="K161" s="10">
        <v>3.673</v>
      </c>
      <c r="L161" s="11">
        <v>9630</v>
      </c>
      <c r="M161" s="13">
        <v>86.74</v>
      </c>
      <c r="N161" s="10">
        <v>30.993839999999999</v>
      </c>
      <c r="O161" s="10">
        <v>30.675000000000001</v>
      </c>
      <c r="P161" s="10">
        <v>29.292999999999999</v>
      </c>
      <c r="Q161" s="11">
        <v>10405</v>
      </c>
      <c r="R161" s="16">
        <v>0.61850000000000005</v>
      </c>
      <c r="S161" s="16">
        <v>0.77799200000000002</v>
      </c>
      <c r="T161" s="16">
        <v>54.822000000000003</v>
      </c>
      <c r="U161" s="16">
        <v>70.045180000000002</v>
      </c>
      <c r="V161" s="16">
        <v>85.411000000000001</v>
      </c>
    </row>
    <row r="162" spans="1:22" x14ac:dyDescent="0.3">
      <c r="A162" s="22">
        <v>41275</v>
      </c>
      <c r="B162" s="16">
        <v>54.243630000000003</v>
      </c>
      <c r="C162" s="16">
        <v>6.2187999999999999</v>
      </c>
      <c r="D162" s="21">
        <v>20820</v>
      </c>
      <c r="E162" s="16">
        <v>79.55</v>
      </c>
      <c r="F162" s="16">
        <v>7.75</v>
      </c>
      <c r="G162" s="16">
        <v>1.793779</v>
      </c>
      <c r="H162" s="16">
        <v>130.1</v>
      </c>
      <c r="I162" s="8">
        <v>1.2199</v>
      </c>
      <c r="J162" s="16">
        <v>3.0390000000000001</v>
      </c>
      <c r="K162" s="10">
        <v>3.673</v>
      </c>
      <c r="L162" s="11">
        <v>9588</v>
      </c>
      <c r="M162" s="13">
        <v>82.45</v>
      </c>
      <c r="N162" s="10">
        <v>31.431294999999999</v>
      </c>
      <c r="O162" s="10">
        <v>30.574999999999999</v>
      </c>
      <c r="P162" s="10">
        <v>29.872</v>
      </c>
      <c r="Q162" s="11">
        <v>10425</v>
      </c>
      <c r="R162" s="16">
        <v>0.63019999999999998</v>
      </c>
      <c r="S162" s="16">
        <v>0.80651899999999999</v>
      </c>
      <c r="T162" s="16">
        <v>57.28</v>
      </c>
      <c r="U162" s="16">
        <v>68.863174000000001</v>
      </c>
      <c r="V162" s="16">
        <v>88.087999999999994</v>
      </c>
    </row>
    <row r="163" spans="1:22" x14ac:dyDescent="0.3">
      <c r="A163" s="22">
        <v>41244</v>
      </c>
      <c r="B163" s="16">
        <v>54.646414</v>
      </c>
      <c r="C163" s="16">
        <v>6.2302999999999997</v>
      </c>
      <c r="D163" s="21">
        <v>20835</v>
      </c>
      <c r="E163" s="16">
        <v>81.099999999999994</v>
      </c>
      <c r="F163" s="16">
        <v>7.7496</v>
      </c>
      <c r="G163" s="16">
        <v>1.8023640000000001</v>
      </c>
      <c r="H163" s="16">
        <v>130.1</v>
      </c>
      <c r="I163" s="8">
        <v>1.22</v>
      </c>
      <c r="J163" s="16">
        <v>3.0445000000000002</v>
      </c>
      <c r="K163" s="10">
        <v>3.673</v>
      </c>
      <c r="L163" s="11">
        <v>9600</v>
      </c>
      <c r="M163" s="13">
        <v>79.760000000000005</v>
      </c>
      <c r="N163" s="10">
        <v>31.634312999999999</v>
      </c>
      <c r="O163" s="10">
        <v>30.7</v>
      </c>
      <c r="P163" s="10">
        <v>29.939</v>
      </c>
      <c r="Q163" s="11">
        <v>10240</v>
      </c>
      <c r="R163" s="16">
        <v>0.63790000000000002</v>
      </c>
      <c r="S163" s="16">
        <v>0.81387500000000002</v>
      </c>
      <c r="T163" s="16">
        <v>58.293999999999997</v>
      </c>
      <c r="U163" s="16">
        <v>68.106091000000006</v>
      </c>
      <c r="V163" s="16">
        <v>87.069000000000003</v>
      </c>
    </row>
    <row r="164" spans="1:22" x14ac:dyDescent="0.3">
      <c r="A164" s="22">
        <v>41214</v>
      </c>
      <c r="B164" s="16">
        <v>54.822263</v>
      </c>
      <c r="C164" s="16">
        <v>6.2267000000000001</v>
      </c>
      <c r="D164" s="21">
        <v>20825</v>
      </c>
      <c r="E164" s="16">
        <v>81.2</v>
      </c>
      <c r="F164" s="16">
        <v>7.7541000000000002</v>
      </c>
      <c r="G164" s="16">
        <v>1.8029580000000001</v>
      </c>
      <c r="H164" s="16">
        <v>129.35</v>
      </c>
      <c r="I164" s="8">
        <v>1.2266999999999999</v>
      </c>
      <c r="J164" s="16">
        <v>3.0550000000000002</v>
      </c>
      <c r="K164" s="10">
        <v>3.6728999999999998</v>
      </c>
      <c r="L164" s="11">
        <v>9565</v>
      </c>
      <c r="M164" s="13">
        <v>77.900000000000006</v>
      </c>
      <c r="N164" s="10">
        <v>31.646263999999999</v>
      </c>
      <c r="O164" s="10">
        <v>31.1</v>
      </c>
      <c r="P164" s="10">
        <v>29.779</v>
      </c>
      <c r="Q164" s="11">
        <v>10000</v>
      </c>
      <c r="R164" s="16">
        <v>0.63649999999999995</v>
      </c>
      <c r="S164" s="16">
        <v>0.79836200000000002</v>
      </c>
      <c r="T164" s="16">
        <v>56.792999999999999</v>
      </c>
      <c r="U164" s="16">
        <v>70.167286000000004</v>
      </c>
      <c r="V164" s="16">
        <v>87.162999999999997</v>
      </c>
    </row>
    <row r="165" spans="1:22" x14ac:dyDescent="0.3">
      <c r="A165" s="22">
        <v>41183</v>
      </c>
      <c r="B165" s="16">
        <v>53.073239999999998</v>
      </c>
      <c r="C165" s="16">
        <v>6.2371999999999996</v>
      </c>
      <c r="D165" s="21">
        <v>20875</v>
      </c>
      <c r="E165" s="16">
        <v>81.599999999999994</v>
      </c>
      <c r="F165" s="16">
        <v>7.7556000000000003</v>
      </c>
      <c r="G165" s="16">
        <v>1.7976030000000001</v>
      </c>
      <c r="H165" s="16">
        <v>132.30000000000001</v>
      </c>
      <c r="I165" s="8">
        <v>1.2470000000000001</v>
      </c>
      <c r="J165" s="16">
        <v>3.1230000000000002</v>
      </c>
      <c r="K165" s="10">
        <v>3.673</v>
      </c>
      <c r="L165" s="11">
        <v>9530</v>
      </c>
      <c r="M165" s="13">
        <v>78.37</v>
      </c>
      <c r="N165" s="10">
        <v>31.342662000000001</v>
      </c>
      <c r="O165" s="10">
        <v>29.7</v>
      </c>
      <c r="P165" s="10">
        <v>29.846</v>
      </c>
      <c r="Q165" s="11">
        <v>10000</v>
      </c>
      <c r="R165" s="16">
        <v>0.64910000000000001</v>
      </c>
      <c r="S165" s="16">
        <v>0.782165</v>
      </c>
      <c r="T165" s="16">
        <v>54.5</v>
      </c>
      <c r="U165" s="16">
        <v>69.640658999999999</v>
      </c>
      <c r="V165" s="16">
        <v>86.302999999999997</v>
      </c>
    </row>
    <row r="166" spans="1:22" x14ac:dyDescent="0.3">
      <c r="A166" s="22">
        <v>41153</v>
      </c>
      <c r="B166" s="16">
        <v>54.494210000000002</v>
      </c>
      <c r="C166" s="16">
        <v>6.2845000000000004</v>
      </c>
      <c r="D166" s="21">
        <v>20790</v>
      </c>
      <c r="E166" s="16">
        <v>81.7</v>
      </c>
      <c r="F166" s="16">
        <v>7.7542</v>
      </c>
      <c r="G166" s="16">
        <v>1.813248</v>
      </c>
      <c r="H166" s="16">
        <v>131.69999999999999</v>
      </c>
      <c r="I166" s="8">
        <v>1.2444999999999999</v>
      </c>
      <c r="J166" s="16">
        <v>3.1230000000000002</v>
      </c>
      <c r="K166" s="10">
        <v>3.673</v>
      </c>
      <c r="L166" s="11">
        <v>9440</v>
      </c>
      <c r="M166" s="13">
        <v>78.11</v>
      </c>
      <c r="N166" s="10">
        <v>30.876436000000002</v>
      </c>
      <c r="O166" s="10">
        <v>29.1</v>
      </c>
      <c r="P166" s="10">
        <v>29.13</v>
      </c>
      <c r="Q166" s="11">
        <v>10000</v>
      </c>
      <c r="R166" s="16">
        <v>0.61599999999999999</v>
      </c>
      <c r="S166" s="16">
        <v>0.75980199999999998</v>
      </c>
      <c r="T166" s="16">
        <v>54.881999999999998</v>
      </c>
      <c r="U166" s="16">
        <v>68.193946999999994</v>
      </c>
      <c r="V166" s="16">
        <v>85.456000000000003</v>
      </c>
    </row>
    <row r="167" spans="1:22" x14ac:dyDescent="0.3">
      <c r="A167" s="22">
        <v>41122</v>
      </c>
      <c r="B167" s="16">
        <v>55.535195000000002</v>
      </c>
      <c r="C167" s="16">
        <v>6.3484999999999996</v>
      </c>
      <c r="D167" s="21">
        <v>20850</v>
      </c>
      <c r="E167" s="16">
        <v>81.650000000000006</v>
      </c>
      <c r="F167" s="16">
        <v>7.7568999999999999</v>
      </c>
      <c r="G167" s="16">
        <v>1.8232060000000001</v>
      </c>
      <c r="H167" s="16">
        <v>132.86000000000001</v>
      </c>
      <c r="I167" s="8">
        <v>1.2649999999999999</v>
      </c>
      <c r="J167" s="16">
        <v>3.1680000000000001</v>
      </c>
      <c r="K167" s="10">
        <v>3.673</v>
      </c>
      <c r="L167" s="11">
        <v>9385</v>
      </c>
      <c r="M167" s="13">
        <v>79.77</v>
      </c>
      <c r="N167" s="10">
        <v>30.722774000000001</v>
      </c>
      <c r="O167" s="10">
        <v>29</v>
      </c>
      <c r="P167" s="10">
        <v>29.51</v>
      </c>
      <c r="Q167" s="11">
        <v>10020</v>
      </c>
      <c r="R167" s="16">
        <v>0.62439999999999996</v>
      </c>
      <c r="S167" s="16">
        <v>0.75755300000000003</v>
      </c>
      <c r="T167" s="16">
        <v>52.604999999999997</v>
      </c>
      <c r="U167" s="16">
        <v>66.539923000000002</v>
      </c>
      <c r="V167" s="16">
        <v>81.442999999999998</v>
      </c>
    </row>
    <row r="168" spans="1:22" x14ac:dyDescent="0.3">
      <c r="A168" s="22">
        <v>41091</v>
      </c>
      <c r="B168" s="16">
        <v>55.426468999999997</v>
      </c>
      <c r="C168" s="16">
        <v>6.3620000000000001</v>
      </c>
      <c r="D168" s="21">
        <v>20880</v>
      </c>
      <c r="E168" s="16">
        <v>81.75</v>
      </c>
      <c r="F168" s="16">
        <v>7.7619999999999996</v>
      </c>
      <c r="G168" s="16">
        <v>1.8106009999999999</v>
      </c>
      <c r="H168" s="16">
        <v>131.11000000000001</v>
      </c>
      <c r="I168" s="8">
        <v>1.2885</v>
      </c>
      <c r="J168" s="16">
        <v>3.17</v>
      </c>
      <c r="K168" s="10">
        <v>3.673</v>
      </c>
      <c r="L168" s="11">
        <v>9390</v>
      </c>
      <c r="M168" s="13">
        <v>78.349999999999994</v>
      </c>
      <c r="N168" s="10">
        <v>30.714302</v>
      </c>
      <c r="O168" s="10">
        <v>28.95</v>
      </c>
      <c r="P168" s="10">
        <v>29.378</v>
      </c>
      <c r="Q168" s="11">
        <v>9895</v>
      </c>
      <c r="R168" s="16">
        <v>0.62809999999999999</v>
      </c>
      <c r="S168" s="16">
        <v>0.75626400000000005</v>
      </c>
      <c r="T168" s="16">
        <v>52.704000000000001</v>
      </c>
      <c r="U168" s="16">
        <v>65.058904999999996</v>
      </c>
      <c r="V168" s="16">
        <v>78.156999999999996</v>
      </c>
    </row>
    <row r="169" spans="1:22" x14ac:dyDescent="0.3">
      <c r="A169" s="22">
        <v>41061</v>
      </c>
      <c r="B169" s="16">
        <v>56.016390000000001</v>
      </c>
      <c r="C169" s="16">
        <v>6.3536999999999999</v>
      </c>
      <c r="D169" s="21">
        <v>20820</v>
      </c>
      <c r="E169" s="16">
        <v>81.7</v>
      </c>
      <c r="F169" s="16">
        <v>7.758</v>
      </c>
      <c r="G169" s="16">
        <v>1.7870539999999999</v>
      </c>
      <c r="H169" s="16">
        <v>129.21</v>
      </c>
      <c r="I169" s="8">
        <v>1.2370000000000001</v>
      </c>
      <c r="J169" s="16">
        <v>3.0232000000000001</v>
      </c>
      <c r="K169" s="10">
        <v>3.6730999999999998</v>
      </c>
      <c r="L169" s="11">
        <v>9188</v>
      </c>
      <c r="M169" s="13">
        <v>79.78</v>
      </c>
      <c r="N169" s="10">
        <v>31.554836999999999</v>
      </c>
      <c r="O169" s="10">
        <v>29.3</v>
      </c>
      <c r="P169" s="10">
        <v>29.614999999999998</v>
      </c>
      <c r="Q169" s="11">
        <v>9900</v>
      </c>
      <c r="R169" s="16">
        <v>0.63460000000000005</v>
      </c>
      <c r="S169" s="16">
        <v>0.77500400000000003</v>
      </c>
      <c r="T169" s="16">
        <v>52.533999999999999</v>
      </c>
      <c r="U169" s="16">
        <v>66.060136</v>
      </c>
      <c r="V169" s="16">
        <v>77.971999999999994</v>
      </c>
    </row>
    <row r="170" spans="1:22" x14ac:dyDescent="0.3">
      <c r="A170" s="22">
        <v>41030</v>
      </c>
      <c r="B170" s="16">
        <v>54.471380000000003</v>
      </c>
      <c r="C170" s="16">
        <v>6.3688000000000002</v>
      </c>
      <c r="D170" s="21">
        <v>20830</v>
      </c>
      <c r="E170" s="16">
        <v>81.650000000000006</v>
      </c>
      <c r="F170" s="16">
        <v>7.7656000000000001</v>
      </c>
      <c r="G170" s="16">
        <v>1.79017</v>
      </c>
      <c r="H170" s="16">
        <v>128.1</v>
      </c>
      <c r="I170" s="8">
        <v>1.2572000000000001</v>
      </c>
      <c r="J170" s="16">
        <v>3.0605000000000002</v>
      </c>
      <c r="K170" s="10">
        <v>3.6728999999999998</v>
      </c>
      <c r="L170" s="11">
        <v>9139</v>
      </c>
      <c r="M170" s="13">
        <v>82.79</v>
      </c>
      <c r="N170" s="10">
        <v>31.188842999999999</v>
      </c>
      <c r="O170" s="10">
        <v>29.4</v>
      </c>
      <c r="P170" s="10">
        <v>30.27</v>
      </c>
      <c r="Q170" s="11">
        <v>9887.5</v>
      </c>
      <c r="R170" s="16">
        <v>0.64349999999999996</v>
      </c>
      <c r="S170" s="16">
        <v>0.75894200000000001</v>
      </c>
      <c r="T170" s="16">
        <v>54.182000000000002</v>
      </c>
      <c r="U170" s="16">
        <v>69.206619000000003</v>
      </c>
      <c r="V170" s="16">
        <v>82.350999999999999</v>
      </c>
    </row>
    <row r="171" spans="1:22" x14ac:dyDescent="0.3">
      <c r="A171" s="22">
        <v>41000</v>
      </c>
      <c r="B171" s="16">
        <v>51.812474000000002</v>
      </c>
      <c r="C171" s="16">
        <v>6.3098999999999998</v>
      </c>
      <c r="D171" s="21">
        <v>20820</v>
      </c>
      <c r="E171" s="16">
        <v>81.75</v>
      </c>
      <c r="F171" s="16">
        <v>7.7557999999999998</v>
      </c>
      <c r="G171" s="16">
        <v>1.759242</v>
      </c>
      <c r="H171" s="16">
        <v>121.8</v>
      </c>
      <c r="I171" s="8">
        <v>1.2504</v>
      </c>
      <c r="J171" s="16">
        <v>2.9940000000000002</v>
      </c>
      <c r="K171" s="10">
        <v>3.673</v>
      </c>
      <c r="L171" s="11">
        <v>9010</v>
      </c>
      <c r="M171" s="13">
        <v>81.22</v>
      </c>
      <c r="N171" s="10">
        <v>30.962714999999999</v>
      </c>
      <c r="O171" s="10">
        <v>29.05</v>
      </c>
      <c r="P171" s="10">
        <v>30.31</v>
      </c>
      <c r="Q171" s="11">
        <v>9900</v>
      </c>
      <c r="R171" s="16">
        <v>0.6371</v>
      </c>
      <c r="S171" s="16">
        <v>0.73780199999999996</v>
      </c>
      <c r="T171" s="16">
        <v>53.552999999999997</v>
      </c>
      <c r="U171" s="16">
        <v>68.833022999999997</v>
      </c>
      <c r="V171" s="16">
        <v>81.787000000000006</v>
      </c>
    </row>
    <row r="172" spans="1:22" x14ac:dyDescent="0.3">
      <c r="A172" s="22">
        <v>40969</v>
      </c>
      <c r="B172" s="16">
        <v>50.403962</v>
      </c>
      <c r="C172" s="16">
        <v>6.298</v>
      </c>
      <c r="D172" s="21">
        <v>20830</v>
      </c>
      <c r="E172" s="16">
        <v>81.680000000000007</v>
      </c>
      <c r="F172" s="16">
        <v>7.7549000000000001</v>
      </c>
      <c r="G172" s="16">
        <v>1.841326</v>
      </c>
      <c r="H172" s="16">
        <v>113.85</v>
      </c>
      <c r="I172" s="8">
        <v>1.2581</v>
      </c>
      <c r="J172" s="16">
        <v>3.04</v>
      </c>
      <c r="K172" s="10">
        <v>3.673</v>
      </c>
      <c r="L172" s="11">
        <v>8980</v>
      </c>
      <c r="M172" s="13">
        <v>76.19</v>
      </c>
      <c r="N172" s="10">
        <v>30.862828</v>
      </c>
      <c r="O172" s="10">
        <v>28.9</v>
      </c>
      <c r="P172" s="10">
        <v>29.93</v>
      </c>
      <c r="Q172" s="11">
        <v>9902</v>
      </c>
      <c r="R172" s="16">
        <v>0.62129999999999996</v>
      </c>
      <c r="S172" s="16">
        <v>0.729854</v>
      </c>
      <c r="T172" s="16">
        <v>51.3</v>
      </c>
      <c r="U172" s="16">
        <v>67.551856999999998</v>
      </c>
      <c r="V172" s="16">
        <v>78.322999999999993</v>
      </c>
    </row>
    <row r="173" spans="1:22" x14ac:dyDescent="0.3">
      <c r="A173" s="22">
        <v>40940</v>
      </c>
      <c r="B173" s="16">
        <v>49.197800000000001</v>
      </c>
      <c r="C173" s="16">
        <v>6.2938000000000001</v>
      </c>
      <c r="D173" s="21">
        <v>21000</v>
      </c>
      <c r="E173" s="16">
        <v>84.45</v>
      </c>
      <c r="F173" s="16">
        <v>7.7660999999999998</v>
      </c>
      <c r="G173" s="16">
        <v>1.869397</v>
      </c>
      <c r="H173" s="16">
        <v>113.85</v>
      </c>
      <c r="I173" s="8">
        <v>1.2968</v>
      </c>
      <c r="J173" s="16">
        <v>3.169</v>
      </c>
      <c r="K173" s="10">
        <v>3.673</v>
      </c>
      <c r="L173" s="11">
        <v>9060</v>
      </c>
      <c r="M173" s="13">
        <v>76.94</v>
      </c>
      <c r="N173" s="10">
        <v>30.436426000000001</v>
      </c>
      <c r="O173" s="10">
        <v>29</v>
      </c>
      <c r="P173" s="10">
        <v>30.45</v>
      </c>
      <c r="Q173" s="11">
        <v>9920</v>
      </c>
      <c r="R173" s="16">
        <v>0.64159999999999995</v>
      </c>
      <c r="S173" s="16">
        <v>0.72645700000000002</v>
      </c>
      <c r="T173" s="16">
        <v>47.334000000000003</v>
      </c>
      <c r="U173" s="16">
        <v>65.596408999999994</v>
      </c>
      <c r="V173" s="16">
        <v>76.367000000000004</v>
      </c>
    </row>
    <row r="174" spans="1:22" x14ac:dyDescent="0.3">
      <c r="A174" s="22">
        <v>40909</v>
      </c>
      <c r="B174" s="16">
        <v>51.197583000000002</v>
      </c>
      <c r="C174" s="16">
        <v>6.3090000000000002</v>
      </c>
      <c r="D174" s="21">
        <v>21031</v>
      </c>
      <c r="E174" s="16">
        <v>81.78</v>
      </c>
      <c r="F174" s="16">
        <v>7.7675999999999998</v>
      </c>
      <c r="G174" s="16">
        <v>1.8125880000000001</v>
      </c>
      <c r="H174" s="16">
        <v>113.82</v>
      </c>
      <c r="I174" s="8">
        <v>1.2817000000000001</v>
      </c>
      <c r="J174" s="16">
        <v>3.177</v>
      </c>
      <c r="K174" s="10">
        <v>3.6728000000000001</v>
      </c>
      <c r="L174" s="11">
        <v>9105</v>
      </c>
      <c r="M174" s="13">
        <v>77.5</v>
      </c>
      <c r="N174" s="10">
        <v>29.892052</v>
      </c>
      <c r="O174" s="10">
        <v>27.9</v>
      </c>
      <c r="P174" s="10">
        <v>28.98</v>
      </c>
      <c r="Q174" s="11">
        <v>9905</v>
      </c>
      <c r="R174" s="16">
        <v>0.61519999999999997</v>
      </c>
      <c r="S174" s="16">
        <v>0.69723000000000002</v>
      </c>
      <c r="T174" s="16">
        <v>49</v>
      </c>
      <c r="U174" s="16">
        <v>65.071696000000003</v>
      </c>
      <c r="V174" s="16">
        <v>74.418000000000006</v>
      </c>
    </row>
    <row r="175" spans="1:22" x14ac:dyDescent="0.3">
      <c r="A175" s="22">
        <v>40878</v>
      </c>
      <c r="B175" s="16">
        <v>52.522753000000002</v>
      </c>
      <c r="C175" s="16">
        <v>6.2938999999999998</v>
      </c>
      <c r="D175" s="21">
        <v>21000</v>
      </c>
      <c r="E175" s="16">
        <v>76.8</v>
      </c>
      <c r="F175" s="16">
        <v>7.7682000000000002</v>
      </c>
      <c r="G175" s="16">
        <v>1.831113</v>
      </c>
      <c r="H175" s="16">
        <v>110.06</v>
      </c>
      <c r="I175" s="8">
        <v>1.2544999999999999</v>
      </c>
      <c r="J175" s="16">
        <v>3.0670000000000002</v>
      </c>
      <c r="K175" s="10">
        <v>3.673</v>
      </c>
      <c r="L175" s="11">
        <v>8850</v>
      </c>
      <c r="M175" s="13">
        <v>78.2</v>
      </c>
      <c r="N175" s="10">
        <v>30.109418000000002</v>
      </c>
      <c r="O175" s="10">
        <v>27.9</v>
      </c>
      <c r="P175" s="10">
        <v>28.87</v>
      </c>
      <c r="Q175" s="11">
        <v>9902.5</v>
      </c>
      <c r="R175" s="16">
        <v>0.6089</v>
      </c>
      <c r="S175" s="16">
        <v>0.70113300000000001</v>
      </c>
      <c r="T175" s="16">
        <v>48.567</v>
      </c>
      <c r="U175" s="16">
        <v>63.353667000000002</v>
      </c>
      <c r="V175" s="16">
        <v>72.567999999999998</v>
      </c>
    </row>
    <row r="176" spans="1:22" x14ac:dyDescent="0.3">
      <c r="A176" s="22">
        <v>40848</v>
      </c>
      <c r="B176" s="16">
        <v>50.791083</v>
      </c>
      <c r="C176" s="16">
        <v>6.3788</v>
      </c>
      <c r="D176" s="21">
        <v>21000</v>
      </c>
      <c r="E176" s="16">
        <v>75.7</v>
      </c>
      <c r="F176" s="16">
        <v>7.7840999999999996</v>
      </c>
      <c r="G176" s="16">
        <v>1.7970060000000001</v>
      </c>
      <c r="H176" s="16">
        <v>109.96</v>
      </c>
      <c r="I176" s="8">
        <v>1.3069</v>
      </c>
      <c r="J176" s="16">
        <v>3.1869999999999998</v>
      </c>
      <c r="K176" s="10">
        <v>3.673</v>
      </c>
      <c r="L176" s="11">
        <v>8780</v>
      </c>
      <c r="M176" s="13">
        <v>77.040000000000006</v>
      </c>
      <c r="N176" s="10">
        <v>30.528040000000001</v>
      </c>
      <c r="O176" s="10">
        <v>28.35</v>
      </c>
      <c r="P176" s="10">
        <v>28.725000000000001</v>
      </c>
      <c r="Q176" s="11">
        <v>9905</v>
      </c>
      <c r="R176" s="16">
        <v>0.62309999999999999</v>
      </c>
      <c r="S176" s="16">
        <v>0.695079</v>
      </c>
      <c r="T176" s="16">
        <v>47.893999999999998</v>
      </c>
      <c r="U176" s="16">
        <v>64.520017999999993</v>
      </c>
      <c r="V176" s="16">
        <v>71.700999999999993</v>
      </c>
    </row>
    <row r="177" spans="1:22" x14ac:dyDescent="0.3">
      <c r="A177" s="22">
        <v>40817</v>
      </c>
      <c r="B177" s="16">
        <v>49.285598</v>
      </c>
      <c r="C177" s="16">
        <v>6.3552</v>
      </c>
      <c r="D177" s="21">
        <v>20825</v>
      </c>
      <c r="E177" s="16">
        <v>75</v>
      </c>
      <c r="F177" s="16">
        <v>7.7854000000000001</v>
      </c>
      <c r="G177" s="16">
        <v>1.7531909999999999</v>
      </c>
      <c r="H177" s="16">
        <v>109.65</v>
      </c>
      <c r="I177" s="8">
        <v>1.2038</v>
      </c>
      <c r="J177" s="16">
        <v>2.9809999999999999</v>
      </c>
      <c r="K177" s="10">
        <v>3.673</v>
      </c>
      <c r="L177" s="11">
        <v>8528</v>
      </c>
      <c r="M177" s="13">
        <v>76.59</v>
      </c>
      <c r="N177" s="10">
        <v>30.247699999999998</v>
      </c>
      <c r="O177" s="10">
        <v>28.5</v>
      </c>
      <c r="P177" s="10">
        <v>28.64</v>
      </c>
      <c r="Q177" s="11">
        <v>9955</v>
      </c>
      <c r="R177" s="16">
        <v>0.60780000000000001</v>
      </c>
      <c r="S177" s="16">
        <v>0.69714299999999996</v>
      </c>
      <c r="T177" s="16">
        <v>48.069000000000003</v>
      </c>
      <c r="U177" s="16">
        <v>64.473455000000001</v>
      </c>
      <c r="V177" s="16">
        <v>74.114999999999995</v>
      </c>
    </row>
    <row r="178" spans="1:22" x14ac:dyDescent="0.3">
      <c r="A178" s="22">
        <v>40787</v>
      </c>
      <c r="B178" s="16">
        <v>47.658523000000002</v>
      </c>
      <c r="C178" s="16">
        <v>6.3822000000000001</v>
      </c>
      <c r="D178" s="21">
        <v>20830</v>
      </c>
      <c r="E178" s="16">
        <v>73.599999999999994</v>
      </c>
      <c r="F178" s="16">
        <v>7.7938000000000001</v>
      </c>
      <c r="G178" s="16">
        <v>1.658261</v>
      </c>
      <c r="H178" s="16">
        <v>109.4</v>
      </c>
      <c r="I178" s="8">
        <v>1.2033</v>
      </c>
      <c r="J178" s="16">
        <v>2.964</v>
      </c>
      <c r="K178" s="10">
        <v>3.6730999999999998</v>
      </c>
      <c r="L178" s="11">
        <v>8495</v>
      </c>
      <c r="M178" s="13">
        <v>76.73</v>
      </c>
      <c r="N178" s="10">
        <v>30.076806000000001</v>
      </c>
      <c r="O178" s="10">
        <v>27</v>
      </c>
      <c r="P178" s="10">
        <v>28.67</v>
      </c>
      <c r="Q178" s="11">
        <v>9955</v>
      </c>
      <c r="R178" s="16">
        <v>0.59860000000000002</v>
      </c>
      <c r="S178" s="16">
        <v>0.69255900000000004</v>
      </c>
      <c r="T178" s="16">
        <v>48.509</v>
      </c>
      <c r="U178" s="16">
        <v>64.112789000000006</v>
      </c>
      <c r="V178" s="16">
        <v>73.885000000000005</v>
      </c>
    </row>
    <row r="179" spans="1:22" x14ac:dyDescent="0.3">
      <c r="A179" s="22">
        <v>40756</v>
      </c>
      <c r="B179" s="16">
        <v>45.364960000000004</v>
      </c>
      <c r="C179" s="16">
        <v>6.3789999999999996</v>
      </c>
      <c r="D179" s="21">
        <v>20580</v>
      </c>
      <c r="E179" s="16">
        <v>74.650000000000006</v>
      </c>
      <c r="F179" s="16">
        <v>7.782</v>
      </c>
      <c r="G179" s="16">
        <v>1.603985</v>
      </c>
      <c r="H179" s="16">
        <v>109.45</v>
      </c>
      <c r="I179" s="8">
        <v>1.2278</v>
      </c>
      <c r="J179" s="16">
        <v>3.0179999999999998</v>
      </c>
      <c r="K179" s="10">
        <v>3.6728000000000001</v>
      </c>
      <c r="L179" s="11">
        <v>8573</v>
      </c>
      <c r="M179" s="13">
        <v>80.52</v>
      </c>
      <c r="N179" s="10">
        <v>30.364742</v>
      </c>
      <c r="O179" s="10">
        <v>28.4</v>
      </c>
      <c r="P179" s="10">
        <v>29.4</v>
      </c>
      <c r="Q179" s="11">
        <v>9680.5</v>
      </c>
      <c r="R179" s="16">
        <v>0.62370000000000003</v>
      </c>
      <c r="S179" s="16">
        <v>0.71453199999999994</v>
      </c>
      <c r="T179" s="16">
        <v>45.975999999999999</v>
      </c>
      <c r="U179" s="16">
        <v>62.941743000000002</v>
      </c>
      <c r="V179" s="16">
        <v>71.37</v>
      </c>
    </row>
    <row r="180" spans="1:22" x14ac:dyDescent="0.3">
      <c r="A180" s="22">
        <v>40725</v>
      </c>
      <c r="B180" s="16">
        <v>44.415067000000001</v>
      </c>
      <c r="C180" s="16">
        <v>6.4370000000000003</v>
      </c>
      <c r="D180" s="21">
        <v>20510</v>
      </c>
      <c r="E180" s="16">
        <v>74.2</v>
      </c>
      <c r="F180" s="16">
        <v>7.7771999999999997</v>
      </c>
      <c r="G180" s="16">
        <v>1.575647</v>
      </c>
      <c r="H180" s="16">
        <v>109.65</v>
      </c>
      <c r="I180" s="8">
        <v>1.2330000000000001</v>
      </c>
      <c r="J180" s="16">
        <v>3.008</v>
      </c>
      <c r="K180" s="10">
        <v>3.673</v>
      </c>
      <c r="L180" s="11">
        <v>8532</v>
      </c>
      <c r="M180" s="13">
        <v>81.52</v>
      </c>
      <c r="N180" s="10">
        <v>30.711226</v>
      </c>
      <c r="O180" s="10">
        <v>29.4</v>
      </c>
      <c r="P180" s="10">
        <v>29.745000000000001</v>
      </c>
      <c r="Q180" s="11">
        <v>9875</v>
      </c>
      <c r="R180" s="16">
        <v>0.61499999999999999</v>
      </c>
      <c r="S180" s="16">
        <v>0.73270299999999999</v>
      </c>
      <c r="T180" s="16">
        <v>46.088000000000001</v>
      </c>
      <c r="U180" s="16">
        <v>62.014225000000003</v>
      </c>
      <c r="V180" s="16">
        <v>73.575000000000003</v>
      </c>
    </row>
    <row r="181" spans="1:22" x14ac:dyDescent="0.3">
      <c r="A181" s="22">
        <v>40695</v>
      </c>
      <c r="B181" s="16">
        <v>44.842587000000002</v>
      </c>
      <c r="C181" s="16">
        <v>6.4641999999999999</v>
      </c>
      <c r="D181" s="21">
        <v>20500</v>
      </c>
      <c r="E181" s="16">
        <v>73.55</v>
      </c>
      <c r="F181" s="16">
        <v>7.7659000000000002</v>
      </c>
      <c r="G181" s="16">
        <v>1.5216700000000001</v>
      </c>
      <c r="H181" s="16">
        <v>109.85</v>
      </c>
      <c r="I181" s="8">
        <v>1.2239</v>
      </c>
      <c r="J181" s="16">
        <v>2.9609999999999999</v>
      </c>
      <c r="K181" s="10">
        <v>3.673</v>
      </c>
      <c r="L181" s="11">
        <v>8563</v>
      </c>
      <c r="M181" s="13">
        <v>81.209999999999994</v>
      </c>
      <c r="N181" s="10">
        <v>30.556581999999999</v>
      </c>
      <c r="O181" s="10">
        <v>29.25</v>
      </c>
      <c r="P181" s="10">
        <v>29.03</v>
      </c>
      <c r="Q181" s="11">
        <v>9735</v>
      </c>
      <c r="R181" s="16">
        <v>0.62409999999999999</v>
      </c>
      <c r="S181" s="16">
        <v>0.748811</v>
      </c>
      <c r="T181" s="16">
        <v>45.634999999999998</v>
      </c>
      <c r="U181" s="16">
        <v>60.716085999999997</v>
      </c>
      <c r="V181" s="16">
        <v>73.352999999999994</v>
      </c>
    </row>
    <row r="182" spans="1:22" x14ac:dyDescent="0.3">
      <c r="A182" s="22">
        <v>40664</v>
      </c>
      <c r="B182" s="16">
        <v>44.937699000000002</v>
      </c>
      <c r="C182" s="16">
        <v>6.4794999999999998</v>
      </c>
      <c r="D182" s="21">
        <v>20570</v>
      </c>
      <c r="E182" s="16">
        <v>72.849999999999994</v>
      </c>
      <c r="F182" s="16">
        <v>7.7786</v>
      </c>
      <c r="G182" s="16">
        <v>1.5794220000000001</v>
      </c>
      <c r="H182" s="16">
        <v>110.37</v>
      </c>
      <c r="I182" s="8">
        <v>1.2607999999999999</v>
      </c>
      <c r="J182" s="16">
        <v>3.0249999999999999</v>
      </c>
      <c r="K182" s="10">
        <v>3.673</v>
      </c>
      <c r="L182" s="11">
        <v>8705</v>
      </c>
      <c r="M182" s="13">
        <v>83.15</v>
      </c>
      <c r="N182" s="10">
        <v>30.109431000000001</v>
      </c>
      <c r="O182" s="10">
        <v>30.3</v>
      </c>
      <c r="P182" s="10">
        <v>29.164999999999999</v>
      </c>
      <c r="Q182" s="11">
        <v>9700</v>
      </c>
      <c r="R182" s="16">
        <v>0.64090000000000003</v>
      </c>
      <c r="S182" s="16">
        <v>0.75646199999999997</v>
      </c>
      <c r="T182" s="16">
        <v>45.728000000000002</v>
      </c>
      <c r="U182" s="16">
        <v>59.647174</v>
      </c>
      <c r="V182" s="16">
        <v>69.727999999999994</v>
      </c>
    </row>
    <row r="183" spans="1:22" x14ac:dyDescent="0.3">
      <c r="A183" s="22">
        <v>40634</v>
      </c>
      <c r="B183" s="16">
        <v>44.394224999999999</v>
      </c>
      <c r="C183" s="16">
        <v>6.4909999999999997</v>
      </c>
      <c r="D183" s="21">
        <v>20880</v>
      </c>
      <c r="E183" s="16">
        <v>72.5</v>
      </c>
      <c r="F183" s="16">
        <v>7.7877999999999998</v>
      </c>
      <c r="G183" s="16">
        <v>1.589987</v>
      </c>
      <c r="H183" s="16">
        <v>110.75</v>
      </c>
      <c r="I183" s="8">
        <v>1.2715000000000001</v>
      </c>
      <c r="J183" s="16">
        <v>3.0489999999999999</v>
      </c>
      <c r="K183" s="10">
        <v>3.673</v>
      </c>
      <c r="L183" s="11">
        <v>8818</v>
      </c>
      <c r="M183" s="13">
        <v>81.78</v>
      </c>
      <c r="N183" s="10">
        <v>29.889006999999999</v>
      </c>
      <c r="O183" s="10">
        <v>30.5</v>
      </c>
      <c r="P183" s="10">
        <v>30.47</v>
      </c>
      <c r="Q183" s="11">
        <v>9700</v>
      </c>
      <c r="R183" s="16">
        <v>0.64280000000000004</v>
      </c>
      <c r="S183" s="16">
        <v>0.73240499999999997</v>
      </c>
      <c r="T183" s="16">
        <v>43.844000000000001</v>
      </c>
      <c r="U183" s="16">
        <v>61.453904999999999</v>
      </c>
      <c r="V183" s="16">
        <v>71.191999999999993</v>
      </c>
    </row>
    <row r="184" spans="1:22" x14ac:dyDescent="0.3">
      <c r="A184" s="22">
        <v>40603</v>
      </c>
      <c r="B184" s="16">
        <v>44.971035999999998</v>
      </c>
      <c r="C184" s="16">
        <v>6.5486000000000004</v>
      </c>
      <c r="D184" s="21">
        <v>20875</v>
      </c>
      <c r="E184" s="16">
        <v>70.900000000000006</v>
      </c>
      <c r="F184" s="16">
        <v>7.7968000000000002</v>
      </c>
      <c r="G184" s="16">
        <v>1.565768</v>
      </c>
      <c r="H184" s="16">
        <v>110.85</v>
      </c>
      <c r="I184" s="8">
        <v>1.2791999999999999</v>
      </c>
      <c r="J184" s="16">
        <v>3.06</v>
      </c>
      <c r="K184" s="10">
        <v>3.6726999999999999</v>
      </c>
      <c r="L184" s="11">
        <v>9043</v>
      </c>
      <c r="M184" s="13">
        <v>82.08</v>
      </c>
      <c r="N184" s="10">
        <v>29.959184</v>
      </c>
      <c r="O184" s="10">
        <v>29.5</v>
      </c>
      <c r="P184" s="10">
        <v>30.6</v>
      </c>
      <c r="Q184" s="11">
        <v>9825</v>
      </c>
      <c r="R184" s="16">
        <v>0.62329999999999997</v>
      </c>
      <c r="S184" s="16">
        <v>0.71957700000000002</v>
      </c>
      <c r="T184" s="16">
        <v>43.573999999999998</v>
      </c>
      <c r="U184" s="16">
        <v>61.739905</v>
      </c>
      <c r="V184" s="16">
        <v>71.063999999999993</v>
      </c>
    </row>
    <row r="185" spans="1:22" x14ac:dyDescent="0.3">
      <c r="A185" s="22">
        <v>40575</v>
      </c>
      <c r="B185" s="16">
        <v>45.435447000000003</v>
      </c>
      <c r="C185" s="16">
        <v>6.5716000000000001</v>
      </c>
      <c r="D185" s="21">
        <v>19495</v>
      </c>
      <c r="E185" s="16">
        <v>70.599999999999994</v>
      </c>
      <c r="F185" s="16">
        <v>7.7732000000000001</v>
      </c>
      <c r="G185" s="16">
        <v>1.52494</v>
      </c>
      <c r="H185" s="16">
        <v>110.92</v>
      </c>
      <c r="I185" s="8">
        <v>1.2829999999999999</v>
      </c>
      <c r="J185" s="16">
        <v>3.0819999999999999</v>
      </c>
      <c r="K185" s="10">
        <v>3.6728000000000001</v>
      </c>
      <c r="L185" s="11">
        <v>9005</v>
      </c>
      <c r="M185" s="13">
        <v>81.17</v>
      </c>
      <c r="N185" s="10">
        <v>30.817654999999998</v>
      </c>
      <c r="O185" s="10">
        <v>30</v>
      </c>
      <c r="P185" s="10">
        <v>31.19</v>
      </c>
      <c r="Q185" s="11">
        <v>10105</v>
      </c>
      <c r="R185" s="16">
        <v>0.63629999999999998</v>
      </c>
      <c r="S185" s="16">
        <v>0.76570199999999999</v>
      </c>
      <c r="T185" s="16">
        <v>43.076000000000001</v>
      </c>
      <c r="U185" s="16">
        <v>60.077081999999997</v>
      </c>
      <c r="V185" s="16">
        <v>70.033000000000001</v>
      </c>
    </row>
    <row r="186" spans="1:22" x14ac:dyDescent="0.3">
      <c r="A186" s="22">
        <v>40544</v>
      </c>
      <c r="B186" s="16">
        <v>45.444251999999999</v>
      </c>
      <c r="C186" s="16">
        <v>6.6050000000000004</v>
      </c>
      <c r="D186" s="21">
        <v>19495</v>
      </c>
      <c r="E186" s="16">
        <v>70.45</v>
      </c>
      <c r="F186" s="16">
        <v>7.7652999999999999</v>
      </c>
      <c r="G186" s="16">
        <v>1.4440390000000001</v>
      </c>
      <c r="H186" s="16">
        <v>111.35</v>
      </c>
      <c r="I186" s="8">
        <v>1.3201000000000001</v>
      </c>
      <c r="J186" s="16">
        <v>3.165</v>
      </c>
      <c r="K186" s="10">
        <v>3.6726999999999999</v>
      </c>
      <c r="L186" s="11">
        <v>9029</v>
      </c>
      <c r="M186" s="13">
        <v>83.69</v>
      </c>
      <c r="N186" s="10">
        <v>31.744313999999999</v>
      </c>
      <c r="O186" s="10">
        <v>30.9</v>
      </c>
      <c r="P186" s="10">
        <v>32.015000000000001</v>
      </c>
      <c r="Q186" s="11">
        <v>9922.5</v>
      </c>
      <c r="R186" s="16">
        <v>0.65139999999999998</v>
      </c>
      <c r="S186" s="16">
        <v>0.77575799999999995</v>
      </c>
      <c r="T186" s="16">
        <v>41.893000000000001</v>
      </c>
      <c r="U186" s="16">
        <v>60.047474000000001</v>
      </c>
      <c r="V186" s="16">
        <v>72.254000000000005</v>
      </c>
    </row>
    <row r="187" spans="1:22" x14ac:dyDescent="0.3">
      <c r="A187" s="22">
        <v>40513</v>
      </c>
      <c r="B187" s="16">
        <v>45.119177999999998</v>
      </c>
      <c r="C187" s="16">
        <v>6.5906000000000002</v>
      </c>
      <c r="D187" s="21">
        <v>19498</v>
      </c>
      <c r="E187" s="16">
        <v>70.349999999999994</v>
      </c>
      <c r="F187" s="16">
        <v>7.7507999999999999</v>
      </c>
      <c r="G187" s="16">
        <v>1.4247860000000001</v>
      </c>
      <c r="H187" s="16">
        <v>111.6</v>
      </c>
      <c r="I187" s="8">
        <v>1.2936000000000001</v>
      </c>
      <c r="J187" s="16">
        <v>3.11</v>
      </c>
      <c r="K187" s="10">
        <v>3.6728999999999998</v>
      </c>
      <c r="L187" s="11">
        <v>8935</v>
      </c>
      <c r="M187" s="13">
        <v>80.39</v>
      </c>
      <c r="N187" s="10">
        <v>32.320723999999998</v>
      </c>
      <c r="O187" s="10">
        <v>30.45</v>
      </c>
      <c r="P187" s="10">
        <v>31.95</v>
      </c>
      <c r="Q187" s="11">
        <v>9602.5</v>
      </c>
      <c r="R187" s="16">
        <v>0.63749999999999996</v>
      </c>
      <c r="S187" s="16">
        <v>0.78345699999999996</v>
      </c>
      <c r="T187" s="16">
        <v>41.957999999999998</v>
      </c>
      <c r="U187" s="16">
        <v>59.801451999999998</v>
      </c>
      <c r="V187" s="16">
        <v>72.784000000000006</v>
      </c>
    </row>
    <row r="188" spans="1:22" x14ac:dyDescent="0.3">
      <c r="A188" s="22">
        <v>40483</v>
      </c>
      <c r="B188" s="16">
        <v>44.998573999999998</v>
      </c>
      <c r="C188" s="16">
        <v>6.6669999999999998</v>
      </c>
      <c r="D188" s="21">
        <v>19480</v>
      </c>
      <c r="E188" s="16">
        <v>70.7</v>
      </c>
      <c r="F188" s="16">
        <v>7.7598000000000003</v>
      </c>
      <c r="G188" s="16">
        <v>1.494847</v>
      </c>
      <c r="H188" s="16">
        <v>111.7</v>
      </c>
      <c r="I188" s="8">
        <v>1.3148</v>
      </c>
      <c r="J188" s="16">
        <v>3.0859999999999999</v>
      </c>
      <c r="K188" s="10">
        <v>3.6728999999999998</v>
      </c>
      <c r="L188" s="11">
        <v>8925</v>
      </c>
      <c r="M188" s="13">
        <v>83.47</v>
      </c>
      <c r="N188" s="10">
        <v>32.466329999999999</v>
      </c>
      <c r="O188" s="10">
        <v>31.85</v>
      </c>
      <c r="P188" s="10">
        <v>32.274999999999999</v>
      </c>
      <c r="Q188" s="11">
        <v>9572</v>
      </c>
      <c r="R188" s="16">
        <v>0.66900000000000004</v>
      </c>
      <c r="S188" s="16">
        <v>0.81919299999999995</v>
      </c>
      <c r="T188" s="16">
        <v>39.014000000000003</v>
      </c>
      <c r="U188" s="16">
        <v>56.842492999999997</v>
      </c>
      <c r="V188" s="16">
        <v>69.427999999999997</v>
      </c>
    </row>
    <row r="189" spans="1:22" x14ac:dyDescent="0.3">
      <c r="A189" s="22">
        <v>40452</v>
      </c>
      <c r="B189" s="16">
        <v>44.425030999999997</v>
      </c>
      <c r="C189" s="16">
        <v>6.6707000000000001</v>
      </c>
      <c r="D189" s="21">
        <v>19450</v>
      </c>
      <c r="E189" s="16">
        <v>69.2</v>
      </c>
      <c r="F189" s="16">
        <v>7.7785000000000002</v>
      </c>
      <c r="G189" s="16">
        <v>1.5112730000000001</v>
      </c>
      <c r="H189" s="16">
        <v>112.7</v>
      </c>
      <c r="I189" s="8">
        <v>1.3555999999999999</v>
      </c>
      <c r="J189" s="16">
        <v>3.149</v>
      </c>
      <c r="K189" s="10">
        <v>3.6730999999999998</v>
      </c>
      <c r="L189" s="11">
        <v>9035</v>
      </c>
      <c r="M189" s="13">
        <v>84.17</v>
      </c>
      <c r="N189" s="10">
        <v>32.402926999999998</v>
      </c>
      <c r="O189" s="10">
        <v>33.25</v>
      </c>
      <c r="P189" s="10">
        <v>31.99</v>
      </c>
      <c r="Q189" s="11">
        <v>9310</v>
      </c>
      <c r="R189" s="16">
        <v>0.68779999999999997</v>
      </c>
      <c r="S189" s="16">
        <v>0.79625299999999999</v>
      </c>
      <c r="T189" s="16">
        <v>39.25</v>
      </c>
      <c r="U189" s="16">
        <v>57.631630999999999</v>
      </c>
      <c r="V189" s="16">
        <v>67.414000000000001</v>
      </c>
    </row>
    <row r="190" spans="1:22" x14ac:dyDescent="0.3">
      <c r="A190" s="22">
        <v>40422</v>
      </c>
      <c r="B190" s="16">
        <v>45.990425999999999</v>
      </c>
      <c r="C190" s="16">
        <v>6.6917</v>
      </c>
      <c r="D190" s="21">
        <v>19490</v>
      </c>
      <c r="E190" s="16">
        <v>69.400000000000006</v>
      </c>
      <c r="F190" s="16">
        <v>7.7666000000000004</v>
      </c>
      <c r="G190" s="16">
        <v>1.5403629999999999</v>
      </c>
      <c r="H190" s="16">
        <v>112.75</v>
      </c>
      <c r="I190" s="8">
        <v>1.3602000000000001</v>
      </c>
      <c r="J190" s="16">
        <v>3.1825000000000001</v>
      </c>
      <c r="K190" s="10">
        <v>3.673</v>
      </c>
      <c r="L190" s="11">
        <v>8940</v>
      </c>
      <c r="M190" s="13">
        <v>86.47</v>
      </c>
      <c r="N190" s="10">
        <v>32.284030000000001</v>
      </c>
      <c r="O190" s="10">
        <v>31.05</v>
      </c>
      <c r="P190" s="10">
        <v>31.324999999999999</v>
      </c>
      <c r="Q190" s="11">
        <v>9193</v>
      </c>
      <c r="R190" s="16">
        <v>0.65490000000000004</v>
      </c>
      <c r="S190" s="16">
        <v>0.74600599999999995</v>
      </c>
      <c r="T190" s="16">
        <v>40.939</v>
      </c>
      <c r="U190" s="16">
        <v>59.632232000000002</v>
      </c>
      <c r="V190" s="16">
        <v>67.61</v>
      </c>
    </row>
    <row r="191" spans="1:22" x14ac:dyDescent="0.3">
      <c r="A191" s="22">
        <v>40391</v>
      </c>
      <c r="B191" s="16">
        <v>46.574164000000003</v>
      </c>
      <c r="C191" s="16">
        <v>6.8075000000000001</v>
      </c>
      <c r="D191" s="21">
        <v>19050</v>
      </c>
      <c r="E191" s="16">
        <v>69.525000000000006</v>
      </c>
      <c r="F191" s="16">
        <v>7.7881</v>
      </c>
      <c r="G191" s="16">
        <v>1.57884</v>
      </c>
      <c r="H191" s="16">
        <v>113.55</v>
      </c>
      <c r="I191" s="8">
        <v>1.3994</v>
      </c>
      <c r="J191" s="16">
        <v>3.242</v>
      </c>
      <c r="K191" s="10">
        <v>3.6728000000000001</v>
      </c>
      <c r="L191" s="11">
        <v>9060</v>
      </c>
      <c r="M191" s="13">
        <v>88.41</v>
      </c>
      <c r="N191" s="10">
        <v>32.509687999999997</v>
      </c>
      <c r="O191" s="10">
        <v>30.65</v>
      </c>
      <c r="P191" s="10">
        <v>31.79</v>
      </c>
      <c r="Q191" s="11">
        <v>9185</v>
      </c>
      <c r="R191" s="16">
        <v>0.65859999999999996</v>
      </c>
      <c r="S191" s="16">
        <v>0.73706000000000005</v>
      </c>
      <c r="T191" s="16">
        <v>41.106000000000002</v>
      </c>
      <c r="U191" s="16">
        <v>61.712099000000002</v>
      </c>
      <c r="V191" s="16">
        <v>68.061999999999998</v>
      </c>
    </row>
    <row r="192" spans="1:22" x14ac:dyDescent="0.3">
      <c r="A192" s="22">
        <v>40360</v>
      </c>
      <c r="B192" s="16">
        <v>46.838614999999997</v>
      </c>
      <c r="C192" s="16">
        <v>6.774</v>
      </c>
      <c r="D192" s="21">
        <v>19080</v>
      </c>
      <c r="E192" s="16">
        <v>69.625</v>
      </c>
      <c r="F192" s="16">
        <v>7.7864000000000004</v>
      </c>
      <c r="G192" s="16">
        <v>1.5491740000000001</v>
      </c>
      <c r="H192" s="16">
        <v>113.8</v>
      </c>
      <c r="I192" s="8">
        <v>1.3991</v>
      </c>
      <c r="J192" s="16">
        <v>3.2614999999999998</v>
      </c>
      <c r="K192" s="10">
        <v>3.673</v>
      </c>
      <c r="L192" s="11">
        <v>9175</v>
      </c>
      <c r="M192" s="13">
        <v>91.25</v>
      </c>
      <c r="N192" s="10">
        <v>33.143802999999998</v>
      </c>
      <c r="O192" s="10">
        <v>30.65</v>
      </c>
      <c r="P192" s="10">
        <v>32.130000000000003</v>
      </c>
      <c r="Q192" s="11">
        <v>9211.5</v>
      </c>
      <c r="R192" s="16">
        <v>0.65580000000000005</v>
      </c>
      <c r="S192" s="16">
        <v>0.730765</v>
      </c>
      <c r="T192" s="16">
        <v>41.268999999999998</v>
      </c>
      <c r="U192" s="16">
        <v>63.409582</v>
      </c>
      <c r="V192" s="16">
        <v>70.305000000000007</v>
      </c>
    </row>
    <row r="193" spans="1:22" x14ac:dyDescent="0.3">
      <c r="A193" s="22">
        <v>40330</v>
      </c>
      <c r="B193" s="16">
        <v>46.563110999999999</v>
      </c>
      <c r="C193" s="16">
        <v>6.7816999999999998</v>
      </c>
      <c r="D193" s="21">
        <v>18875</v>
      </c>
      <c r="E193" s="16">
        <v>69.025000000000006</v>
      </c>
      <c r="F193" s="16">
        <v>7.7641</v>
      </c>
      <c r="G193" s="16">
        <v>1.490626</v>
      </c>
      <c r="H193" s="16">
        <v>113.95</v>
      </c>
      <c r="I193" s="8">
        <v>1.3706</v>
      </c>
      <c r="J193" s="16">
        <v>3.1855000000000002</v>
      </c>
      <c r="K193" s="10">
        <v>3.6730999999999998</v>
      </c>
      <c r="L193" s="11">
        <v>9012.5</v>
      </c>
      <c r="M193" s="13">
        <v>93.83</v>
      </c>
      <c r="N193" s="10">
        <v>33.036335000000001</v>
      </c>
      <c r="O193" s="10">
        <v>29.75</v>
      </c>
      <c r="P193" s="10">
        <v>31.965</v>
      </c>
      <c r="Q193" s="11">
        <v>9105</v>
      </c>
      <c r="R193" s="16">
        <v>0.62490000000000001</v>
      </c>
      <c r="S193" s="16">
        <v>0.70077900000000004</v>
      </c>
      <c r="T193" s="16">
        <v>40.823</v>
      </c>
      <c r="U193" s="16">
        <v>65.550577000000004</v>
      </c>
      <c r="V193" s="16">
        <v>73.822999999999993</v>
      </c>
    </row>
    <row r="194" spans="1:22" x14ac:dyDescent="0.3">
      <c r="A194" s="22">
        <v>40299</v>
      </c>
      <c r="B194" s="16">
        <v>45.882964999999999</v>
      </c>
      <c r="C194" s="16">
        <v>6.8277999999999999</v>
      </c>
      <c r="D194" s="21">
        <v>18975</v>
      </c>
      <c r="E194" s="16">
        <v>69.075000000000003</v>
      </c>
      <c r="F194" s="16">
        <v>7.7645</v>
      </c>
      <c r="G194" s="16">
        <v>1.534575</v>
      </c>
      <c r="H194" s="16">
        <v>114.05</v>
      </c>
      <c r="I194" s="8">
        <v>1.3988</v>
      </c>
      <c r="J194" s="16">
        <v>3.2614999999999998</v>
      </c>
      <c r="K194" s="10">
        <v>3.673</v>
      </c>
      <c r="L194" s="11">
        <v>9090</v>
      </c>
      <c r="M194" s="13">
        <v>93.47</v>
      </c>
      <c r="N194" s="10">
        <v>33.219906999999999</v>
      </c>
      <c r="O194" s="10">
        <v>29.5</v>
      </c>
      <c r="P194" s="10">
        <v>31.99</v>
      </c>
      <c r="Q194" s="11">
        <v>9315</v>
      </c>
      <c r="R194" s="16">
        <v>0.61899999999999999</v>
      </c>
      <c r="S194" s="16">
        <v>0.68454000000000004</v>
      </c>
      <c r="T194" s="16">
        <v>41.646000000000001</v>
      </c>
      <c r="U194" s="16">
        <v>68.109367000000006</v>
      </c>
      <c r="V194" s="16">
        <v>74.983000000000004</v>
      </c>
    </row>
    <row r="195" spans="1:22" x14ac:dyDescent="0.3">
      <c r="A195" s="22">
        <v>40269</v>
      </c>
      <c r="B195" s="16">
        <v>44.482931000000001</v>
      </c>
      <c r="C195" s="16">
        <v>6.8251999999999997</v>
      </c>
      <c r="D195" s="21">
        <v>19090</v>
      </c>
      <c r="E195" s="16">
        <v>69.325000000000003</v>
      </c>
      <c r="F195" s="16">
        <v>7.7629000000000001</v>
      </c>
      <c r="G195" s="16">
        <v>1.51678</v>
      </c>
      <c r="H195" s="16">
        <v>114.625</v>
      </c>
      <c r="I195" s="8">
        <v>1.4060999999999999</v>
      </c>
      <c r="J195" s="16">
        <v>3.4028</v>
      </c>
      <c r="K195" s="10">
        <v>3.6739999999999999</v>
      </c>
      <c r="L195" s="11">
        <v>9337</v>
      </c>
      <c r="M195" s="13">
        <v>88.87</v>
      </c>
      <c r="N195" s="10">
        <v>33.280045999999999</v>
      </c>
      <c r="O195" s="10">
        <v>29.35</v>
      </c>
      <c r="P195" s="10">
        <v>32.234999999999999</v>
      </c>
      <c r="Q195" s="11">
        <v>9242.5</v>
      </c>
      <c r="R195" s="16">
        <v>0.60770000000000002</v>
      </c>
      <c r="S195" s="16">
        <v>0.67064900000000005</v>
      </c>
      <c r="T195" s="16">
        <v>42.587000000000003</v>
      </c>
      <c r="U195" s="16">
        <v>69.468213000000006</v>
      </c>
      <c r="V195" s="16">
        <v>76.563999999999993</v>
      </c>
    </row>
    <row r="196" spans="1:22" x14ac:dyDescent="0.3">
      <c r="A196" s="22">
        <v>40238</v>
      </c>
      <c r="B196" s="16">
        <v>45.481208000000002</v>
      </c>
      <c r="C196" s="16">
        <v>6.8258999999999999</v>
      </c>
      <c r="D196" s="21">
        <v>19050</v>
      </c>
      <c r="E196" s="16">
        <v>69.125</v>
      </c>
      <c r="F196" s="16">
        <v>7.7636000000000003</v>
      </c>
      <c r="G196" s="16">
        <v>1.473498</v>
      </c>
      <c r="H196" s="16">
        <v>114.65</v>
      </c>
      <c r="I196" s="8">
        <v>1.4061999999999999</v>
      </c>
      <c r="J196" s="16">
        <v>3.4148000000000001</v>
      </c>
      <c r="K196" s="10">
        <v>3.673</v>
      </c>
      <c r="L196" s="11">
        <v>9350</v>
      </c>
      <c r="M196" s="13">
        <v>90.31</v>
      </c>
      <c r="N196" s="10">
        <v>33.411647000000002</v>
      </c>
      <c r="O196" s="10">
        <v>30.25</v>
      </c>
      <c r="P196" s="10">
        <v>32.645000000000003</v>
      </c>
      <c r="Q196" s="11">
        <v>9333</v>
      </c>
      <c r="R196" s="16">
        <v>0.60819999999999996</v>
      </c>
      <c r="S196" s="16">
        <v>0.674987</v>
      </c>
      <c r="T196" s="16">
        <v>42.201999999999998</v>
      </c>
      <c r="U196" s="16">
        <v>69.185141000000002</v>
      </c>
      <c r="V196" s="16">
        <v>77.156000000000006</v>
      </c>
    </row>
    <row r="197" spans="1:22" x14ac:dyDescent="0.3">
      <c r="A197" s="22">
        <v>40210</v>
      </c>
      <c r="B197" s="16">
        <v>46.333044000000001</v>
      </c>
      <c r="C197" s="16">
        <v>6.8261000000000003</v>
      </c>
      <c r="D197" s="21">
        <v>18474</v>
      </c>
      <c r="E197" s="16">
        <v>68.974999999999994</v>
      </c>
      <c r="F197" s="16">
        <v>7.7537000000000003</v>
      </c>
      <c r="G197" s="16">
        <v>1.506505</v>
      </c>
      <c r="H197" s="16">
        <v>114.4</v>
      </c>
      <c r="I197" s="8">
        <v>1.4055</v>
      </c>
      <c r="J197" s="16">
        <v>3.4239999999999999</v>
      </c>
      <c r="K197" s="10">
        <v>3.673</v>
      </c>
      <c r="L197" s="11">
        <v>9425</v>
      </c>
      <c r="M197" s="13">
        <v>92.92</v>
      </c>
      <c r="N197" s="10">
        <v>33.816319999999997</v>
      </c>
      <c r="O197" s="10">
        <v>30.5</v>
      </c>
      <c r="P197" s="10">
        <v>31.995000000000001</v>
      </c>
      <c r="Q197" s="11">
        <v>9333</v>
      </c>
      <c r="R197" s="16">
        <v>0.62480000000000002</v>
      </c>
      <c r="S197" s="16">
        <v>0.68682699999999997</v>
      </c>
      <c r="T197" s="16">
        <v>42.180999999999997</v>
      </c>
      <c r="U197" s="16">
        <v>70.396383999999998</v>
      </c>
      <c r="V197" s="16">
        <v>76.397000000000006</v>
      </c>
    </row>
    <row r="198" spans="1:22" x14ac:dyDescent="0.3">
      <c r="A198" s="22">
        <v>40179</v>
      </c>
      <c r="B198" s="16">
        <v>45.932239000000003</v>
      </c>
      <c r="C198" s="16">
        <v>6.8269000000000002</v>
      </c>
      <c r="D198" s="21">
        <v>18474</v>
      </c>
      <c r="E198" s="16">
        <v>68.875</v>
      </c>
      <c r="F198" s="16">
        <v>7.7499000000000002</v>
      </c>
      <c r="G198" s="16">
        <v>1.4928539999999999</v>
      </c>
      <c r="H198" s="16">
        <v>114.41</v>
      </c>
      <c r="I198" s="8">
        <v>1.3845000000000001</v>
      </c>
      <c r="J198" s="16">
        <v>3.3948</v>
      </c>
      <c r="K198" s="10">
        <v>3.673</v>
      </c>
      <c r="L198" s="11">
        <v>9455</v>
      </c>
      <c r="M198" s="13">
        <v>86.36</v>
      </c>
      <c r="N198" s="10">
        <v>34.022675</v>
      </c>
      <c r="O198" s="10">
        <v>31.55</v>
      </c>
      <c r="P198" s="10">
        <v>32.909999999999997</v>
      </c>
      <c r="Q198" s="11">
        <v>9319</v>
      </c>
      <c r="R198" s="16">
        <v>0.61409999999999998</v>
      </c>
      <c r="S198" s="16">
        <v>0.70089999999999997</v>
      </c>
      <c r="T198" s="16">
        <v>41.113999999999997</v>
      </c>
      <c r="U198" s="16">
        <v>68.924898999999996</v>
      </c>
      <c r="V198" s="16">
        <v>79.248000000000005</v>
      </c>
    </row>
    <row r="199" spans="1:22" x14ac:dyDescent="0.3">
      <c r="A199" s="22">
        <v>40148</v>
      </c>
      <c r="B199" s="16">
        <v>46.609853999999999</v>
      </c>
      <c r="C199" s="16">
        <v>6.827</v>
      </c>
      <c r="D199" s="21">
        <v>18385</v>
      </c>
      <c r="E199" s="16">
        <v>68.875</v>
      </c>
      <c r="F199" s="16">
        <v>7.7500999999999998</v>
      </c>
      <c r="G199" s="16">
        <v>1.4729969999999999</v>
      </c>
      <c r="H199" s="16">
        <v>114.8</v>
      </c>
      <c r="I199" s="8">
        <v>1.4004000000000001</v>
      </c>
      <c r="J199" s="16">
        <v>3.4125000000000001</v>
      </c>
      <c r="K199" s="10">
        <v>3.673</v>
      </c>
      <c r="L199" s="11">
        <v>9550</v>
      </c>
      <c r="M199" s="13">
        <v>90.1</v>
      </c>
      <c r="N199" s="10">
        <v>34.050694</v>
      </c>
      <c r="O199" s="10">
        <v>31.7</v>
      </c>
      <c r="P199" s="10">
        <v>32.81</v>
      </c>
      <c r="Q199" s="11">
        <v>9310</v>
      </c>
      <c r="R199" s="16">
        <v>0.59809999999999997</v>
      </c>
      <c r="S199" s="16">
        <v>0.70988499999999999</v>
      </c>
      <c r="T199" s="16">
        <v>39.950000000000003</v>
      </c>
      <c r="U199" s="16">
        <v>68.202386000000004</v>
      </c>
      <c r="V199" s="16">
        <v>79.965999999999994</v>
      </c>
    </row>
    <row r="200" spans="1:22" x14ac:dyDescent="0.3">
      <c r="A200" s="22">
        <v>40118</v>
      </c>
      <c r="B200" s="16">
        <v>46.588317000000004</v>
      </c>
      <c r="C200" s="16">
        <v>6.8274999999999997</v>
      </c>
      <c r="D200" s="21">
        <v>17940</v>
      </c>
      <c r="E200" s="16">
        <v>68.875</v>
      </c>
      <c r="F200" s="16">
        <v>7.7500999999999998</v>
      </c>
      <c r="G200" s="16">
        <v>1.491053</v>
      </c>
      <c r="H200" s="16">
        <v>114.82</v>
      </c>
      <c r="I200" s="8">
        <v>1.4091</v>
      </c>
      <c r="J200" s="16">
        <v>3.4609999999999999</v>
      </c>
      <c r="K200" s="10">
        <v>3.6728999999999998</v>
      </c>
      <c r="L200" s="11">
        <v>9645</v>
      </c>
      <c r="M200" s="13">
        <v>89.77</v>
      </c>
      <c r="N200" s="10">
        <v>34.134146999999999</v>
      </c>
      <c r="O200" s="10">
        <v>32.15</v>
      </c>
      <c r="P200" s="10">
        <v>32.86</v>
      </c>
      <c r="Q200" s="11">
        <v>9317.5</v>
      </c>
      <c r="R200" s="16">
        <v>0.60709999999999997</v>
      </c>
      <c r="S200" s="16">
        <v>0.713503</v>
      </c>
      <c r="T200" s="16">
        <v>38.518000000000001</v>
      </c>
      <c r="U200" s="16">
        <v>66.915025</v>
      </c>
      <c r="V200" s="16">
        <v>78.623000000000005</v>
      </c>
    </row>
    <row r="201" spans="1:22" x14ac:dyDescent="0.3">
      <c r="A201" s="22">
        <v>40087</v>
      </c>
      <c r="B201" s="16">
        <v>46.698188999999999</v>
      </c>
      <c r="C201" s="16">
        <v>6.8274999999999997</v>
      </c>
      <c r="D201" s="21">
        <v>17840.5</v>
      </c>
      <c r="E201" s="16">
        <v>68.875</v>
      </c>
      <c r="F201" s="16">
        <v>7.7506000000000004</v>
      </c>
      <c r="G201" s="16">
        <v>1.4884010000000001</v>
      </c>
      <c r="H201" s="16">
        <v>114.7</v>
      </c>
      <c r="I201" s="8">
        <v>1.4412</v>
      </c>
      <c r="J201" s="16">
        <v>3.5215000000000001</v>
      </c>
      <c r="K201" s="10">
        <v>3.6728000000000001</v>
      </c>
      <c r="L201" s="11">
        <v>10080</v>
      </c>
      <c r="M201" s="13">
        <v>93.03</v>
      </c>
      <c r="N201" s="10">
        <v>34.611831000000002</v>
      </c>
      <c r="O201" s="10">
        <v>32.049999999999997</v>
      </c>
      <c r="P201" s="10">
        <v>32.594999999999999</v>
      </c>
      <c r="Q201" s="11">
        <v>9270</v>
      </c>
      <c r="R201" s="16">
        <v>0.6179</v>
      </c>
      <c r="S201" s="16">
        <v>0.73280500000000004</v>
      </c>
      <c r="T201" s="16">
        <v>37.752000000000002</v>
      </c>
      <c r="U201" s="16">
        <v>66.154974999999993</v>
      </c>
      <c r="V201" s="16">
        <v>76.260999999999996</v>
      </c>
    </row>
    <row r="202" spans="1:22" x14ac:dyDescent="0.3">
      <c r="A202" s="22">
        <v>40057</v>
      </c>
      <c r="B202" s="16">
        <v>48.347239000000002</v>
      </c>
      <c r="C202" s="16">
        <v>6.8265000000000002</v>
      </c>
      <c r="D202" s="21">
        <v>17819</v>
      </c>
      <c r="E202" s="16">
        <v>68.625</v>
      </c>
      <c r="F202" s="16">
        <v>7.7500999999999998</v>
      </c>
      <c r="G202" s="16">
        <v>1.517665</v>
      </c>
      <c r="H202" s="16">
        <v>114.85</v>
      </c>
      <c r="I202" s="8">
        <v>1.4384999999999999</v>
      </c>
      <c r="J202" s="16">
        <v>3.5225</v>
      </c>
      <c r="K202" s="10">
        <v>3.673</v>
      </c>
      <c r="L202" s="11">
        <v>9925</v>
      </c>
      <c r="M202" s="13">
        <v>94.68</v>
      </c>
      <c r="N202" s="10">
        <v>35.436926999999997</v>
      </c>
      <c r="O202" s="10">
        <v>33.75</v>
      </c>
      <c r="P202" s="10">
        <v>33.085000000000001</v>
      </c>
      <c r="Q202" s="11">
        <v>9275</v>
      </c>
      <c r="R202" s="16">
        <v>0.67649999999999999</v>
      </c>
      <c r="S202" s="16">
        <v>0.75823799999999997</v>
      </c>
      <c r="T202" s="16">
        <v>36.06</v>
      </c>
      <c r="U202" s="16">
        <v>66.017152999999993</v>
      </c>
      <c r="V202" s="16">
        <v>73.543000000000006</v>
      </c>
    </row>
    <row r="203" spans="1:22" x14ac:dyDescent="0.3">
      <c r="A203" s="22">
        <v>40026</v>
      </c>
      <c r="B203" s="16">
        <v>48.309133000000003</v>
      </c>
      <c r="C203" s="16">
        <v>6.8304</v>
      </c>
      <c r="D203" s="21">
        <v>17813.5</v>
      </c>
      <c r="E203" s="16">
        <v>68.875</v>
      </c>
      <c r="F203" s="16">
        <v>7.7500999999999998</v>
      </c>
      <c r="G203" s="16">
        <v>1.546481</v>
      </c>
      <c r="H203" s="16">
        <v>114.92</v>
      </c>
      <c r="I203" s="8">
        <v>1.4476</v>
      </c>
      <c r="J203" s="16">
        <v>3.5150000000000001</v>
      </c>
      <c r="K203" s="10">
        <v>3.6732</v>
      </c>
      <c r="L203" s="11">
        <v>10207.5</v>
      </c>
      <c r="M203" s="13">
        <v>96.33</v>
      </c>
      <c r="N203" s="10">
        <v>35.770805000000003</v>
      </c>
      <c r="O203" s="10">
        <v>33.299999999999997</v>
      </c>
      <c r="P203" s="10">
        <v>33.935000000000002</v>
      </c>
      <c r="Q203" s="11">
        <v>9256</v>
      </c>
      <c r="R203" s="16">
        <v>0.69820000000000004</v>
      </c>
      <c r="S203" s="16">
        <v>0.76696299999999995</v>
      </c>
      <c r="T203" s="16">
        <v>35.002000000000002</v>
      </c>
      <c r="U203" s="16">
        <v>66.813436999999993</v>
      </c>
      <c r="V203" s="16">
        <v>72.444000000000003</v>
      </c>
    </row>
    <row r="204" spans="1:22" x14ac:dyDescent="0.3">
      <c r="A204" s="22">
        <v>39995</v>
      </c>
      <c r="B204" s="16">
        <v>48.414015999999997</v>
      </c>
      <c r="C204" s="16">
        <v>6.8320999999999996</v>
      </c>
      <c r="D204" s="21">
        <v>17773</v>
      </c>
      <c r="E204" s="16">
        <v>68.875</v>
      </c>
      <c r="F204" s="16">
        <v>7.7519999999999998</v>
      </c>
      <c r="G204" s="16">
        <v>1.556924</v>
      </c>
      <c r="H204" s="16">
        <v>114.9</v>
      </c>
      <c r="I204" s="8">
        <v>1.4441999999999999</v>
      </c>
      <c r="J204" s="16">
        <v>3.4874999999999998</v>
      </c>
      <c r="K204" s="10">
        <v>3.6732</v>
      </c>
      <c r="L204" s="11">
        <v>10290</v>
      </c>
      <c r="M204" s="13">
        <v>95.32</v>
      </c>
      <c r="N204" s="10">
        <v>35.322121000000003</v>
      </c>
      <c r="O204" s="10">
        <v>34.25</v>
      </c>
      <c r="P204" s="10">
        <v>34.994999999999997</v>
      </c>
      <c r="Q204" s="11">
        <v>9231</v>
      </c>
      <c r="R204" s="16">
        <v>0.69879999999999998</v>
      </c>
      <c r="S204" s="16">
        <v>0.78224300000000002</v>
      </c>
      <c r="T204" s="16">
        <v>32.636000000000003</v>
      </c>
      <c r="U204" s="16">
        <v>63.029454999999999</v>
      </c>
      <c r="V204" s="16">
        <v>72.989999999999995</v>
      </c>
    </row>
    <row r="205" spans="1:22" x14ac:dyDescent="0.3">
      <c r="A205" s="22">
        <v>39965</v>
      </c>
      <c r="B205" s="16">
        <v>47.743065000000001</v>
      </c>
      <c r="C205" s="16">
        <v>6.8304999999999998</v>
      </c>
      <c r="D205" s="21">
        <v>17775</v>
      </c>
      <c r="E205" s="16">
        <v>68.875</v>
      </c>
      <c r="F205" s="16">
        <v>7.7500999999999998</v>
      </c>
      <c r="G205" s="16">
        <v>1.613316</v>
      </c>
      <c r="H205" s="16">
        <v>120.1</v>
      </c>
      <c r="I205" s="8">
        <v>1.4810000000000001</v>
      </c>
      <c r="J205" s="16">
        <v>3.56</v>
      </c>
      <c r="K205" s="10">
        <v>3.673</v>
      </c>
      <c r="L205" s="11">
        <v>10585</v>
      </c>
      <c r="M205" s="13">
        <v>98.56</v>
      </c>
      <c r="N205" s="10">
        <v>34.911681999999999</v>
      </c>
      <c r="O205" s="10">
        <v>32.950000000000003</v>
      </c>
      <c r="P205" s="10">
        <v>33.75</v>
      </c>
      <c r="Q205" s="11">
        <v>9245</v>
      </c>
      <c r="R205" s="16">
        <v>0.68889999999999996</v>
      </c>
      <c r="S205" s="16">
        <v>0.75572399999999995</v>
      </c>
      <c r="T205" s="16">
        <v>31.024000000000001</v>
      </c>
      <c r="U205" s="16">
        <v>64.474040000000002</v>
      </c>
      <c r="V205" s="16">
        <v>70.912999999999997</v>
      </c>
    </row>
    <row r="206" spans="1:22" x14ac:dyDescent="0.3">
      <c r="A206" s="22">
        <v>39934</v>
      </c>
      <c r="B206" s="16">
        <v>48.477646999999997</v>
      </c>
      <c r="C206" s="16">
        <v>6.8282999999999996</v>
      </c>
      <c r="D206" s="21">
        <v>17783</v>
      </c>
      <c r="E206" s="16">
        <v>68.875</v>
      </c>
      <c r="F206" s="16">
        <v>7.7504</v>
      </c>
      <c r="G206" s="16">
        <v>1.712971</v>
      </c>
      <c r="H206" s="16">
        <v>115.8</v>
      </c>
      <c r="I206" s="8">
        <v>1.5225</v>
      </c>
      <c r="J206" s="16">
        <v>3.6455000000000002</v>
      </c>
      <c r="K206" s="10">
        <v>3.673</v>
      </c>
      <c r="L206" s="11">
        <v>11555</v>
      </c>
      <c r="M206" s="13">
        <v>98.86</v>
      </c>
      <c r="N206" s="10">
        <v>35.045721</v>
      </c>
      <c r="O206" s="10">
        <v>31.75</v>
      </c>
      <c r="P206" s="10">
        <v>32.774999999999999</v>
      </c>
      <c r="Q206" s="11">
        <v>9240</v>
      </c>
      <c r="R206" s="16">
        <v>0.68430000000000002</v>
      </c>
      <c r="S206" s="16">
        <v>0.745201</v>
      </c>
      <c r="T206" s="16">
        <v>34.401000000000003</v>
      </c>
      <c r="U206" s="16">
        <v>65.293103000000002</v>
      </c>
      <c r="V206" s="16">
        <v>71.058000000000007</v>
      </c>
    </row>
    <row r="207" spans="1:22" x14ac:dyDescent="0.3">
      <c r="A207" s="22">
        <v>39904</v>
      </c>
      <c r="B207" s="16">
        <v>50.050842000000003</v>
      </c>
      <c r="C207" s="16">
        <v>6.8185000000000002</v>
      </c>
      <c r="D207" s="21">
        <v>17786</v>
      </c>
      <c r="E207" s="16">
        <v>68.875</v>
      </c>
      <c r="F207" s="16">
        <v>7.7549999999999999</v>
      </c>
      <c r="G207" s="16">
        <v>1.6647270000000001</v>
      </c>
      <c r="H207" s="16">
        <v>114.23</v>
      </c>
      <c r="I207" s="8">
        <v>1.5481</v>
      </c>
      <c r="J207" s="16">
        <v>3.7075</v>
      </c>
      <c r="K207" s="10">
        <v>3.673</v>
      </c>
      <c r="L207" s="11">
        <v>11980</v>
      </c>
      <c r="M207" s="13">
        <v>97.55</v>
      </c>
      <c r="N207" s="10">
        <v>35.089812999999999</v>
      </c>
      <c r="O207" s="10">
        <v>31.85</v>
      </c>
      <c r="P207" s="10">
        <v>33.295000000000002</v>
      </c>
      <c r="Q207" s="11">
        <v>9231</v>
      </c>
      <c r="R207" s="16">
        <v>0.64990000000000003</v>
      </c>
      <c r="S207" s="16">
        <v>0.78548600000000002</v>
      </c>
      <c r="T207" s="16">
        <v>32.429000000000002</v>
      </c>
      <c r="U207" s="16">
        <v>62.241790999999999</v>
      </c>
      <c r="V207" s="16">
        <v>76.299000000000007</v>
      </c>
    </row>
    <row r="208" spans="1:22" x14ac:dyDescent="0.3">
      <c r="A208" s="22">
        <v>39873</v>
      </c>
      <c r="B208" s="16">
        <v>51.214615000000002</v>
      </c>
      <c r="C208" s="16">
        <v>6.8334000000000001</v>
      </c>
      <c r="D208" s="21">
        <v>17480.5</v>
      </c>
      <c r="E208" s="16">
        <v>68.424999999999997</v>
      </c>
      <c r="F208" s="16">
        <v>7.7538</v>
      </c>
      <c r="G208" s="16">
        <v>1.6048290000000001</v>
      </c>
      <c r="H208" s="16">
        <v>113.92</v>
      </c>
      <c r="I208" s="8">
        <v>1.5089999999999999</v>
      </c>
      <c r="J208" s="16">
        <v>3.6074999999999999</v>
      </c>
      <c r="K208" s="10">
        <v>3.6732</v>
      </c>
      <c r="L208" s="11">
        <v>11380</v>
      </c>
      <c r="M208" s="13">
        <v>89.99</v>
      </c>
      <c r="N208" s="10">
        <v>34.442222000000001</v>
      </c>
      <c r="O208" s="10">
        <v>31.4</v>
      </c>
      <c r="P208" s="10">
        <v>32.984999999999999</v>
      </c>
      <c r="Q208" s="11">
        <v>9230</v>
      </c>
      <c r="R208" s="16">
        <v>0.62229999999999996</v>
      </c>
      <c r="S208" s="16">
        <v>0.75162099999999998</v>
      </c>
      <c r="T208" s="16">
        <v>32.941000000000003</v>
      </c>
      <c r="U208" s="16">
        <v>64.730374999999995</v>
      </c>
      <c r="V208" s="16">
        <v>79.266999999999996</v>
      </c>
    </row>
    <row r="209" spans="1:22" x14ac:dyDescent="0.3">
      <c r="A209" s="22">
        <v>39845</v>
      </c>
      <c r="B209" s="16">
        <v>49.304690999999998</v>
      </c>
      <c r="C209" s="16">
        <v>6.8395999999999999</v>
      </c>
      <c r="D209" s="21">
        <v>17484.5</v>
      </c>
      <c r="E209" s="16">
        <v>68.775000000000006</v>
      </c>
      <c r="F209" s="16">
        <v>7.7503000000000002</v>
      </c>
      <c r="G209" s="16">
        <v>1.5547550000000001</v>
      </c>
      <c r="H209" s="16">
        <v>113</v>
      </c>
      <c r="I209" s="8">
        <v>1.4325000000000001</v>
      </c>
      <c r="J209" s="16">
        <v>3.4525000000000001</v>
      </c>
      <c r="K209" s="10">
        <v>3.6732</v>
      </c>
      <c r="L209" s="11">
        <v>10900</v>
      </c>
      <c r="M209" s="13">
        <v>90.61</v>
      </c>
      <c r="N209" s="10">
        <v>34.287401000000003</v>
      </c>
      <c r="O209" s="10">
        <v>28.625</v>
      </c>
      <c r="P209" s="10">
        <v>32.284999999999997</v>
      </c>
      <c r="Q209" s="11">
        <v>9229</v>
      </c>
      <c r="R209" s="16">
        <v>0.56089999999999995</v>
      </c>
      <c r="S209" s="16">
        <v>0.69609100000000002</v>
      </c>
      <c r="T209" s="16">
        <v>37.192</v>
      </c>
      <c r="U209" s="16">
        <v>65.443601000000001</v>
      </c>
      <c r="V209" s="16">
        <v>83.495000000000005</v>
      </c>
    </row>
    <row r="210" spans="1:22" x14ac:dyDescent="0.3">
      <c r="A210" s="22">
        <v>39814</v>
      </c>
      <c r="B210" s="16">
        <v>48.705545000000001</v>
      </c>
      <c r="C210" s="16">
        <v>6.835</v>
      </c>
      <c r="D210" s="21">
        <v>17483</v>
      </c>
      <c r="E210" s="16">
        <v>69.025000000000006</v>
      </c>
      <c r="F210" s="16">
        <v>7.7503000000000002</v>
      </c>
      <c r="G210" s="16">
        <v>1.5981529999999999</v>
      </c>
      <c r="H210" s="16">
        <v>110.05</v>
      </c>
      <c r="I210" s="8">
        <v>1.5130999999999999</v>
      </c>
      <c r="J210" s="16">
        <v>3.6234999999999999</v>
      </c>
      <c r="K210" s="10">
        <v>3.673</v>
      </c>
      <c r="L210" s="11">
        <v>12025</v>
      </c>
      <c r="M210" s="13">
        <v>95.5</v>
      </c>
      <c r="N210" s="10">
        <v>33.857787000000002</v>
      </c>
      <c r="O210" s="10">
        <v>28.2</v>
      </c>
      <c r="P210" s="10">
        <v>31.555</v>
      </c>
      <c r="Q210" s="11">
        <v>9221</v>
      </c>
      <c r="R210" s="16">
        <v>0.54910000000000003</v>
      </c>
      <c r="S210" s="16">
        <v>0.66806299999999996</v>
      </c>
      <c r="T210" s="16">
        <v>37.651000000000003</v>
      </c>
      <c r="U210" s="16">
        <v>64.343205999999995</v>
      </c>
      <c r="V210" s="16">
        <v>79.903000000000006</v>
      </c>
    </row>
    <row r="211" spans="1:22" x14ac:dyDescent="0.3">
      <c r="A211" s="22">
        <v>39783</v>
      </c>
      <c r="B211" s="16">
        <v>48.581693999999999</v>
      </c>
      <c r="C211" s="16">
        <v>6.8230000000000004</v>
      </c>
      <c r="D211" s="21">
        <v>16972</v>
      </c>
      <c r="E211" s="16">
        <v>68.325000000000003</v>
      </c>
      <c r="F211" s="16">
        <v>7.75</v>
      </c>
      <c r="G211" s="16">
        <v>1.476343</v>
      </c>
      <c r="H211" s="16">
        <v>110.25</v>
      </c>
      <c r="I211" s="8">
        <v>1.4824999999999999</v>
      </c>
      <c r="J211" s="16">
        <v>3.5510000000000002</v>
      </c>
      <c r="K211" s="10">
        <v>3.6732</v>
      </c>
      <c r="L211" s="11">
        <v>10900</v>
      </c>
      <c r="M211" s="13">
        <v>98.47</v>
      </c>
      <c r="N211" s="10">
        <v>33.495317</v>
      </c>
      <c r="O211" s="10">
        <v>26.625</v>
      </c>
      <c r="P211" s="10">
        <v>30.631</v>
      </c>
      <c r="Q211" s="11">
        <v>9220</v>
      </c>
      <c r="R211" s="16">
        <v>0.50409999999999999</v>
      </c>
      <c r="S211" s="16">
        <v>0.634154</v>
      </c>
      <c r="T211" s="16">
        <v>40.012999999999998</v>
      </c>
      <c r="U211" s="16">
        <v>67.483637000000002</v>
      </c>
      <c r="V211" s="16">
        <v>84.272999999999996</v>
      </c>
    </row>
    <row r="212" spans="1:22" x14ac:dyDescent="0.3">
      <c r="A212" s="22">
        <v>39753</v>
      </c>
      <c r="B212" s="16">
        <v>48.889612</v>
      </c>
      <c r="C212" s="16">
        <v>6.8258999999999999</v>
      </c>
      <c r="D212" s="21">
        <v>16900</v>
      </c>
      <c r="E212" s="16">
        <v>68.33</v>
      </c>
      <c r="F212" s="16">
        <v>7.7663000000000002</v>
      </c>
      <c r="G212" s="16">
        <v>1.2418469999999999</v>
      </c>
      <c r="H212" s="16">
        <v>108.15</v>
      </c>
      <c r="I212" s="8">
        <v>1.4345000000000001</v>
      </c>
      <c r="J212" s="16">
        <v>3.4424999999999999</v>
      </c>
      <c r="K212" s="10">
        <v>3.6732</v>
      </c>
      <c r="L212" s="11">
        <v>9415</v>
      </c>
      <c r="M212" s="13">
        <v>106.03</v>
      </c>
      <c r="N212" s="10">
        <v>33.207765000000002</v>
      </c>
      <c r="O212" s="10">
        <v>27.1</v>
      </c>
      <c r="P212" s="10">
        <v>30.353000000000002</v>
      </c>
      <c r="Q212" s="11">
        <v>9189</v>
      </c>
      <c r="R212" s="16">
        <v>0.50180000000000002</v>
      </c>
      <c r="S212" s="16">
        <v>0.64300999999999997</v>
      </c>
      <c r="T212" s="16">
        <v>41.128999999999998</v>
      </c>
      <c r="U212" s="16">
        <v>66.560494000000006</v>
      </c>
      <c r="V212" s="16">
        <v>85.546999999999997</v>
      </c>
    </row>
    <row r="213" spans="1:22" x14ac:dyDescent="0.3">
      <c r="A213" s="22">
        <v>39722</v>
      </c>
      <c r="B213" s="16">
        <v>48.623386000000004</v>
      </c>
      <c r="C213" s="16">
        <v>6.8395000000000001</v>
      </c>
      <c r="D213" s="21">
        <v>16600</v>
      </c>
      <c r="E213" s="16">
        <v>68.575000000000003</v>
      </c>
      <c r="F213" s="16">
        <v>7.8056999999999999</v>
      </c>
      <c r="G213" s="16">
        <v>1.1801219999999999</v>
      </c>
      <c r="H213" s="16">
        <v>107.87</v>
      </c>
      <c r="I213" s="8">
        <v>1.4158999999999999</v>
      </c>
      <c r="J213" s="16">
        <v>3.3935</v>
      </c>
      <c r="K213" s="10">
        <v>3.6728000000000001</v>
      </c>
      <c r="L213" s="11">
        <v>9150</v>
      </c>
      <c r="M213" s="13">
        <v>108.81</v>
      </c>
      <c r="N213" s="10">
        <v>32.102791000000003</v>
      </c>
      <c r="O213" s="10">
        <v>27.704999999999998</v>
      </c>
      <c r="P213" s="10">
        <v>30.413</v>
      </c>
      <c r="Q213" s="11">
        <v>9172</v>
      </c>
      <c r="R213" s="16">
        <v>0.50439999999999996</v>
      </c>
      <c r="S213" s="16">
        <v>0.64284200000000002</v>
      </c>
      <c r="T213" s="16">
        <v>40.301000000000002</v>
      </c>
      <c r="U213" s="16">
        <v>65.615252999999996</v>
      </c>
      <c r="V213" s="16">
        <v>83.575999999999993</v>
      </c>
    </row>
    <row r="214" spans="1:22" x14ac:dyDescent="0.3">
      <c r="A214" s="22">
        <v>39692</v>
      </c>
      <c r="B214" s="16">
        <v>45.543497000000002</v>
      </c>
      <c r="C214" s="16">
        <v>6.8451000000000004</v>
      </c>
      <c r="D214" s="21">
        <v>16525</v>
      </c>
      <c r="E214" s="16">
        <v>68.525000000000006</v>
      </c>
      <c r="F214" s="16">
        <v>7.8018999999999998</v>
      </c>
      <c r="G214" s="16">
        <v>1.2129570000000001</v>
      </c>
      <c r="H214" s="16">
        <v>107.6</v>
      </c>
      <c r="I214" s="8">
        <v>1.3673999999999999</v>
      </c>
      <c r="J214" s="16">
        <v>3.2559999999999998</v>
      </c>
      <c r="K214" s="10">
        <v>3.6728000000000001</v>
      </c>
      <c r="L214" s="11">
        <v>9095</v>
      </c>
      <c r="M214" s="13">
        <v>107.83</v>
      </c>
      <c r="N214" s="10">
        <v>31.588106</v>
      </c>
      <c r="O214" s="10">
        <v>26</v>
      </c>
      <c r="P214" s="10">
        <v>30.417999999999999</v>
      </c>
      <c r="Q214" s="11">
        <v>9165</v>
      </c>
      <c r="R214" s="16">
        <v>0.50329999999999997</v>
      </c>
      <c r="S214" s="16">
        <v>0.63494399999999995</v>
      </c>
      <c r="T214" s="16">
        <v>38.136000000000003</v>
      </c>
      <c r="U214" s="16">
        <v>62.996445999999999</v>
      </c>
      <c r="V214" s="16">
        <v>80.376000000000005</v>
      </c>
    </row>
    <row r="215" spans="1:22" x14ac:dyDescent="0.3">
      <c r="A215" s="22">
        <v>39661</v>
      </c>
      <c r="B215" s="16">
        <v>42.977148999999997</v>
      </c>
      <c r="C215" s="16">
        <v>6.8487</v>
      </c>
      <c r="D215" s="21">
        <v>16765</v>
      </c>
      <c r="E215" s="16">
        <v>68.575000000000003</v>
      </c>
      <c r="F215" s="16">
        <v>7.7984999999999998</v>
      </c>
      <c r="G215" s="16">
        <v>1.2349619999999999</v>
      </c>
      <c r="H215" s="16">
        <v>107.7</v>
      </c>
      <c r="I215" s="8">
        <v>1.36</v>
      </c>
      <c r="J215" s="16">
        <v>3.2675000000000001</v>
      </c>
      <c r="K215" s="10">
        <v>3.6726000000000001</v>
      </c>
      <c r="L215" s="11">
        <v>9220</v>
      </c>
      <c r="M215" s="13">
        <v>106.11</v>
      </c>
      <c r="N215" s="10">
        <v>31.462160000000001</v>
      </c>
      <c r="O215" s="10">
        <v>26.35</v>
      </c>
      <c r="P215" s="10">
        <v>30.387</v>
      </c>
      <c r="Q215" s="11">
        <v>9155</v>
      </c>
      <c r="R215" s="16">
        <v>0.50419999999999998</v>
      </c>
      <c r="S215" s="16">
        <v>0.64417899999999995</v>
      </c>
      <c r="T215" s="16">
        <v>36.558999999999997</v>
      </c>
      <c r="U215" s="16">
        <v>62.566566999999999</v>
      </c>
      <c r="V215" s="16">
        <v>79.373999999999995</v>
      </c>
    </row>
    <row r="216" spans="1:22" x14ac:dyDescent="0.3">
      <c r="A216" s="22">
        <v>39630</v>
      </c>
      <c r="B216" s="16">
        <v>42.792571000000002</v>
      </c>
      <c r="C216" s="16">
        <v>6.8315000000000001</v>
      </c>
      <c r="D216" s="21">
        <v>16842</v>
      </c>
      <c r="E216" s="16">
        <v>68.575000000000003</v>
      </c>
      <c r="F216" s="16">
        <v>7.8041</v>
      </c>
      <c r="G216" s="16">
        <v>1.2476020000000001</v>
      </c>
      <c r="H216" s="16">
        <v>107.88500000000001</v>
      </c>
      <c r="I216" s="8">
        <v>1.3622000000000001</v>
      </c>
      <c r="J216" s="16">
        <v>3.24</v>
      </c>
      <c r="K216" s="10">
        <v>3.6724999999999999</v>
      </c>
      <c r="L216" s="11">
        <v>9315</v>
      </c>
      <c r="M216" s="13">
        <v>105.52</v>
      </c>
      <c r="N216" s="10">
        <v>31.254071</v>
      </c>
      <c r="O216" s="10">
        <v>27.5</v>
      </c>
      <c r="P216" s="10">
        <v>30.914999999999999</v>
      </c>
      <c r="Q216" s="11">
        <v>9143</v>
      </c>
      <c r="R216" s="16">
        <v>0.50329999999999997</v>
      </c>
      <c r="S216" s="16">
        <v>0.67814600000000003</v>
      </c>
      <c r="T216" s="16">
        <v>37.173999999999999</v>
      </c>
      <c r="U216" s="16">
        <v>58.541708</v>
      </c>
      <c r="V216" s="16">
        <v>79.319000000000003</v>
      </c>
    </row>
    <row r="217" spans="1:22" x14ac:dyDescent="0.3">
      <c r="A217" s="22">
        <v>39600</v>
      </c>
      <c r="B217" s="16">
        <v>42.796739000000002</v>
      </c>
      <c r="C217" s="16">
        <v>6.8544</v>
      </c>
      <c r="D217" s="21">
        <v>16246</v>
      </c>
      <c r="E217" s="16">
        <v>68.674999999999997</v>
      </c>
      <c r="F217" s="16">
        <v>7.7934999999999999</v>
      </c>
      <c r="G217" s="16">
        <v>1.3014399999999999</v>
      </c>
      <c r="H217" s="16">
        <v>107.875</v>
      </c>
      <c r="I217" s="8">
        <v>1.3564000000000001</v>
      </c>
      <c r="J217" s="16">
        <v>3.1589999999999998</v>
      </c>
      <c r="K217" s="10">
        <v>3.6709999999999998</v>
      </c>
      <c r="L217" s="11">
        <v>9222</v>
      </c>
      <c r="M217" s="13">
        <v>103.94</v>
      </c>
      <c r="N217" s="10">
        <v>30.411498000000002</v>
      </c>
      <c r="O217" s="10">
        <v>28.2</v>
      </c>
      <c r="P217" s="10">
        <v>32.164999999999999</v>
      </c>
      <c r="Q217" s="11">
        <v>9135</v>
      </c>
      <c r="R217" s="16">
        <v>0.503</v>
      </c>
      <c r="S217" s="16">
        <v>0.67947999999999997</v>
      </c>
      <c r="T217" s="16">
        <v>35.204999999999998</v>
      </c>
      <c r="U217" s="16">
        <v>57.775359999999999</v>
      </c>
      <c r="V217" s="16">
        <v>78.105999999999995</v>
      </c>
    </row>
    <row r="218" spans="1:22" x14ac:dyDescent="0.3">
      <c r="A218" s="22">
        <v>39569</v>
      </c>
      <c r="B218" s="16">
        <v>42.173889000000003</v>
      </c>
      <c r="C218" s="16">
        <v>6.9424999999999999</v>
      </c>
      <c r="D218" s="21">
        <v>16122</v>
      </c>
      <c r="E218" s="16">
        <v>68.625</v>
      </c>
      <c r="F218" s="16">
        <v>7.7827000000000002</v>
      </c>
      <c r="G218" s="16">
        <v>1.243355</v>
      </c>
      <c r="H218" s="16">
        <v>107.8</v>
      </c>
      <c r="I218" s="8">
        <v>1.3769</v>
      </c>
      <c r="J218" s="16">
        <v>3.1985000000000001</v>
      </c>
      <c r="K218" s="10">
        <v>3.6724999999999999</v>
      </c>
      <c r="L218" s="11">
        <v>9215</v>
      </c>
      <c r="M218" s="13">
        <v>99.83</v>
      </c>
      <c r="N218" s="10">
        <v>30.30378</v>
      </c>
      <c r="O218" s="10">
        <v>27.6</v>
      </c>
      <c r="P218" s="10">
        <v>32.43</v>
      </c>
      <c r="Q218" s="11">
        <v>9130</v>
      </c>
      <c r="R218" s="16">
        <v>0.50390000000000001</v>
      </c>
      <c r="S218" s="16">
        <v>0.686388</v>
      </c>
      <c r="T218" s="16">
        <v>34.517000000000003</v>
      </c>
      <c r="U218" s="16">
        <v>57.338993000000002</v>
      </c>
      <c r="V218" s="16">
        <v>78.239000000000004</v>
      </c>
    </row>
    <row r="219" spans="1:22" x14ac:dyDescent="0.3">
      <c r="A219" s="22">
        <v>39539</v>
      </c>
      <c r="B219" s="16">
        <v>39.997621000000002</v>
      </c>
      <c r="C219" s="16">
        <v>6.9885000000000002</v>
      </c>
      <c r="D219" s="21">
        <v>16110</v>
      </c>
      <c r="E219" s="16">
        <v>68.674999999999997</v>
      </c>
      <c r="F219" s="16">
        <v>7.7808000000000002</v>
      </c>
      <c r="G219" s="16">
        <v>1.195603</v>
      </c>
      <c r="H219" s="16">
        <v>107.85</v>
      </c>
      <c r="I219" s="8">
        <v>1.3952</v>
      </c>
      <c r="J219" s="16">
        <v>3.1945000000000001</v>
      </c>
      <c r="K219" s="10">
        <v>3.6556999999999999</v>
      </c>
      <c r="L219" s="11">
        <v>9065</v>
      </c>
      <c r="M219" s="13">
        <v>103.87</v>
      </c>
      <c r="N219" s="10">
        <v>31.410345</v>
      </c>
      <c r="O219" s="10">
        <v>29.55</v>
      </c>
      <c r="P219" s="10">
        <v>32.274999999999999</v>
      </c>
      <c r="Q219" s="11">
        <v>9117.5</v>
      </c>
      <c r="R219" s="16">
        <v>0.48630000000000001</v>
      </c>
      <c r="S219" s="16">
        <v>0.68107799999999996</v>
      </c>
      <c r="T219" s="16">
        <v>34.924999999999997</v>
      </c>
      <c r="U219" s="16">
        <v>57.926957999999999</v>
      </c>
      <c r="V219" s="16">
        <v>81.278999999999996</v>
      </c>
    </row>
    <row r="220" spans="1:22" x14ac:dyDescent="0.3">
      <c r="A220" s="22">
        <v>39508</v>
      </c>
      <c r="B220" s="16">
        <v>40.297643999999998</v>
      </c>
      <c r="C220" s="16">
        <v>7.0124000000000004</v>
      </c>
      <c r="D220" s="21">
        <v>15930.5</v>
      </c>
      <c r="E220" s="16">
        <v>68.674999999999997</v>
      </c>
      <c r="F220" s="16">
        <v>7.7976000000000001</v>
      </c>
      <c r="G220" s="16">
        <v>1.1770609999999999</v>
      </c>
      <c r="H220" s="16">
        <v>107.84</v>
      </c>
      <c r="I220" s="8">
        <v>1.4167000000000001</v>
      </c>
      <c r="J220" s="16">
        <v>3.2355</v>
      </c>
      <c r="K220" s="10">
        <v>3.6720999999999999</v>
      </c>
      <c r="L220" s="11">
        <v>9246.5</v>
      </c>
      <c r="M220" s="13">
        <v>106.36</v>
      </c>
      <c r="N220" s="10">
        <v>31.556919000000001</v>
      </c>
      <c r="O220" s="10">
        <v>30.15</v>
      </c>
      <c r="P220" s="10">
        <v>32.395000000000003</v>
      </c>
      <c r="Q220" s="11">
        <v>9092</v>
      </c>
      <c r="R220" s="16">
        <v>0.48039999999999999</v>
      </c>
      <c r="S220" s="16">
        <v>0.70290300000000006</v>
      </c>
      <c r="T220" s="16">
        <v>36.555</v>
      </c>
      <c r="U220" s="16">
        <v>56.136330999999998</v>
      </c>
      <c r="V220" s="16">
        <v>81.593999999999994</v>
      </c>
    </row>
    <row r="221" spans="1:22" x14ac:dyDescent="0.3">
      <c r="A221" s="22">
        <v>39479</v>
      </c>
      <c r="B221" s="16">
        <v>39.692751999999999</v>
      </c>
      <c r="C221" s="16">
        <v>7.1119000000000003</v>
      </c>
      <c r="D221" s="21">
        <v>15970</v>
      </c>
      <c r="E221" s="16">
        <v>68.625</v>
      </c>
      <c r="F221" s="16">
        <v>7.7984999999999998</v>
      </c>
      <c r="G221" s="16">
        <v>1.180213</v>
      </c>
      <c r="H221" s="16">
        <v>108.65</v>
      </c>
      <c r="I221" s="8">
        <v>1.4414</v>
      </c>
      <c r="J221" s="16">
        <v>3.3069999999999999</v>
      </c>
      <c r="K221" s="10">
        <v>3.6713</v>
      </c>
      <c r="L221" s="11">
        <v>9392.5</v>
      </c>
      <c r="M221" s="13">
        <v>111.36</v>
      </c>
      <c r="N221" s="10">
        <v>32.076779999999999</v>
      </c>
      <c r="O221" s="10">
        <v>30.5</v>
      </c>
      <c r="P221" s="10">
        <v>32.634999999999998</v>
      </c>
      <c r="Q221" s="11">
        <v>9070</v>
      </c>
      <c r="R221" s="16">
        <v>0.48849999999999999</v>
      </c>
      <c r="S221" s="16">
        <v>0.71974400000000005</v>
      </c>
      <c r="T221" s="16">
        <v>35.192</v>
      </c>
      <c r="U221" s="16">
        <v>55.787954999999997</v>
      </c>
      <c r="V221" s="16">
        <v>81.177999999999997</v>
      </c>
    </row>
    <row r="222" spans="1:22" x14ac:dyDescent="0.3">
      <c r="A222" s="22">
        <v>39448</v>
      </c>
      <c r="B222" s="16">
        <v>39.255623999999997</v>
      </c>
      <c r="C222" s="16">
        <v>7.1821999999999999</v>
      </c>
      <c r="D222" s="21">
        <v>16028</v>
      </c>
      <c r="E222" s="16">
        <v>68.375</v>
      </c>
      <c r="F222" s="16">
        <v>7.7859999999999996</v>
      </c>
      <c r="G222" s="16">
        <v>1.1916199999999999</v>
      </c>
      <c r="H222" s="16">
        <v>110.47499999999999</v>
      </c>
      <c r="I222" s="8">
        <v>1.4479</v>
      </c>
      <c r="J222" s="16">
        <v>3.3645</v>
      </c>
      <c r="K222" s="10">
        <v>3.673</v>
      </c>
      <c r="L222" s="11">
        <v>9370</v>
      </c>
      <c r="M222" s="13">
        <v>111.19</v>
      </c>
      <c r="N222" s="10">
        <v>31.819423</v>
      </c>
      <c r="O222" s="10">
        <v>31.3</v>
      </c>
      <c r="P222" s="10">
        <v>33</v>
      </c>
      <c r="Q222" s="11">
        <v>9050</v>
      </c>
      <c r="R222" s="16">
        <v>0.49609999999999999</v>
      </c>
      <c r="S222" s="16">
        <v>0.73412900000000003</v>
      </c>
      <c r="T222" s="16">
        <v>33.232999999999997</v>
      </c>
      <c r="U222" s="16">
        <v>55.439228</v>
      </c>
      <c r="V222" s="16">
        <v>81.962999999999994</v>
      </c>
    </row>
    <row r="223" spans="1:22" x14ac:dyDescent="0.3">
      <c r="A223" s="22">
        <v>39417</v>
      </c>
      <c r="B223" s="16">
        <v>39.353377000000002</v>
      </c>
      <c r="C223" s="16">
        <v>7.3041</v>
      </c>
      <c r="D223" s="21">
        <v>16040</v>
      </c>
      <c r="E223" s="16">
        <v>68.394999999999996</v>
      </c>
      <c r="F223" s="16">
        <v>7.7504</v>
      </c>
      <c r="G223" s="16">
        <v>1.2011309999999999</v>
      </c>
      <c r="H223" s="16">
        <v>110.95</v>
      </c>
      <c r="I223" s="8">
        <v>1.4483999999999999</v>
      </c>
      <c r="J223" s="16">
        <v>3.335</v>
      </c>
      <c r="K223" s="10">
        <v>3.6726000000000001</v>
      </c>
      <c r="L223" s="11">
        <v>9097.5</v>
      </c>
      <c r="M223" s="13">
        <v>115.31</v>
      </c>
      <c r="N223" s="10">
        <v>30.530823999999999</v>
      </c>
      <c r="O223" s="10">
        <v>30.9</v>
      </c>
      <c r="P223" s="10">
        <v>32.808999999999997</v>
      </c>
      <c r="Q223" s="11">
        <v>9015</v>
      </c>
      <c r="R223" s="16">
        <v>0.4929</v>
      </c>
      <c r="S223" s="16">
        <v>0.72912299999999997</v>
      </c>
      <c r="T223" s="16">
        <v>34.192</v>
      </c>
      <c r="U223" s="16">
        <v>55.267460999999997</v>
      </c>
      <c r="V223" s="16">
        <v>81.543000000000006</v>
      </c>
    </row>
    <row r="224" spans="1:22" x14ac:dyDescent="0.3">
      <c r="A224" s="22">
        <v>39387</v>
      </c>
      <c r="B224" s="16">
        <v>39.449016</v>
      </c>
      <c r="C224" s="16">
        <v>7.3979999999999997</v>
      </c>
      <c r="D224" s="21">
        <v>16069</v>
      </c>
      <c r="E224" s="16">
        <v>68.144999999999996</v>
      </c>
      <c r="F224" s="16">
        <v>7.7744999999999997</v>
      </c>
      <c r="G224" s="16">
        <v>1.2623500000000001</v>
      </c>
      <c r="H224" s="16">
        <v>113.44</v>
      </c>
      <c r="I224" s="8">
        <v>1.4857</v>
      </c>
      <c r="J224" s="16">
        <v>3.4075000000000002</v>
      </c>
      <c r="K224" s="10">
        <v>3.6728000000000001</v>
      </c>
      <c r="L224" s="11">
        <v>9145</v>
      </c>
      <c r="M224" s="13">
        <v>114.82</v>
      </c>
      <c r="N224" s="10">
        <v>32.411856</v>
      </c>
      <c r="O224" s="10">
        <v>31.6</v>
      </c>
      <c r="P224" s="10">
        <v>32.74</v>
      </c>
      <c r="Q224" s="11">
        <v>9007</v>
      </c>
      <c r="R224" s="16">
        <v>0.4975</v>
      </c>
      <c r="S224" s="16">
        <v>0.745255</v>
      </c>
      <c r="T224" s="16">
        <v>34.395000000000003</v>
      </c>
      <c r="U224" s="16">
        <v>54.451343999999999</v>
      </c>
      <c r="V224" s="16">
        <v>81.436999999999998</v>
      </c>
    </row>
    <row r="225" spans="1:22" x14ac:dyDescent="0.3">
      <c r="A225" s="22">
        <v>39356</v>
      </c>
      <c r="B225" s="16">
        <v>39.456456000000003</v>
      </c>
      <c r="C225" s="16">
        <v>7.4714999999999998</v>
      </c>
      <c r="D225" s="21">
        <v>16080</v>
      </c>
      <c r="E225" s="16">
        <v>68.375</v>
      </c>
      <c r="F225" s="16">
        <v>7.7973999999999997</v>
      </c>
      <c r="G225" s="16">
        <v>1.3158160000000001</v>
      </c>
      <c r="H225" s="16">
        <v>113.02500000000001</v>
      </c>
      <c r="I225" s="8">
        <v>1.5255000000000001</v>
      </c>
      <c r="J225" s="16">
        <v>3.5015000000000001</v>
      </c>
      <c r="K225" s="10">
        <v>3.6722999999999999</v>
      </c>
      <c r="L225" s="11">
        <v>9390</v>
      </c>
      <c r="M225" s="13">
        <v>115.77</v>
      </c>
      <c r="N225" s="10">
        <v>32.940393</v>
      </c>
      <c r="O225" s="10">
        <v>31.35</v>
      </c>
      <c r="P225" s="10">
        <v>33.034999999999997</v>
      </c>
      <c r="Q225" s="11">
        <v>8997</v>
      </c>
      <c r="R225" s="16">
        <v>0.505</v>
      </c>
      <c r="S225" s="16">
        <v>0.74013399999999996</v>
      </c>
      <c r="T225" s="16">
        <v>33.409999999999997</v>
      </c>
      <c r="U225" s="16">
        <v>54.867125999999999</v>
      </c>
      <c r="V225" s="16">
        <v>79.968999999999994</v>
      </c>
    </row>
    <row r="226" spans="1:22" x14ac:dyDescent="0.3">
      <c r="A226" s="22">
        <v>39326</v>
      </c>
      <c r="B226" s="16">
        <v>40.151006000000002</v>
      </c>
      <c r="C226" s="16">
        <v>7.5060000000000002</v>
      </c>
      <c r="D226" s="21">
        <v>16240</v>
      </c>
      <c r="E226" s="16">
        <v>68.694999999999993</v>
      </c>
      <c r="F226" s="16">
        <v>7.8265000000000002</v>
      </c>
      <c r="G226" s="16">
        <v>1.2814129999999999</v>
      </c>
      <c r="H226" s="16">
        <v>111.78</v>
      </c>
      <c r="I226" s="8">
        <v>1.5162</v>
      </c>
      <c r="J226" s="16">
        <v>3.4544999999999999</v>
      </c>
      <c r="K226" s="10">
        <v>3.673</v>
      </c>
      <c r="L226" s="11">
        <v>9225</v>
      </c>
      <c r="M226" s="13">
        <v>118.41</v>
      </c>
      <c r="N226" s="10">
        <v>32.560687999999999</v>
      </c>
      <c r="O226" s="10">
        <v>31.85</v>
      </c>
      <c r="P226" s="10">
        <v>33.316000000000003</v>
      </c>
      <c r="Q226" s="11">
        <v>8992</v>
      </c>
      <c r="R226" s="16">
        <v>0.50019999999999998</v>
      </c>
      <c r="S226" s="16">
        <v>0.739896</v>
      </c>
      <c r="T226" s="16">
        <v>34.094000000000001</v>
      </c>
      <c r="U226" s="16">
        <v>56.660350000000001</v>
      </c>
      <c r="V226" s="16">
        <v>82.055000000000007</v>
      </c>
    </row>
    <row r="227" spans="1:22" x14ac:dyDescent="0.3">
      <c r="A227" s="22">
        <v>39295</v>
      </c>
      <c r="B227" s="16">
        <v>40.698644000000002</v>
      </c>
      <c r="C227" s="16">
        <v>7.5449999999999999</v>
      </c>
      <c r="D227" s="21">
        <v>16140</v>
      </c>
      <c r="E227" s="16">
        <v>68.510000000000005</v>
      </c>
      <c r="F227" s="16">
        <v>7.8179999999999996</v>
      </c>
      <c r="G227" s="16">
        <v>1.321159</v>
      </c>
      <c r="H227" s="16">
        <v>111.38500000000001</v>
      </c>
      <c r="I227" s="8">
        <v>1.5319</v>
      </c>
      <c r="J227" s="16">
        <v>3.4525000000000001</v>
      </c>
      <c r="K227" s="10">
        <v>3.6718999999999999</v>
      </c>
      <c r="L227" s="11">
        <v>9035</v>
      </c>
      <c r="M227" s="13">
        <v>123.17</v>
      </c>
      <c r="N227" s="10">
        <v>32.716051</v>
      </c>
      <c r="O227" s="10">
        <v>32.5</v>
      </c>
      <c r="P227" s="10">
        <v>33.090000000000003</v>
      </c>
      <c r="Q227" s="11">
        <v>8965</v>
      </c>
      <c r="R227" s="16">
        <v>0.5081</v>
      </c>
      <c r="S227" s="16">
        <v>0.75521300000000002</v>
      </c>
      <c r="T227" s="16">
        <v>34.863999999999997</v>
      </c>
      <c r="U227" s="16">
        <v>58.042436000000002</v>
      </c>
      <c r="V227" s="16">
        <v>84.870999999999995</v>
      </c>
    </row>
    <row r="228" spans="1:22" x14ac:dyDescent="0.3">
      <c r="A228" s="22">
        <v>39264</v>
      </c>
      <c r="B228" s="16">
        <v>40.295696999999997</v>
      </c>
      <c r="C228" s="16">
        <v>7.5724999999999998</v>
      </c>
      <c r="D228" s="21">
        <v>16131</v>
      </c>
      <c r="E228" s="16">
        <v>68.81</v>
      </c>
      <c r="F228" s="16">
        <v>7.8075000000000001</v>
      </c>
      <c r="G228" s="16">
        <v>1.3343529999999999</v>
      </c>
      <c r="H228" s="16">
        <v>110.87</v>
      </c>
      <c r="I228" s="8">
        <v>1.5288999999999999</v>
      </c>
      <c r="J228" s="16">
        <v>3.3984999999999999</v>
      </c>
      <c r="K228" s="10">
        <v>3.6728000000000001</v>
      </c>
      <c r="L228" s="11">
        <v>8827</v>
      </c>
      <c r="M228" s="13">
        <v>121.73</v>
      </c>
      <c r="N228" s="10">
        <v>33.987544999999997</v>
      </c>
      <c r="O228" s="10">
        <v>32.75</v>
      </c>
      <c r="P228" s="10">
        <v>32.950000000000003</v>
      </c>
      <c r="Q228" s="11">
        <v>8905</v>
      </c>
      <c r="R228" s="16">
        <v>0.5091</v>
      </c>
      <c r="S228" s="16">
        <v>0.764899</v>
      </c>
      <c r="T228" s="16">
        <v>34.747999999999998</v>
      </c>
      <c r="U228" s="16">
        <v>57.531390999999999</v>
      </c>
      <c r="V228" s="16">
        <v>86.593000000000004</v>
      </c>
    </row>
    <row r="229" spans="1:22" x14ac:dyDescent="0.3">
      <c r="A229" s="22">
        <v>39234</v>
      </c>
      <c r="B229" s="16">
        <v>40.579379000000003</v>
      </c>
      <c r="C229" s="16">
        <v>7.6135000000000002</v>
      </c>
      <c r="D229" s="21">
        <v>16089</v>
      </c>
      <c r="E229" s="16">
        <v>69.02</v>
      </c>
      <c r="F229" s="16">
        <v>7.8226000000000004</v>
      </c>
      <c r="G229" s="16">
        <v>1.3586210000000001</v>
      </c>
      <c r="H229" s="16">
        <v>110.6</v>
      </c>
      <c r="I229" s="8">
        <v>1.5201</v>
      </c>
      <c r="J229" s="16">
        <v>3.4220000000000002</v>
      </c>
      <c r="K229" s="10">
        <v>3.6728000000000001</v>
      </c>
      <c r="L229" s="11">
        <v>9088</v>
      </c>
      <c r="M229" s="13">
        <v>119.47</v>
      </c>
      <c r="N229" s="10">
        <v>35.271273000000001</v>
      </c>
      <c r="O229" s="10">
        <v>33.25</v>
      </c>
      <c r="P229" s="10">
        <v>32.927</v>
      </c>
      <c r="Q229" s="11">
        <v>8881</v>
      </c>
      <c r="R229" s="16">
        <v>0.5091</v>
      </c>
      <c r="S229" s="16">
        <v>0.76935299999999995</v>
      </c>
      <c r="T229" s="16">
        <v>34.234999999999999</v>
      </c>
      <c r="U229" s="16">
        <v>57.496771000000003</v>
      </c>
      <c r="V229" s="16">
        <v>86.572999999999993</v>
      </c>
    </row>
    <row r="230" spans="1:22" x14ac:dyDescent="0.3">
      <c r="A230" s="22">
        <v>39203</v>
      </c>
      <c r="B230" s="16">
        <v>40.607689999999998</v>
      </c>
      <c r="C230" s="16">
        <v>7.6475</v>
      </c>
      <c r="D230" s="21">
        <v>16048</v>
      </c>
      <c r="E230" s="16">
        <v>69.194999999999993</v>
      </c>
      <c r="F230" s="16">
        <v>7.8137999999999996</v>
      </c>
      <c r="G230" s="16">
        <v>1.409243</v>
      </c>
      <c r="H230" s="16">
        <v>108.65</v>
      </c>
      <c r="I230" s="8">
        <v>1.5176000000000001</v>
      </c>
      <c r="J230" s="16">
        <v>3.4575</v>
      </c>
      <c r="K230" s="10">
        <v>3.6728000000000001</v>
      </c>
      <c r="L230" s="11">
        <v>9120</v>
      </c>
      <c r="M230" s="13">
        <v>117.79</v>
      </c>
      <c r="N230" s="10">
        <v>35.741857000000003</v>
      </c>
      <c r="O230" s="10">
        <v>33.25</v>
      </c>
      <c r="P230" s="10">
        <v>32.585000000000001</v>
      </c>
      <c r="Q230" s="11">
        <v>8857</v>
      </c>
      <c r="R230" s="16">
        <v>0.51060000000000005</v>
      </c>
      <c r="S230" s="16">
        <v>0.75686100000000001</v>
      </c>
      <c r="T230" s="16">
        <v>34.817999999999998</v>
      </c>
      <c r="U230" s="16">
        <v>58.922027</v>
      </c>
      <c r="V230" s="16">
        <v>86.406000000000006</v>
      </c>
    </row>
    <row r="231" spans="1:22" x14ac:dyDescent="0.3">
      <c r="A231" s="22">
        <v>39173</v>
      </c>
      <c r="B231" s="16">
        <v>41.925714999999997</v>
      </c>
      <c r="C231" s="16">
        <v>7.7054999999999998</v>
      </c>
      <c r="D231" s="21">
        <v>16015</v>
      </c>
      <c r="E231" s="16">
        <v>68.825000000000003</v>
      </c>
      <c r="F231" s="16">
        <v>7.8132000000000001</v>
      </c>
      <c r="G231" s="16">
        <v>1.3966419999999999</v>
      </c>
      <c r="H231" s="16">
        <v>108.79</v>
      </c>
      <c r="I231" s="8">
        <v>1.5291999999999999</v>
      </c>
      <c r="J231" s="16">
        <v>3.5030000000000001</v>
      </c>
      <c r="K231" s="10">
        <v>3.673</v>
      </c>
      <c r="L231" s="11">
        <v>9131.5</v>
      </c>
      <c r="M231" s="13">
        <v>118.45</v>
      </c>
      <c r="N231" s="10">
        <v>36.527009999999997</v>
      </c>
      <c r="O231" s="10">
        <v>33.049999999999997</v>
      </c>
      <c r="P231" s="10">
        <v>32.340000000000003</v>
      </c>
      <c r="Q231" s="11">
        <v>8856</v>
      </c>
      <c r="R231" s="16">
        <v>0.50880000000000003</v>
      </c>
      <c r="S231" s="16">
        <v>0.776416</v>
      </c>
      <c r="T231" s="16">
        <v>35.168999999999997</v>
      </c>
      <c r="U231" s="16">
        <v>57.704957</v>
      </c>
      <c r="V231" s="16">
        <v>87.65</v>
      </c>
    </row>
    <row r="232" spans="1:22" x14ac:dyDescent="0.3">
      <c r="A232" s="22">
        <v>39142</v>
      </c>
      <c r="B232" s="16">
        <v>43.834656000000003</v>
      </c>
      <c r="C232" s="16">
        <v>7.7308000000000003</v>
      </c>
      <c r="D232" s="21">
        <v>16001</v>
      </c>
      <c r="E232" s="16">
        <v>69.025000000000006</v>
      </c>
      <c r="F232" s="16">
        <v>7.8075000000000001</v>
      </c>
      <c r="G232" s="16">
        <v>1.4260269999999999</v>
      </c>
      <c r="H232" s="16">
        <v>108.58</v>
      </c>
      <c r="I232" s="8">
        <v>1.536</v>
      </c>
      <c r="J232" s="16">
        <v>3.5005000000000002</v>
      </c>
      <c r="K232" s="10">
        <v>3.673</v>
      </c>
      <c r="L232" s="11">
        <v>9100</v>
      </c>
      <c r="M232" s="13">
        <v>120.67</v>
      </c>
      <c r="N232" s="10">
        <v>37.323211000000001</v>
      </c>
      <c r="O232" s="10">
        <v>32.9</v>
      </c>
      <c r="P232" s="10">
        <v>33.174999999999997</v>
      </c>
      <c r="Q232" s="11">
        <v>8805</v>
      </c>
      <c r="R232" s="16">
        <v>0.5242</v>
      </c>
      <c r="S232" s="16">
        <v>0.79298299999999999</v>
      </c>
      <c r="T232" s="16">
        <v>34.783999999999999</v>
      </c>
      <c r="U232" s="16">
        <v>57.303567999999999</v>
      </c>
      <c r="V232" s="16">
        <v>85.676000000000002</v>
      </c>
    </row>
    <row r="233" spans="1:22" x14ac:dyDescent="0.3">
      <c r="A233" s="22">
        <v>39114</v>
      </c>
      <c r="B233" s="16">
        <v>44.003734999999999</v>
      </c>
      <c r="C233" s="16">
        <v>7.7380000000000004</v>
      </c>
      <c r="D233" s="21">
        <v>16050</v>
      </c>
      <c r="E233" s="16">
        <v>69.224999999999994</v>
      </c>
      <c r="F233" s="16">
        <v>7.7786</v>
      </c>
      <c r="G233" s="16">
        <v>1.4319189999999999</v>
      </c>
      <c r="H233" s="16">
        <v>107.45</v>
      </c>
      <c r="I233" s="8">
        <v>1.5341</v>
      </c>
      <c r="J233" s="16">
        <v>3.53</v>
      </c>
      <c r="K233" s="10">
        <v>3.6728000000000001</v>
      </c>
      <c r="L233" s="11">
        <v>8993.5</v>
      </c>
      <c r="M233" s="13">
        <v>119.02</v>
      </c>
      <c r="N233" s="10">
        <v>37.430276999999997</v>
      </c>
      <c r="O233" s="10">
        <v>32.9</v>
      </c>
      <c r="P233" s="10">
        <v>33.11</v>
      </c>
      <c r="Q233" s="11">
        <v>8793</v>
      </c>
      <c r="R233" s="16">
        <v>0.53420000000000001</v>
      </c>
      <c r="S233" s="16">
        <v>0.78554000000000002</v>
      </c>
      <c r="T233" s="16">
        <v>34.18</v>
      </c>
      <c r="U233" s="16">
        <v>58.692031</v>
      </c>
      <c r="V233" s="16">
        <v>85.730999999999995</v>
      </c>
    </row>
    <row r="234" spans="1:22" x14ac:dyDescent="0.3">
      <c r="A234" s="22">
        <v>39083</v>
      </c>
      <c r="B234" s="16">
        <v>44.232906999999997</v>
      </c>
      <c r="C234" s="16">
        <v>7.7747999999999999</v>
      </c>
      <c r="D234" s="21">
        <v>16056</v>
      </c>
      <c r="E234" s="16">
        <v>69.084999999999994</v>
      </c>
      <c r="F234" s="16">
        <v>7.7778999999999998</v>
      </c>
      <c r="G234" s="16">
        <v>1.4583390000000001</v>
      </c>
      <c r="H234" s="16">
        <v>108.1</v>
      </c>
      <c r="I234" s="8">
        <v>1.5396000000000001</v>
      </c>
      <c r="J234" s="16">
        <v>3.6179999999999999</v>
      </c>
      <c r="K234" s="10">
        <v>3.6728000000000001</v>
      </c>
      <c r="L234" s="11">
        <v>9165</v>
      </c>
      <c r="M234" s="13">
        <v>115.78</v>
      </c>
      <c r="N234" s="10">
        <v>37.617058</v>
      </c>
      <c r="O234" s="10">
        <v>32.549999999999997</v>
      </c>
      <c r="P234" s="10">
        <v>32.895000000000003</v>
      </c>
      <c r="Q234" s="11">
        <v>8761</v>
      </c>
      <c r="R234" s="16">
        <v>0.52510000000000001</v>
      </c>
      <c r="S234" s="16">
        <v>0.78057100000000001</v>
      </c>
      <c r="T234" s="16">
        <v>35.487000000000002</v>
      </c>
      <c r="U234" s="16">
        <v>59.587507000000002</v>
      </c>
      <c r="V234" s="16">
        <v>88.522999999999996</v>
      </c>
    </row>
    <row r="235" spans="1:22" x14ac:dyDescent="0.3">
      <c r="A235" s="22">
        <v>39052</v>
      </c>
      <c r="B235" s="16">
        <v>44.594484999999999</v>
      </c>
      <c r="C235" s="16">
        <v>7.8075000000000001</v>
      </c>
      <c r="D235" s="21">
        <v>16070</v>
      </c>
      <c r="E235" s="16">
        <v>68.474999999999994</v>
      </c>
      <c r="F235" s="16">
        <v>7.7774999999999999</v>
      </c>
      <c r="G235" s="16">
        <v>1.4791589999999999</v>
      </c>
      <c r="H235" s="16">
        <v>108.02500000000001</v>
      </c>
      <c r="I235" s="8">
        <v>1.5577000000000001</v>
      </c>
      <c r="J235" s="16">
        <v>3.6524999999999999</v>
      </c>
      <c r="K235" s="10">
        <v>3.673</v>
      </c>
      <c r="L235" s="11">
        <v>9094</v>
      </c>
      <c r="M235" s="13">
        <v>116.95</v>
      </c>
      <c r="N235" s="10">
        <v>37.99933</v>
      </c>
      <c r="O235" s="10">
        <v>31.225000000000001</v>
      </c>
      <c r="P235" s="10">
        <v>32.746000000000002</v>
      </c>
      <c r="Q235" s="11">
        <v>8761</v>
      </c>
      <c r="R235" s="16">
        <v>0.53539999999999999</v>
      </c>
      <c r="S235" s="16">
        <v>0.78845500000000002</v>
      </c>
      <c r="T235" s="16">
        <v>35.630000000000003</v>
      </c>
      <c r="U235" s="16">
        <v>58.911465</v>
      </c>
      <c r="V235" s="16">
        <v>86.840999999999994</v>
      </c>
    </row>
    <row r="236" spans="1:22" x14ac:dyDescent="0.3">
      <c r="A236" s="22">
        <v>39022</v>
      </c>
      <c r="B236" s="16">
        <v>44.798420999999998</v>
      </c>
      <c r="C236" s="16">
        <v>7.8333000000000004</v>
      </c>
      <c r="D236" s="21">
        <v>16070</v>
      </c>
      <c r="E236" s="16">
        <v>67.674999999999997</v>
      </c>
      <c r="F236" s="16">
        <v>7.7919</v>
      </c>
      <c r="G236" s="16">
        <v>1.481992</v>
      </c>
      <c r="H236" s="16">
        <v>103.76</v>
      </c>
      <c r="I236" s="8">
        <v>1.5880000000000001</v>
      </c>
      <c r="J236" s="16">
        <v>3.6880000000000002</v>
      </c>
      <c r="K236" s="10">
        <v>3.6715</v>
      </c>
      <c r="L236" s="11">
        <v>9205</v>
      </c>
      <c r="M236" s="13">
        <v>118.18</v>
      </c>
      <c r="N236" s="10">
        <v>38.373683</v>
      </c>
      <c r="O236" s="10">
        <v>30.81</v>
      </c>
      <c r="P236" s="10">
        <v>32.369999999999997</v>
      </c>
      <c r="Q236" s="11">
        <v>8743</v>
      </c>
      <c r="R236" s="16">
        <v>0.54120000000000001</v>
      </c>
      <c r="S236" s="16">
        <v>0.79058300000000004</v>
      </c>
      <c r="T236" s="16">
        <v>34.057000000000002</v>
      </c>
      <c r="U236" s="16">
        <v>58.183860000000003</v>
      </c>
      <c r="V236" s="16">
        <v>84.775000000000006</v>
      </c>
    </row>
    <row r="237" spans="1:22" x14ac:dyDescent="0.3">
      <c r="A237" s="22">
        <v>38991</v>
      </c>
      <c r="B237" s="16">
        <v>45.439182000000002</v>
      </c>
      <c r="C237" s="16">
        <v>7.8789999999999996</v>
      </c>
      <c r="D237" s="21">
        <v>16050</v>
      </c>
      <c r="E237" s="16">
        <v>65.3</v>
      </c>
      <c r="F237" s="16">
        <v>7.7773000000000003</v>
      </c>
      <c r="G237" s="16">
        <v>1.467622</v>
      </c>
      <c r="H237" s="16">
        <v>102.19</v>
      </c>
      <c r="I237" s="8">
        <v>1.5731999999999999</v>
      </c>
      <c r="J237" s="16">
        <v>3.681</v>
      </c>
      <c r="K237" s="10">
        <v>3.6715</v>
      </c>
      <c r="L237" s="11">
        <v>9117</v>
      </c>
      <c r="M237" s="13">
        <v>117.36</v>
      </c>
      <c r="N237" s="10">
        <v>38.006735999999997</v>
      </c>
      <c r="O237" s="10">
        <v>30.77</v>
      </c>
      <c r="P237" s="10">
        <v>32.034999999999997</v>
      </c>
      <c r="Q237" s="11">
        <v>8707.5</v>
      </c>
      <c r="R237" s="16">
        <v>0.53469999999999995</v>
      </c>
      <c r="S237" s="16">
        <v>0.78314300000000003</v>
      </c>
      <c r="T237" s="16">
        <v>34.840000000000003</v>
      </c>
      <c r="U237" s="16">
        <v>57.886789</v>
      </c>
      <c r="V237" s="16">
        <v>86.587999999999994</v>
      </c>
    </row>
    <row r="238" spans="1:22" x14ac:dyDescent="0.3">
      <c r="A238" s="22">
        <v>38961</v>
      </c>
      <c r="B238" s="16">
        <v>46.103583999999998</v>
      </c>
      <c r="C238" s="16">
        <v>7.9073000000000002</v>
      </c>
      <c r="D238" s="21">
        <v>16014</v>
      </c>
      <c r="E238" s="16">
        <v>69.45</v>
      </c>
      <c r="F238" s="16">
        <v>7.7705000000000002</v>
      </c>
      <c r="G238" s="16">
        <v>1.554181</v>
      </c>
      <c r="H238" s="16">
        <v>103.97</v>
      </c>
      <c r="I238" s="8">
        <v>1.5792999999999999</v>
      </c>
      <c r="J238" s="16">
        <v>3.6575000000000002</v>
      </c>
      <c r="K238" s="10">
        <v>3.6728999999999998</v>
      </c>
      <c r="L238" s="11">
        <v>9095</v>
      </c>
      <c r="M238" s="13">
        <v>114.69</v>
      </c>
      <c r="N238" s="10">
        <v>37.99371</v>
      </c>
      <c r="O238" s="10">
        <v>30.85</v>
      </c>
      <c r="P238" s="10">
        <v>31.905000000000001</v>
      </c>
      <c r="Q238" s="11">
        <v>8645</v>
      </c>
      <c r="R238" s="16">
        <v>0.54749999999999999</v>
      </c>
      <c r="S238" s="16">
        <v>0.81501699999999999</v>
      </c>
      <c r="T238" s="16">
        <v>34.128999999999998</v>
      </c>
      <c r="U238" s="16">
        <v>55.049394999999997</v>
      </c>
      <c r="V238" s="16">
        <v>82.025000000000006</v>
      </c>
    </row>
    <row r="239" spans="1:22" x14ac:dyDescent="0.3">
      <c r="A239" s="22">
        <v>38930</v>
      </c>
      <c r="B239" s="16">
        <v>46.511673000000002</v>
      </c>
      <c r="C239" s="16">
        <v>7.9549000000000003</v>
      </c>
      <c r="D239" s="21">
        <v>16006</v>
      </c>
      <c r="E239" s="16">
        <v>69.5</v>
      </c>
      <c r="F239" s="16">
        <v>7.7663000000000002</v>
      </c>
      <c r="G239" s="16">
        <v>1.601642</v>
      </c>
      <c r="H239" s="16">
        <v>103.97</v>
      </c>
      <c r="I239" s="8">
        <v>1.5828</v>
      </c>
      <c r="J239" s="16">
        <v>3.6745000000000001</v>
      </c>
      <c r="K239" s="10">
        <v>3.6730999999999998</v>
      </c>
      <c r="L239" s="11">
        <v>9263</v>
      </c>
      <c r="M239" s="13">
        <v>114.44</v>
      </c>
      <c r="N239" s="10">
        <v>38.965761000000001</v>
      </c>
      <c r="O239" s="10">
        <v>31.05</v>
      </c>
      <c r="P239" s="10">
        <v>32.459000000000003</v>
      </c>
      <c r="Q239" s="11">
        <v>8578</v>
      </c>
      <c r="R239" s="16">
        <v>0.57530000000000003</v>
      </c>
      <c r="S239" s="16">
        <v>0.83198799999999995</v>
      </c>
      <c r="T239" s="16">
        <v>31.873000000000001</v>
      </c>
      <c r="U239" s="16">
        <v>53.365946000000001</v>
      </c>
      <c r="V239" s="16">
        <v>77.338999999999999</v>
      </c>
    </row>
    <row r="240" spans="1:22" x14ac:dyDescent="0.3">
      <c r="A240" s="22">
        <v>38899</v>
      </c>
      <c r="B240" s="16">
        <v>46.448552999999997</v>
      </c>
      <c r="C240" s="16">
        <v>7.97</v>
      </c>
      <c r="D240" s="21">
        <v>15996</v>
      </c>
      <c r="E240" s="16">
        <v>68.180000000000007</v>
      </c>
      <c r="F240" s="16">
        <v>7.7584</v>
      </c>
      <c r="G240" s="16">
        <v>1.440585</v>
      </c>
      <c r="H240" s="16">
        <v>103</v>
      </c>
      <c r="I240" s="8">
        <v>1.5795999999999999</v>
      </c>
      <c r="J240" s="16">
        <v>3.6309999999999998</v>
      </c>
      <c r="K240" s="10">
        <v>3.6730999999999998</v>
      </c>
      <c r="L240" s="11">
        <v>9255</v>
      </c>
      <c r="M240" s="13">
        <v>112.59</v>
      </c>
      <c r="N240" s="10">
        <v>39.380654</v>
      </c>
      <c r="O240" s="10">
        <v>30.7</v>
      </c>
      <c r="P240" s="10">
        <v>32.453000000000003</v>
      </c>
      <c r="Q240" s="11">
        <v>8566</v>
      </c>
      <c r="R240" s="16">
        <v>0.57020000000000004</v>
      </c>
      <c r="S240" s="16">
        <v>0.83766499999999999</v>
      </c>
      <c r="T240" s="16">
        <v>32.874000000000002</v>
      </c>
      <c r="U240" s="16">
        <v>52.846196999999997</v>
      </c>
      <c r="V240" s="16">
        <v>77.665000000000006</v>
      </c>
    </row>
    <row r="241" spans="1:22" x14ac:dyDescent="0.3">
      <c r="A241" s="22">
        <v>38869</v>
      </c>
      <c r="B241" s="16">
        <v>45.996223999999998</v>
      </c>
      <c r="C241" s="16">
        <v>7.9924999999999997</v>
      </c>
      <c r="D241" s="21">
        <v>15957.5</v>
      </c>
      <c r="E241" s="16">
        <v>69.400000000000006</v>
      </c>
      <c r="F241" s="16">
        <v>7.7538999999999998</v>
      </c>
      <c r="G241" s="16">
        <v>1.334999</v>
      </c>
      <c r="H241" s="16">
        <v>102.8</v>
      </c>
      <c r="I241" s="8">
        <v>1.5812999999999999</v>
      </c>
      <c r="J241" s="16">
        <v>3.625</v>
      </c>
      <c r="K241" s="10">
        <v>3.6730999999999998</v>
      </c>
      <c r="L241" s="11">
        <v>8785</v>
      </c>
      <c r="M241" s="13">
        <v>113.85</v>
      </c>
      <c r="N241" s="10">
        <v>39.634391999999998</v>
      </c>
      <c r="O241" s="10">
        <v>30.7</v>
      </c>
      <c r="P241" s="10">
        <v>31.981000000000002</v>
      </c>
      <c r="Q241" s="11">
        <v>8482</v>
      </c>
      <c r="R241" s="16">
        <v>0.56220000000000003</v>
      </c>
      <c r="S241" s="16">
        <v>0.82630000000000003</v>
      </c>
      <c r="T241" s="16">
        <v>33.328000000000003</v>
      </c>
      <c r="U241" s="16">
        <v>53.636262000000002</v>
      </c>
      <c r="V241" s="16">
        <v>78.141999999999996</v>
      </c>
    </row>
    <row r="242" spans="1:22" x14ac:dyDescent="0.3">
      <c r="A242" s="22">
        <v>38838</v>
      </c>
      <c r="B242" s="16">
        <v>45.330288000000003</v>
      </c>
      <c r="C242" s="16">
        <v>8.0239999999999991</v>
      </c>
      <c r="D242" s="21">
        <v>15942.5</v>
      </c>
      <c r="E242" s="16">
        <v>68.5</v>
      </c>
      <c r="F242" s="16">
        <v>7.7591000000000001</v>
      </c>
      <c r="G242" s="16">
        <v>1.337048</v>
      </c>
      <c r="H242" s="16">
        <v>102.575</v>
      </c>
      <c r="I242" s="8">
        <v>1.6158999999999999</v>
      </c>
      <c r="J242" s="16">
        <v>3.6831</v>
      </c>
      <c r="K242" s="10">
        <v>3.673</v>
      </c>
      <c r="L242" s="11">
        <v>9087</v>
      </c>
      <c r="M242" s="13">
        <v>117.68</v>
      </c>
      <c r="N242" s="10">
        <v>41.103248999999998</v>
      </c>
      <c r="O242" s="10">
        <v>30.45</v>
      </c>
      <c r="P242" s="10">
        <v>32.826000000000001</v>
      </c>
      <c r="Q242" s="11">
        <v>8894</v>
      </c>
      <c r="R242" s="16">
        <v>0.58089999999999997</v>
      </c>
      <c r="S242" s="16">
        <v>0.843503</v>
      </c>
      <c r="T242" s="16">
        <v>32.997</v>
      </c>
      <c r="U242" s="16">
        <v>54.049112000000001</v>
      </c>
      <c r="V242" s="16">
        <v>77.451999999999998</v>
      </c>
    </row>
    <row r="243" spans="1:22" x14ac:dyDescent="0.3">
      <c r="A243" s="22">
        <v>38808</v>
      </c>
      <c r="B243" s="16">
        <v>44.859943000000001</v>
      </c>
      <c r="C243" s="16">
        <v>8.0138999999999996</v>
      </c>
      <c r="D243" s="21">
        <v>15925</v>
      </c>
      <c r="E243" s="16">
        <v>70.05</v>
      </c>
      <c r="F243" s="16">
        <v>7.7579000000000002</v>
      </c>
      <c r="G243" s="16">
        <v>1.325958</v>
      </c>
      <c r="H243" s="16">
        <v>102.58</v>
      </c>
      <c r="I243" s="8">
        <v>1.6220000000000001</v>
      </c>
      <c r="J243" s="16">
        <v>3.7149999999999999</v>
      </c>
      <c r="K243" s="10">
        <v>3.673</v>
      </c>
      <c r="L243" s="11">
        <v>9182.5</v>
      </c>
      <c r="M243" s="13">
        <v>115.77</v>
      </c>
      <c r="N243" s="10">
        <v>41.126539000000001</v>
      </c>
      <c r="O243" s="10">
        <v>30.6</v>
      </c>
      <c r="P243" s="10">
        <v>33.515999999999998</v>
      </c>
      <c r="Q243" s="11">
        <v>8374</v>
      </c>
      <c r="R243" s="16">
        <v>0.57820000000000005</v>
      </c>
      <c r="S243" s="16">
        <v>0.84855400000000003</v>
      </c>
      <c r="T243" s="16">
        <v>33.878</v>
      </c>
      <c r="U243" s="16">
        <v>53.820236999999999</v>
      </c>
      <c r="V243" s="16">
        <v>79.387</v>
      </c>
    </row>
    <row r="244" spans="1:22" x14ac:dyDescent="0.3">
      <c r="A244" s="22">
        <v>38777</v>
      </c>
      <c r="B244" s="16">
        <v>44.397432000000002</v>
      </c>
      <c r="C244" s="16">
        <v>8.0175000000000001</v>
      </c>
      <c r="D244" s="21">
        <v>15910</v>
      </c>
      <c r="E244" s="16">
        <v>67.900000000000006</v>
      </c>
      <c r="F244" s="16">
        <v>7.7575000000000003</v>
      </c>
      <c r="G244" s="16">
        <v>1.335091</v>
      </c>
      <c r="H244" s="16">
        <v>102.12</v>
      </c>
      <c r="I244" s="8">
        <v>1.6220000000000001</v>
      </c>
      <c r="J244" s="16">
        <v>3.7505000000000002</v>
      </c>
      <c r="K244" s="10">
        <v>3.6730999999999998</v>
      </c>
      <c r="L244" s="11">
        <v>9370</v>
      </c>
      <c r="M244" s="13">
        <v>117.25</v>
      </c>
      <c r="N244" s="10">
        <v>40.911788000000001</v>
      </c>
      <c r="O244" s="10">
        <v>30.35</v>
      </c>
      <c r="P244" s="10">
        <v>33.552</v>
      </c>
      <c r="Q244" s="11">
        <v>8303</v>
      </c>
      <c r="R244" s="16">
        <v>0.56489999999999996</v>
      </c>
      <c r="S244" s="16">
        <v>0.83235099999999995</v>
      </c>
      <c r="T244" s="16">
        <v>33.723999999999997</v>
      </c>
      <c r="U244" s="16">
        <v>53.812907000000003</v>
      </c>
      <c r="V244" s="16">
        <v>79.792000000000002</v>
      </c>
    </row>
    <row r="245" spans="1:22" x14ac:dyDescent="0.3">
      <c r="A245" s="22">
        <v>38749</v>
      </c>
      <c r="B245" s="16">
        <v>44.266308000000002</v>
      </c>
      <c r="C245" s="16">
        <v>8.0404</v>
      </c>
      <c r="D245" s="21">
        <v>15918</v>
      </c>
      <c r="E245" s="16">
        <v>66.578000000000003</v>
      </c>
      <c r="F245" s="16">
        <v>7.7537000000000003</v>
      </c>
      <c r="G245" s="16">
        <v>1.3527530000000001</v>
      </c>
      <c r="H245" s="16">
        <v>102.11</v>
      </c>
      <c r="I245" s="8">
        <v>1.663</v>
      </c>
      <c r="J245" s="16">
        <v>3.7795000000000001</v>
      </c>
      <c r="K245" s="10">
        <v>3.6720999999999999</v>
      </c>
      <c r="L245" s="11">
        <v>9830</v>
      </c>
      <c r="M245" s="13">
        <v>117.96</v>
      </c>
      <c r="N245" s="10">
        <v>41.044158000000003</v>
      </c>
      <c r="O245" s="10">
        <v>30.05</v>
      </c>
      <c r="P245" s="10">
        <v>33.186</v>
      </c>
      <c r="Q245" s="11">
        <v>8361</v>
      </c>
      <c r="R245" s="16">
        <v>0.56689999999999996</v>
      </c>
      <c r="S245" s="16">
        <v>0.816052</v>
      </c>
      <c r="T245" s="16">
        <v>33.459000000000003</v>
      </c>
      <c r="U245" s="16">
        <v>53.748024000000001</v>
      </c>
      <c r="V245" s="16">
        <v>77.531999999999996</v>
      </c>
    </row>
    <row r="246" spans="1:22" x14ac:dyDescent="0.3">
      <c r="A246" s="22">
        <v>38718</v>
      </c>
      <c r="B246" s="16">
        <v>44.317843000000003</v>
      </c>
      <c r="C246" s="16">
        <v>8.0622000000000007</v>
      </c>
      <c r="D246" s="21">
        <v>15914</v>
      </c>
      <c r="E246" s="16">
        <v>66.224999999999994</v>
      </c>
      <c r="F246" s="16">
        <v>7.7545999999999999</v>
      </c>
      <c r="G246" s="16">
        <v>1.3603749999999999</v>
      </c>
      <c r="H246" s="16">
        <v>102</v>
      </c>
      <c r="I246" s="8">
        <v>1.6913</v>
      </c>
      <c r="J246" s="16">
        <v>3.7745000000000002</v>
      </c>
      <c r="K246" s="10">
        <v>3.673</v>
      </c>
      <c r="L246" s="11">
        <v>10025</v>
      </c>
      <c r="M246" s="13">
        <v>119.81</v>
      </c>
      <c r="N246" s="10">
        <v>41.167287999999999</v>
      </c>
      <c r="O246" s="10">
        <v>29.6</v>
      </c>
      <c r="P246" s="10">
        <v>32.75</v>
      </c>
      <c r="Q246" s="11">
        <v>8348</v>
      </c>
      <c r="R246" s="16">
        <v>0.5544</v>
      </c>
      <c r="S246" s="16">
        <v>0.81354099999999996</v>
      </c>
      <c r="T246" s="16">
        <v>33.232999999999997</v>
      </c>
      <c r="U246" s="16">
        <v>53.577531999999998</v>
      </c>
      <c r="V246" s="16">
        <v>79.387</v>
      </c>
    </row>
    <row r="247" spans="1:22" x14ac:dyDescent="0.3">
      <c r="A247" s="22">
        <v>38687</v>
      </c>
      <c r="B247" s="16">
        <v>45.589696000000004</v>
      </c>
      <c r="C247" s="16">
        <v>8.0701999999999998</v>
      </c>
      <c r="D247" s="21">
        <v>15908</v>
      </c>
      <c r="E247" s="16">
        <v>65.849999999999994</v>
      </c>
      <c r="F247" s="16">
        <v>7.7522000000000002</v>
      </c>
      <c r="G247" s="16">
        <v>1.3592770000000001</v>
      </c>
      <c r="H247" s="16">
        <v>101.88</v>
      </c>
      <c r="I247" s="8">
        <v>1.6938</v>
      </c>
      <c r="J247" s="16">
        <v>3.7749999999999999</v>
      </c>
      <c r="K247" s="10">
        <v>3.6728999999999998</v>
      </c>
      <c r="L247" s="11">
        <v>10122.5</v>
      </c>
      <c r="M247" s="13">
        <v>116.39</v>
      </c>
      <c r="N247" s="10">
        <v>41.701224000000003</v>
      </c>
      <c r="O247" s="10">
        <v>29.25</v>
      </c>
      <c r="P247" s="10">
        <v>31.87</v>
      </c>
      <c r="Q247" s="11">
        <v>8335</v>
      </c>
      <c r="R247" s="16">
        <v>0.56920000000000004</v>
      </c>
      <c r="S247" s="16">
        <v>0.83074599999999998</v>
      </c>
      <c r="T247" s="16">
        <v>32.863999999999997</v>
      </c>
      <c r="U247" s="16">
        <v>52.354548999999999</v>
      </c>
      <c r="V247" s="16">
        <v>76.325999999999993</v>
      </c>
    </row>
    <row r="248" spans="1:22" x14ac:dyDescent="0.3">
      <c r="A248" s="22">
        <v>38657</v>
      </c>
      <c r="B248" s="16">
        <v>45.667115000000003</v>
      </c>
      <c r="C248" s="16">
        <v>8.0779999999999994</v>
      </c>
      <c r="D248" s="21">
        <v>15896</v>
      </c>
      <c r="E248" s="16">
        <v>65.73</v>
      </c>
      <c r="F248" s="16">
        <v>7.7583000000000002</v>
      </c>
      <c r="G248" s="16">
        <v>1.3406169999999999</v>
      </c>
      <c r="H248" s="16">
        <v>101.33</v>
      </c>
      <c r="I248" s="8">
        <v>1.6919999999999999</v>
      </c>
      <c r="J248" s="16">
        <v>3.7690000000000001</v>
      </c>
      <c r="K248" s="10">
        <v>3.6728999999999998</v>
      </c>
      <c r="L248" s="11">
        <v>10300</v>
      </c>
      <c r="M248" s="13">
        <v>113.5</v>
      </c>
      <c r="N248" s="10">
        <v>40.935673999999999</v>
      </c>
      <c r="O248" s="10">
        <v>29.2</v>
      </c>
      <c r="P248" s="10">
        <v>31.65</v>
      </c>
      <c r="Q248" s="11">
        <v>8315</v>
      </c>
      <c r="R248" s="16">
        <v>0.55830000000000002</v>
      </c>
      <c r="S248" s="16">
        <v>0.82207799999999998</v>
      </c>
      <c r="T248" s="16">
        <v>33.159999999999997</v>
      </c>
      <c r="U248" s="16">
        <v>52.990983999999997</v>
      </c>
      <c r="V248" s="16">
        <v>77.908000000000001</v>
      </c>
    </row>
    <row r="249" spans="1:22" x14ac:dyDescent="0.3">
      <c r="A249" s="22">
        <v>38626</v>
      </c>
      <c r="B249" s="16">
        <v>44.789816000000002</v>
      </c>
      <c r="C249" s="16">
        <v>8.0831999999999997</v>
      </c>
      <c r="D249" s="21">
        <v>15900</v>
      </c>
      <c r="E249" s="16">
        <v>65.849999999999994</v>
      </c>
      <c r="F249" s="16">
        <v>7.7713999999999999</v>
      </c>
      <c r="G249" s="16">
        <v>1.3451360000000001</v>
      </c>
      <c r="H249" s="16">
        <v>101.25</v>
      </c>
      <c r="I249" s="8">
        <v>1.6814</v>
      </c>
      <c r="J249" s="16">
        <v>3.7719999999999998</v>
      </c>
      <c r="K249" s="10">
        <v>3.673</v>
      </c>
      <c r="L249" s="11">
        <v>10300</v>
      </c>
      <c r="M249" s="13">
        <v>110.62</v>
      </c>
      <c r="N249" s="10">
        <v>39.811642999999997</v>
      </c>
      <c r="O249" s="10">
        <v>29.1</v>
      </c>
      <c r="P249" s="10">
        <v>31.364999999999998</v>
      </c>
      <c r="Q249" s="11">
        <v>8235</v>
      </c>
      <c r="R249" s="16">
        <v>0.55020000000000002</v>
      </c>
      <c r="S249" s="16">
        <v>0.78791900000000004</v>
      </c>
      <c r="T249" s="16">
        <v>33.029000000000003</v>
      </c>
      <c r="U249" s="16">
        <v>55.182175000000001</v>
      </c>
      <c r="V249" s="16">
        <v>79.435000000000002</v>
      </c>
    </row>
    <row r="250" spans="1:22" x14ac:dyDescent="0.3">
      <c r="A250" s="22">
        <v>38596</v>
      </c>
      <c r="B250" s="16">
        <v>43.853650000000002</v>
      </c>
      <c r="C250" s="16">
        <v>8.0922000000000001</v>
      </c>
      <c r="D250" s="21">
        <v>15872</v>
      </c>
      <c r="E250" s="16">
        <v>65.13</v>
      </c>
      <c r="F250" s="16">
        <v>7.7752999999999997</v>
      </c>
      <c r="G250" s="16">
        <v>1.3401259999999999</v>
      </c>
      <c r="H250" s="16">
        <v>100.7</v>
      </c>
      <c r="I250" s="8">
        <v>1.663</v>
      </c>
      <c r="J250" s="16">
        <v>3.7505000000000002</v>
      </c>
      <c r="K250" s="10">
        <v>3.6728999999999998</v>
      </c>
      <c r="L250" s="11">
        <v>9805</v>
      </c>
      <c r="M250" s="13">
        <v>112.55</v>
      </c>
      <c r="N250" s="10">
        <v>39.537623000000004</v>
      </c>
      <c r="O250" s="10">
        <v>28.75</v>
      </c>
      <c r="P250" s="10">
        <v>31.24</v>
      </c>
      <c r="Q250" s="11">
        <v>8185</v>
      </c>
      <c r="R250" s="16">
        <v>0.52400000000000002</v>
      </c>
      <c r="S250" s="16">
        <v>0.77294799999999997</v>
      </c>
      <c r="T250" s="16">
        <v>33.918999999999997</v>
      </c>
      <c r="U250" s="16">
        <v>56.531314000000002</v>
      </c>
      <c r="V250" s="16">
        <v>82.884</v>
      </c>
    </row>
    <row r="251" spans="1:22" x14ac:dyDescent="0.3">
      <c r="A251" s="22">
        <v>38565</v>
      </c>
      <c r="B251" s="16">
        <v>43.586269999999999</v>
      </c>
      <c r="C251" s="16">
        <v>8.0998000000000001</v>
      </c>
      <c r="D251" s="21">
        <v>15878</v>
      </c>
      <c r="E251" s="16">
        <v>64.900000000000006</v>
      </c>
      <c r="F251" s="16">
        <v>7.7710999999999997</v>
      </c>
      <c r="G251" s="16">
        <v>1.361286</v>
      </c>
      <c r="H251" s="16">
        <v>100.15</v>
      </c>
      <c r="I251" s="8">
        <v>1.6850000000000001</v>
      </c>
      <c r="J251" s="16">
        <v>3.8</v>
      </c>
      <c r="K251" s="10">
        <v>3.673</v>
      </c>
      <c r="L251" s="11">
        <v>9760</v>
      </c>
      <c r="M251" s="13">
        <v>110.81</v>
      </c>
      <c r="N251" s="10">
        <v>38.536887999999998</v>
      </c>
      <c r="O251" s="10">
        <v>28.85</v>
      </c>
      <c r="P251" s="10">
        <v>31.506</v>
      </c>
      <c r="Q251" s="11">
        <v>8140</v>
      </c>
      <c r="R251" s="16">
        <v>0.52910000000000001</v>
      </c>
      <c r="S251" s="16">
        <v>0.75764799999999999</v>
      </c>
      <c r="T251" s="16">
        <v>33.732999999999997</v>
      </c>
      <c r="U251" s="16">
        <v>57.581501000000003</v>
      </c>
      <c r="V251" s="16">
        <v>82.548000000000002</v>
      </c>
    </row>
    <row r="252" spans="1:22" x14ac:dyDescent="0.3">
      <c r="A252" s="22">
        <v>38534</v>
      </c>
      <c r="B252" s="16">
        <v>43.490993000000003</v>
      </c>
      <c r="C252" s="16">
        <v>8.1056000000000008</v>
      </c>
      <c r="D252" s="21">
        <v>15851</v>
      </c>
      <c r="E252" s="16">
        <v>63.787999999999997</v>
      </c>
      <c r="F252" s="16">
        <v>7.7803000000000004</v>
      </c>
      <c r="G252" s="16">
        <v>1.3704909999999999</v>
      </c>
      <c r="H252" s="16">
        <v>99.924999999999997</v>
      </c>
      <c r="I252" s="8">
        <v>1.6664000000000001</v>
      </c>
      <c r="J252" s="16">
        <v>3.8</v>
      </c>
      <c r="K252" s="10">
        <v>3.673</v>
      </c>
      <c r="L252" s="11">
        <v>9518</v>
      </c>
      <c r="M252" s="13">
        <v>108.53</v>
      </c>
      <c r="N252" s="10">
        <v>38.470537</v>
      </c>
      <c r="O252" s="10">
        <v>28.7</v>
      </c>
      <c r="P252" s="10">
        <v>31.08</v>
      </c>
      <c r="Q252" s="11">
        <v>8148</v>
      </c>
      <c r="R252" s="16">
        <v>0.5202</v>
      </c>
      <c r="S252" s="16">
        <v>0.76849299999999998</v>
      </c>
      <c r="T252" s="16">
        <v>34.578000000000003</v>
      </c>
      <c r="U252" s="16">
        <v>56.780574999999999</v>
      </c>
      <c r="V252" s="16">
        <v>83.88</v>
      </c>
    </row>
    <row r="253" spans="1:22" x14ac:dyDescent="0.3">
      <c r="A253" s="22">
        <v>38504</v>
      </c>
      <c r="B253" s="16">
        <v>43.560580000000002</v>
      </c>
      <c r="C253" s="16">
        <v>8.2765000000000004</v>
      </c>
      <c r="D253" s="21">
        <v>15860</v>
      </c>
      <c r="E253" s="16">
        <v>63.73</v>
      </c>
      <c r="F253" s="16">
        <v>7.7952000000000004</v>
      </c>
      <c r="G253" s="16">
        <v>1.363823</v>
      </c>
      <c r="H253" s="16">
        <v>99.775000000000006</v>
      </c>
      <c r="I253" s="8">
        <v>1.6377999999999999</v>
      </c>
      <c r="J253" s="16">
        <v>3.8</v>
      </c>
      <c r="K253" s="10">
        <v>3.6726000000000001</v>
      </c>
      <c r="L253" s="11">
        <v>9570</v>
      </c>
      <c r="M253" s="13">
        <v>104.67</v>
      </c>
      <c r="N253" s="10">
        <v>38.75873</v>
      </c>
      <c r="O253" s="10">
        <v>28.55</v>
      </c>
      <c r="P253" s="10">
        <v>31.745000000000001</v>
      </c>
      <c r="Q253" s="11">
        <v>8144</v>
      </c>
      <c r="R253" s="16">
        <v>0.53100000000000003</v>
      </c>
      <c r="S253" s="16">
        <v>0.76219899999999996</v>
      </c>
      <c r="T253" s="16">
        <v>33.831000000000003</v>
      </c>
      <c r="U253" s="16">
        <v>57.302661000000001</v>
      </c>
      <c r="V253" s="16">
        <v>82.206999999999994</v>
      </c>
    </row>
    <row r="254" spans="1:22" x14ac:dyDescent="0.3">
      <c r="A254" s="22">
        <v>38473</v>
      </c>
      <c r="B254" s="16">
        <v>43.471815999999997</v>
      </c>
      <c r="C254" s="16">
        <v>8.2765000000000004</v>
      </c>
      <c r="D254" s="21">
        <v>15828</v>
      </c>
      <c r="E254" s="16">
        <v>63.6</v>
      </c>
      <c r="F254" s="16">
        <v>7.7994000000000003</v>
      </c>
      <c r="G254" s="16">
        <v>1.3133090000000001</v>
      </c>
      <c r="H254" s="16">
        <v>99.7</v>
      </c>
      <c r="I254" s="8">
        <v>1.6512</v>
      </c>
      <c r="J254" s="16">
        <v>3.8</v>
      </c>
      <c r="K254" s="10">
        <v>3.6728000000000001</v>
      </c>
      <c r="L254" s="11">
        <v>9471</v>
      </c>
      <c r="M254" s="13">
        <v>107.11</v>
      </c>
      <c r="N254" s="10">
        <v>39.205801999999998</v>
      </c>
      <c r="O254" s="10">
        <v>28.25</v>
      </c>
      <c r="P254" s="10">
        <v>31.79</v>
      </c>
      <c r="Q254" s="11">
        <v>8012</v>
      </c>
      <c r="R254" s="16">
        <v>0.5212</v>
      </c>
      <c r="S254" s="16">
        <v>0.74591099999999999</v>
      </c>
      <c r="T254" s="16">
        <v>33.845999999999997</v>
      </c>
      <c r="U254" s="16">
        <v>58.890084000000002</v>
      </c>
      <c r="V254" s="16">
        <v>82.978999999999999</v>
      </c>
    </row>
    <row r="255" spans="1:22" x14ac:dyDescent="0.3">
      <c r="A255" s="22">
        <v>38443</v>
      </c>
      <c r="B255" s="16">
        <v>43.694350999999997</v>
      </c>
      <c r="C255" s="16">
        <v>8.2765000000000004</v>
      </c>
      <c r="D255" s="21">
        <v>15819</v>
      </c>
      <c r="E255" s="16">
        <v>63.5</v>
      </c>
      <c r="F255" s="16">
        <v>7.7988</v>
      </c>
      <c r="G255" s="16">
        <v>1.3143830000000001</v>
      </c>
      <c r="H255" s="16">
        <v>99.5</v>
      </c>
      <c r="I255" s="8">
        <v>1.6224000000000001</v>
      </c>
      <c r="J255" s="16">
        <v>3.8</v>
      </c>
      <c r="K255" s="10">
        <v>3.6724999999999999</v>
      </c>
      <c r="L255" s="11">
        <v>9264.5</v>
      </c>
      <c r="M255" s="13">
        <v>104.58</v>
      </c>
      <c r="N255" s="10">
        <v>40.308601000000003</v>
      </c>
      <c r="O255" s="10">
        <v>28.39</v>
      </c>
      <c r="P255" s="10">
        <v>32.21</v>
      </c>
      <c r="Q255" s="11">
        <v>7976.5</v>
      </c>
      <c r="R255" s="16">
        <v>0.52329999999999999</v>
      </c>
      <c r="S255" s="16">
        <v>0.76985899999999996</v>
      </c>
      <c r="T255" s="16">
        <v>34.351999999999997</v>
      </c>
      <c r="U255" s="16">
        <v>58.538628000000003</v>
      </c>
      <c r="V255" s="16">
        <v>85.037000000000006</v>
      </c>
    </row>
    <row r="256" spans="1:22" x14ac:dyDescent="0.3">
      <c r="A256" s="22">
        <v>38412</v>
      </c>
      <c r="B256" s="16">
        <v>43.621073000000003</v>
      </c>
      <c r="C256" s="16">
        <v>8.2765000000000004</v>
      </c>
      <c r="D256" s="21">
        <v>15803</v>
      </c>
      <c r="E256" s="16">
        <v>63.125</v>
      </c>
      <c r="F256" s="16">
        <v>7.7995999999999999</v>
      </c>
      <c r="G256" s="16">
        <v>1.3548469999999999</v>
      </c>
      <c r="H256" s="16">
        <v>99.05</v>
      </c>
      <c r="I256" s="8">
        <v>1.6378999999999999</v>
      </c>
      <c r="J256" s="16">
        <v>3.8</v>
      </c>
      <c r="K256" s="10">
        <v>3.6730999999999998</v>
      </c>
      <c r="L256" s="11">
        <v>9165</v>
      </c>
      <c r="M256" s="13">
        <v>103.67</v>
      </c>
      <c r="N256" s="10">
        <v>41.296944000000003</v>
      </c>
      <c r="O256" s="10">
        <v>28.47</v>
      </c>
      <c r="P256" s="10">
        <v>33.445</v>
      </c>
      <c r="Q256" s="11">
        <v>7992</v>
      </c>
      <c r="R256" s="16">
        <v>0.54400000000000004</v>
      </c>
      <c r="S256" s="16">
        <v>0.80083400000000005</v>
      </c>
      <c r="T256" s="16">
        <v>33.94</v>
      </c>
      <c r="U256" s="16">
        <v>57.122242999999997</v>
      </c>
      <c r="V256" s="16">
        <v>83.322999999999993</v>
      </c>
    </row>
    <row r="257" spans="1:22" x14ac:dyDescent="0.3">
      <c r="A257" s="22">
        <v>38384</v>
      </c>
      <c r="B257" s="16">
        <v>43.629637000000002</v>
      </c>
      <c r="C257" s="16">
        <v>8.2765000000000004</v>
      </c>
      <c r="D257" s="21">
        <v>15786</v>
      </c>
      <c r="E257" s="16">
        <v>61.024999999999999</v>
      </c>
      <c r="F257" s="16">
        <v>7.7728000000000002</v>
      </c>
      <c r="G257" s="16">
        <v>1.3954979999999999</v>
      </c>
      <c r="H257" s="16">
        <v>104.47499999999999</v>
      </c>
      <c r="I257" s="8">
        <v>1.6332</v>
      </c>
      <c r="J257" s="16">
        <v>3.8</v>
      </c>
      <c r="K257" s="10">
        <v>3.673</v>
      </c>
      <c r="L257" s="11">
        <v>9282.5</v>
      </c>
      <c r="M257" s="13">
        <v>102.47</v>
      </c>
      <c r="N257" s="10">
        <v>41.472130999999997</v>
      </c>
      <c r="O257" s="10">
        <v>28.524999999999999</v>
      </c>
      <c r="P257" s="10">
        <v>33.97</v>
      </c>
      <c r="Q257" s="11">
        <v>7988</v>
      </c>
      <c r="R257" s="16">
        <v>0.55189999999999995</v>
      </c>
      <c r="S257" s="16">
        <v>0.81852100000000005</v>
      </c>
      <c r="T257" s="16">
        <v>33.408000000000001</v>
      </c>
      <c r="U257" s="16">
        <v>56.220224000000002</v>
      </c>
      <c r="V257" s="16">
        <v>83.209000000000003</v>
      </c>
    </row>
    <row r="258" spans="1:22" x14ac:dyDescent="0.3">
      <c r="A258" s="22">
        <v>38353</v>
      </c>
      <c r="B258" s="16">
        <v>43.672224</v>
      </c>
      <c r="C258" s="16">
        <v>8.2765000000000004</v>
      </c>
      <c r="D258" s="21">
        <v>15773</v>
      </c>
      <c r="E258" s="16">
        <v>59.685000000000002</v>
      </c>
      <c r="F258" s="16">
        <v>7.7752999999999997</v>
      </c>
      <c r="G258" s="16">
        <v>1.4498759999999999</v>
      </c>
      <c r="H258" s="16">
        <v>104.825</v>
      </c>
      <c r="I258" s="8">
        <v>1.6376999999999999</v>
      </c>
      <c r="J258" s="16">
        <v>3.8</v>
      </c>
      <c r="K258" s="10">
        <v>3.673</v>
      </c>
      <c r="L258" s="11">
        <v>9000</v>
      </c>
      <c r="M258" s="13">
        <v>102.91</v>
      </c>
      <c r="N258" s="10">
        <v>41.497435000000003</v>
      </c>
      <c r="O258" s="10">
        <v>28.3</v>
      </c>
      <c r="P258" s="10">
        <v>33.9</v>
      </c>
      <c r="Q258" s="11">
        <v>7967</v>
      </c>
      <c r="R258" s="16">
        <v>0.55479999999999996</v>
      </c>
      <c r="S258" s="16">
        <v>0.82136799999999999</v>
      </c>
      <c r="T258" s="16">
        <v>32.636000000000003</v>
      </c>
      <c r="U258" s="16">
        <v>56.377442000000002</v>
      </c>
      <c r="V258" s="16">
        <v>83.475999999999999</v>
      </c>
    </row>
    <row r="259" spans="1:22" x14ac:dyDescent="0.3">
      <c r="A259" s="22">
        <v>38322</v>
      </c>
      <c r="B259" s="16">
        <v>43.924765999999998</v>
      </c>
      <c r="C259" s="16">
        <v>8.2765000000000004</v>
      </c>
      <c r="D259" s="21">
        <v>15773</v>
      </c>
      <c r="E259" s="16">
        <v>59.95</v>
      </c>
      <c r="F259" s="16">
        <v>7.7816999999999998</v>
      </c>
      <c r="G259" s="16">
        <v>1.4895670000000001</v>
      </c>
      <c r="H259" s="16">
        <v>104.15</v>
      </c>
      <c r="I259" s="8">
        <v>1.6625000000000001</v>
      </c>
      <c r="J259" s="16">
        <v>3.8</v>
      </c>
      <c r="K259" s="10">
        <v>3.673</v>
      </c>
      <c r="L259" s="11">
        <v>9087.5</v>
      </c>
      <c r="M259" s="13">
        <v>105.79</v>
      </c>
      <c r="N259" s="10">
        <v>40.710123000000003</v>
      </c>
      <c r="O259" s="10">
        <v>28.3</v>
      </c>
      <c r="P259" s="10">
        <v>33.99</v>
      </c>
      <c r="Q259" s="11">
        <v>7951.5</v>
      </c>
      <c r="R259" s="16">
        <v>0.5494</v>
      </c>
      <c r="S259" s="16">
        <v>0.81535500000000005</v>
      </c>
      <c r="T259" s="16">
        <v>32.585000000000001</v>
      </c>
      <c r="U259" s="16">
        <v>56.226557</v>
      </c>
      <c r="V259" s="16">
        <v>84.405000000000001</v>
      </c>
    </row>
    <row r="260" spans="1:22" x14ac:dyDescent="0.3">
      <c r="A260" s="22">
        <v>38292</v>
      </c>
      <c r="B260" s="16">
        <v>45.061787000000002</v>
      </c>
      <c r="C260" s="16">
        <v>8.2765000000000004</v>
      </c>
      <c r="D260" s="21">
        <v>15750</v>
      </c>
      <c r="E260" s="16">
        <v>59.5</v>
      </c>
      <c r="F260" s="16">
        <v>7.7972000000000001</v>
      </c>
      <c r="G260" s="16">
        <v>1.504788</v>
      </c>
      <c r="H260" s="16">
        <v>103.58</v>
      </c>
      <c r="I260" s="8">
        <v>1.6839</v>
      </c>
      <c r="J260" s="16">
        <v>3.8</v>
      </c>
      <c r="K260" s="10">
        <v>3.673</v>
      </c>
      <c r="L260" s="11">
        <v>9149.5</v>
      </c>
      <c r="M260" s="13">
        <v>110.03</v>
      </c>
      <c r="N260" s="10">
        <v>40.764352000000002</v>
      </c>
      <c r="O260" s="10">
        <v>28.05</v>
      </c>
      <c r="P260" s="10">
        <v>33.57</v>
      </c>
      <c r="Q260" s="11">
        <v>7933</v>
      </c>
      <c r="R260" s="16">
        <v>0.54959999999999998</v>
      </c>
      <c r="S260" s="16">
        <v>0.82355800000000001</v>
      </c>
      <c r="T260" s="16">
        <v>32.110999999999997</v>
      </c>
      <c r="U260" s="16">
        <v>55.313257</v>
      </c>
      <c r="V260" s="16">
        <v>83.644999999999996</v>
      </c>
    </row>
    <row r="261" spans="1:22" x14ac:dyDescent="0.3">
      <c r="A261" s="22">
        <v>38261</v>
      </c>
      <c r="B261" s="16">
        <v>45.736904000000003</v>
      </c>
      <c r="C261" s="16">
        <v>8.2765000000000004</v>
      </c>
      <c r="D261" s="21">
        <v>15745</v>
      </c>
      <c r="E261" s="16">
        <v>59.35</v>
      </c>
      <c r="F261" s="16">
        <v>7.7999000000000001</v>
      </c>
      <c r="G261" s="16">
        <v>1.4783679999999999</v>
      </c>
      <c r="H261" s="16">
        <v>103.125</v>
      </c>
      <c r="I261" s="8">
        <v>1.7108000000000001</v>
      </c>
      <c r="J261" s="16">
        <v>3.8</v>
      </c>
      <c r="K261" s="10">
        <v>3.673</v>
      </c>
      <c r="L261" s="11">
        <v>9367.5</v>
      </c>
      <c r="M261" s="13">
        <v>109.14</v>
      </c>
      <c r="N261" s="10">
        <v>40.451337000000002</v>
      </c>
      <c r="O261" s="10">
        <v>28.2</v>
      </c>
      <c r="P261" s="10">
        <v>33.365000000000002</v>
      </c>
      <c r="Q261" s="11">
        <v>7927</v>
      </c>
      <c r="R261" s="16">
        <v>0.54579999999999995</v>
      </c>
      <c r="S261" s="16">
        <v>0.83292600000000006</v>
      </c>
      <c r="T261" s="16">
        <v>32.524999999999999</v>
      </c>
      <c r="U261" s="16">
        <v>54.148763000000002</v>
      </c>
      <c r="V261" s="16">
        <v>83.302999999999997</v>
      </c>
    </row>
    <row r="262" spans="1:22" x14ac:dyDescent="0.3">
      <c r="A262" s="22">
        <v>38231</v>
      </c>
      <c r="B262" s="16">
        <v>46.015847999999998</v>
      </c>
      <c r="C262" s="16">
        <v>8.2766000000000002</v>
      </c>
      <c r="D262" s="21">
        <v>15760</v>
      </c>
      <c r="E262" s="16">
        <v>59.35</v>
      </c>
      <c r="F262" s="16">
        <v>7.7991999999999999</v>
      </c>
      <c r="G262" s="16">
        <v>1.454699</v>
      </c>
      <c r="H262" s="16">
        <v>103.625</v>
      </c>
      <c r="I262" s="8">
        <v>1.7183999999999999</v>
      </c>
      <c r="J262" s="16">
        <v>3.8</v>
      </c>
      <c r="K262" s="10">
        <v>3.6730999999999998</v>
      </c>
      <c r="L262" s="11">
        <v>9142</v>
      </c>
      <c r="M262" s="13">
        <v>111.46</v>
      </c>
      <c r="N262" s="10">
        <v>39.431696000000002</v>
      </c>
      <c r="O262" s="10">
        <v>27.45</v>
      </c>
      <c r="P262" s="10">
        <v>33.21</v>
      </c>
      <c r="Q262" s="11">
        <v>7925</v>
      </c>
      <c r="R262" s="16">
        <v>0.56200000000000006</v>
      </c>
      <c r="S262" s="16">
        <v>0.83445999999999998</v>
      </c>
      <c r="T262" s="16">
        <v>32.052</v>
      </c>
      <c r="U262" s="16">
        <v>52.790295999999998</v>
      </c>
      <c r="V262" s="16">
        <v>79.117000000000004</v>
      </c>
    </row>
    <row r="263" spans="1:22" x14ac:dyDescent="0.3">
      <c r="A263" s="22">
        <v>38200</v>
      </c>
      <c r="B263" s="16">
        <v>46.302089000000002</v>
      </c>
      <c r="C263" s="16">
        <v>8.2766000000000002</v>
      </c>
      <c r="D263" s="21">
        <v>15748</v>
      </c>
      <c r="E263" s="16">
        <v>59.65</v>
      </c>
      <c r="F263" s="16">
        <v>7.7996999999999996</v>
      </c>
      <c r="G263" s="16">
        <v>1.4939899999999999</v>
      </c>
      <c r="H263" s="16">
        <v>102.35</v>
      </c>
      <c r="I263" s="8">
        <v>1.7178</v>
      </c>
      <c r="J263" s="16">
        <v>3.8</v>
      </c>
      <c r="K263" s="10">
        <v>3.6728000000000001</v>
      </c>
      <c r="L263" s="11">
        <v>9395</v>
      </c>
      <c r="M263" s="13">
        <v>108.89</v>
      </c>
      <c r="N263" s="10">
        <v>39.315218000000002</v>
      </c>
      <c r="O263" s="10">
        <v>26.55</v>
      </c>
      <c r="P263" s="10">
        <v>32.950000000000003</v>
      </c>
      <c r="Q263" s="11">
        <v>7925</v>
      </c>
      <c r="R263" s="16">
        <v>0.54169999999999996</v>
      </c>
      <c r="S263" s="16">
        <v>0.81559800000000005</v>
      </c>
      <c r="T263" s="16">
        <v>33.238999999999997</v>
      </c>
      <c r="U263" s="16">
        <v>55.179537000000003</v>
      </c>
      <c r="V263" s="16">
        <v>80.016999999999996</v>
      </c>
    </row>
    <row r="264" spans="1:22" x14ac:dyDescent="0.3">
      <c r="A264" s="22">
        <v>38169</v>
      </c>
      <c r="B264" s="16">
        <v>45.84272</v>
      </c>
      <c r="C264" s="16">
        <v>8.2768999999999995</v>
      </c>
      <c r="D264" s="21">
        <v>15721.5</v>
      </c>
      <c r="E264" s="16">
        <v>59.1</v>
      </c>
      <c r="F264" s="16">
        <v>7.7938999999999998</v>
      </c>
      <c r="G264" s="16">
        <v>1.514702</v>
      </c>
      <c r="H264" s="16">
        <v>99.2</v>
      </c>
      <c r="I264" s="8">
        <v>1.6975</v>
      </c>
      <c r="J264" s="16">
        <v>3.8</v>
      </c>
      <c r="K264" s="10">
        <v>3.6732</v>
      </c>
      <c r="L264" s="11">
        <v>9267.5</v>
      </c>
      <c r="M264" s="13">
        <v>109.52</v>
      </c>
      <c r="N264" s="10">
        <v>39.001725999999998</v>
      </c>
      <c r="O264" s="10">
        <v>25.5</v>
      </c>
      <c r="P264" s="10">
        <v>33.25</v>
      </c>
      <c r="Q264" s="11">
        <v>7924</v>
      </c>
      <c r="R264" s="16">
        <v>0.5353</v>
      </c>
      <c r="S264" s="16">
        <v>0.79081900000000005</v>
      </c>
      <c r="T264" s="16">
        <v>34.976999999999997</v>
      </c>
      <c r="U264" s="16">
        <v>57.084246</v>
      </c>
      <c r="V264" s="16">
        <v>84.444999999999993</v>
      </c>
    </row>
    <row r="265" spans="1:22" x14ac:dyDescent="0.3">
      <c r="A265" s="22">
        <v>38139</v>
      </c>
      <c r="B265" s="16">
        <v>45.551869000000003</v>
      </c>
      <c r="C265" s="16">
        <v>8.2766000000000002</v>
      </c>
      <c r="D265" s="21">
        <v>15741</v>
      </c>
      <c r="E265" s="16">
        <v>59.125</v>
      </c>
      <c r="F265" s="16">
        <v>7.7998000000000003</v>
      </c>
      <c r="G265" s="16">
        <v>1.366552</v>
      </c>
      <c r="H265" s="16">
        <v>98.3</v>
      </c>
      <c r="I265" s="8">
        <v>1.7030000000000001</v>
      </c>
      <c r="J265" s="16">
        <v>3.8</v>
      </c>
      <c r="K265" s="10">
        <v>3.6730999999999998</v>
      </c>
      <c r="L265" s="11">
        <v>8783</v>
      </c>
      <c r="M265" s="13">
        <v>110.41</v>
      </c>
      <c r="N265" s="10">
        <v>39.157677999999997</v>
      </c>
      <c r="O265" s="10">
        <v>25.4</v>
      </c>
      <c r="P265" s="10">
        <v>33.299999999999997</v>
      </c>
      <c r="Q265" s="11">
        <v>1750</v>
      </c>
      <c r="R265" s="16">
        <v>0.54820000000000002</v>
      </c>
      <c r="S265" s="16">
        <v>0.79289100000000001</v>
      </c>
      <c r="T265" s="16">
        <v>34.579000000000001</v>
      </c>
      <c r="U265" s="16">
        <v>57.346519999999998</v>
      </c>
      <c r="V265" s="16">
        <v>82.549000000000007</v>
      </c>
    </row>
    <row r="266" spans="1:22" x14ac:dyDescent="0.3">
      <c r="A266" s="22">
        <v>38108</v>
      </c>
      <c r="B266" s="16">
        <v>45.097864000000001</v>
      </c>
      <c r="C266" s="16">
        <v>8.2767999999999997</v>
      </c>
      <c r="D266" s="21">
        <v>15717.5</v>
      </c>
      <c r="E266" s="16">
        <v>59.05</v>
      </c>
      <c r="F266" s="16">
        <v>7.7927</v>
      </c>
      <c r="G266" s="16">
        <v>1.3215140000000001</v>
      </c>
      <c r="H266" s="16">
        <v>97.6</v>
      </c>
      <c r="I266" s="8">
        <v>1.6741999999999999</v>
      </c>
      <c r="J266" s="16">
        <v>3.8</v>
      </c>
      <c r="K266" s="10">
        <v>3.673</v>
      </c>
      <c r="L266" s="11">
        <v>8563.5</v>
      </c>
      <c r="M266" s="13">
        <v>104.21</v>
      </c>
      <c r="N266" s="10">
        <v>39.637656999999997</v>
      </c>
      <c r="O266" s="10">
        <v>26.2</v>
      </c>
      <c r="P266" s="10">
        <v>33.96</v>
      </c>
      <c r="Q266" s="11">
        <v>1750</v>
      </c>
      <c r="R266" s="16">
        <v>0.56000000000000005</v>
      </c>
      <c r="S266" s="16">
        <v>0.814114</v>
      </c>
      <c r="T266" s="16">
        <v>34.302999999999997</v>
      </c>
      <c r="U266" s="16">
        <v>55.792166000000002</v>
      </c>
      <c r="V266" s="16">
        <v>81.47</v>
      </c>
    </row>
    <row r="267" spans="1:22" x14ac:dyDescent="0.3">
      <c r="A267" s="22">
        <v>38078</v>
      </c>
      <c r="B267" s="16">
        <v>44.047398999999999</v>
      </c>
      <c r="C267" s="16">
        <v>8.2771000000000008</v>
      </c>
      <c r="D267" s="21">
        <v>15721</v>
      </c>
      <c r="E267" s="16">
        <v>58.9</v>
      </c>
      <c r="F267" s="16">
        <v>7.7842000000000002</v>
      </c>
      <c r="G267" s="16">
        <v>1.330573</v>
      </c>
      <c r="H267" s="16">
        <v>98.584999999999994</v>
      </c>
      <c r="I267" s="8">
        <v>1.6977</v>
      </c>
      <c r="J267" s="16">
        <v>3.8</v>
      </c>
      <c r="K267" s="10">
        <v>3.6728000000000001</v>
      </c>
      <c r="L267" s="11">
        <v>8455</v>
      </c>
      <c r="M267" s="13">
        <v>109.13</v>
      </c>
      <c r="N267" s="10">
        <v>39.870109999999997</v>
      </c>
      <c r="O267" s="10">
        <v>28.05</v>
      </c>
      <c r="P267" s="10">
        <v>34.15</v>
      </c>
      <c r="Q267" s="11">
        <v>1750</v>
      </c>
      <c r="R267" s="16">
        <v>0.58050000000000002</v>
      </c>
      <c r="S267" s="16">
        <v>0.85476700000000005</v>
      </c>
      <c r="T267" s="16">
        <v>33.149000000000001</v>
      </c>
      <c r="U267" s="16">
        <v>53.294848999999999</v>
      </c>
      <c r="V267" s="16">
        <v>78.834000000000003</v>
      </c>
    </row>
    <row r="268" spans="1:22" x14ac:dyDescent="0.3">
      <c r="A268" s="22">
        <v>38047</v>
      </c>
      <c r="B268" s="16">
        <v>45.000211999999998</v>
      </c>
      <c r="C268" s="16">
        <v>8.2771000000000008</v>
      </c>
      <c r="D268" s="21">
        <v>15754</v>
      </c>
      <c r="E268" s="16">
        <v>58.85</v>
      </c>
      <c r="F268" s="16">
        <v>7.7765000000000004</v>
      </c>
      <c r="G268" s="16">
        <v>1.346398</v>
      </c>
      <c r="H268" s="16">
        <v>97.28</v>
      </c>
      <c r="I268" s="8">
        <v>1.6938</v>
      </c>
      <c r="J268" s="16">
        <v>3.8</v>
      </c>
      <c r="K268" s="10">
        <v>3.6728000000000001</v>
      </c>
      <c r="L268" s="11">
        <v>8458.5</v>
      </c>
      <c r="M268" s="13">
        <v>105.71</v>
      </c>
      <c r="N268" s="10">
        <v>39.692819</v>
      </c>
      <c r="O268" s="10">
        <v>28.3</v>
      </c>
      <c r="P268" s="10">
        <v>33.93</v>
      </c>
      <c r="Q268" s="11">
        <v>1750</v>
      </c>
      <c r="R268" s="16">
        <v>0.58989999999999998</v>
      </c>
      <c r="S268" s="16">
        <v>0.85531999999999997</v>
      </c>
      <c r="T268" s="16">
        <v>32.097000000000001</v>
      </c>
      <c r="U268" s="16">
        <v>52.941954000000003</v>
      </c>
      <c r="V268" s="16">
        <v>76.823999999999998</v>
      </c>
    </row>
    <row r="269" spans="1:22" x14ac:dyDescent="0.3">
      <c r="A269" s="22">
        <v>38018</v>
      </c>
      <c r="B269" s="16">
        <v>45.139353999999997</v>
      </c>
      <c r="C269" s="16">
        <v>8.2768999999999995</v>
      </c>
      <c r="D269" s="21">
        <v>15695</v>
      </c>
      <c r="E269" s="16">
        <v>58.674999999999997</v>
      </c>
      <c r="F269" s="16">
        <v>7.7637</v>
      </c>
      <c r="G269" s="16">
        <v>1.4340280000000001</v>
      </c>
      <c r="H269" s="16">
        <v>96.55</v>
      </c>
      <c r="I269" s="8">
        <v>1.698</v>
      </c>
      <c r="J269" s="16">
        <v>3.8</v>
      </c>
      <c r="K269" s="10">
        <v>3.6728999999999998</v>
      </c>
      <c r="L269" s="11">
        <v>8422.5</v>
      </c>
      <c r="M269" s="13">
        <v>107.45</v>
      </c>
      <c r="N269" s="10">
        <v>40.426895999999999</v>
      </c>
      <c r="O269" s="10">
        <v>28.5</v>
      </c>
      <c r="P269" s="10">
        <v>33.734999999999999</v>
      </c>
      <c r="Q269" s="11">
        <v>1750</v>
      </c>
      <c r="R269" s="16">
        <v>0.6018</v>
      </c>
      <c r="S269" s="16">
        <v>0.89164299999999996</v>
      </c>
      <c r="T269" s="16">
        <v>31.062000000000001</v>
      </c>
      <c r="U269" s="16">
        <v>51.324706999999997</v>
      </c>
      <c r="V269" s="16">
        <v>75.837999999999994</v>
      </c>
    </row>
    <row r="270" spans="1:22" x14ac:dyDescent="0.3">
      <c r="A270" s="22">
        <v>37987</v>
      </c>
      <c r="B270" s="16">
        <v>45.466614999999997</v>
      </c>
      <c r="C270" s="16">
        <v>8.2767999999999997</v>
      </c>
      <c r="D270" s="21">
        <v>15642</v>
      </c>
      <c r="E270" s="16">
        <v>58.575000000000003</v>
      </c>
      <c r="F270" s="16">
        <v>7.7647000000000004</v>
      </c>
      <c r="G270" s="16">
        <v>1.475778</v>
      </c>
      <c r="H270" s="16">
        <v>96.424999999999997</v>
      </c>
      <c r="I270" s="8">
        <v>1.7235</v>
      </c>
      <c r="J270" s="16">
        <v>3.8</v>
      </c>
      <c r="K270" s="10">
        <v>3.6728000000000001</v>
      </c>
      <c r="L270" s="11">
        <v>8505</v>
      </c>
      <c r="M270" s="13">
        <v>109.61</v>
      </c>
      <c r="N270" s="10">
        <v>41.618830000000003</v>
      </c>
      <c r="O270" s="10">
        <v>28.85</v>
      </c>
      <c r="P270" s="10">
        <v>34.07</v>
      </c>
      <c r="Q270" s="11">
        <v>1750</v>
      </c>
      <c r="R270" s="16">
        <v>0.63390000000000002</v>
      </c>
      <c r="S270" s="16">
        <v>0.898038</v>
      </c>
      <c r="T270" s="16">
        <v>29.696999999999999</v>
      </c>
      <c r="U270" s="16">
        <v>51.199415999999999</v>
      </c>
      <c r="V270" s="16">
        <v>72.341999999999999</v>
      </c>
    </row>
    <row r="271" spans="1:22" x14ac:dyDescent="0.3">
      <c r="A271" s="22">
        <v>37956</v>
      </c>
      <c r="B271" s="16">
        <v>45.414444000000003</v>
      </c>
      <c r="C271" s="16">
        <v>8.2766999999999999</v>
      </c>
      <c r="D271" s="21">
        <v>15626</v>
      </c>
      <c r="E271" s="16">
        <v>58.274999999999999</v>
      </c>
      <c r="F271" s="16">
        <v>7.7647000000000004</v>
      </c>
      <c r="G271" s="16">
        <v>1.4360869999999999</v>
      </c>
      <c r="H271" s="16">
        <v>94.76</v>
      </c>
      <c r="I271" s="8">
        <v>1.7395</v>
      </c>
      <c r="J271" s="16">
        <v>3.8</v>
      </c>
      <c r="K271" s="10">
        <v>3.673</v>
      </c>
      <c r="L271" s="11">
        <v>8496.5</v>
      </c>
      <c r="M271" s="13">
        <v>109.95</v>
      </c>
      <c r="N271" s="10">
        <v>41.692281999999999</v>
      </c>
      <c r="O271" s="10">
        <v>29.25</v>
      </c>
      <c r="P271" s="10">
        <v>34.395000000000003</v>
      </c>
      <c r="Q271" s="11">
        <v>1750</v>
      </c>
      <c r="R271" s="16">
        <v>0.62109999999999999</v>
      </c>
      <c r="S271" s="16">
        <v>0.87943899999999997</v>
      </c>
      <c r="T271" s="16">
        <v>29.963000000000001</v>
      </c>
      <c r="U271" s="16">
        <v>52.478624000000003</v>
      </c>
      <c r="V271" s="16">
        <v>74.341999999999999</v>
      </c>
    </row>
    <row r="272" spans="1:22" x14ac:dyDescent="0.3">
      <c r="A272" s="22">
        <v>37926</v>
      </c>
      <c r="B272" s="16">
        <v>45.541876000000002</v>
      </c>
      <c r="C272" s="16">
        <v>8.2769999999999992</v>
      </c>
      <c r="D272" s="21">
        <v>15642</v>
      </c>
      <c r="E272" s="16">
        <v>58.3</v>
      </c>
      <c r="F272" s="16">
        <v>7.7446000000000002</v>
      </c>
      <c r="G272" s="16">
        <v>1.378546</v>
      </c>
      <c r="H272" s="16">
        <v>94.36</v>
      </c>
      <c r="I272" s="8">
        <v>1.7296</v>
      </c>
      <c r="J272" s="16">
        <v>3.8</v>
      </c>
      <c r="K272" s="10">
        <v>3.673</v>
      </c>
      <c r="L272" s="11">
        <v>8395</v>
      </c>
      <c r="M272" s="13">
        <v>111.48</v>
      </c>
      <c r="N272" s="10">
        <v>41.663657000000001</v>
      </c>
      <c r="O272" s="10">
        <v>29.15</v>
      </c>
      <c r="P272" s="10">
        <v>34.56</v>
      </c>
      <c r="Q272" s="11">
        <v>1750</v>
      </c>
      <c r="R272" s="16">
        <v>0.60419999999999996</v>
      </c>
      <c r="S272" s="16">
        <v>0.85752600000000001</v>
      </c>
      <c r="T272" s="16">
        <v>31.263999999999999</v>
      </c>
      <c r="U272" s="16">
        <v>54.555982</v>
      </c>
      <c r="V272" s="16">
        <v>76.784999999999997</v>
      </c>
    </row>
    <row r="273" spans="1:22" x14ac:dyDescent="0.3">
      <c r="A273" s="22">
        <v>37895</v>
      </c>
      <c r="B273" s="16">
        <v>45.281046000000003</v>
      </c>
      <c r="C273" s="16">
        <v>8.2767999999999997</v>
      </c>
      <c r="D273" s="21">
        <v>15554</v>
      </c>
      <c r="E273" s="16">
        <v>58.35</v>
      </c>
      <c r="F273" s="16">
        <v>7.7992999999999997</v>
      </c>
      <c r="G273" s="16">
        <v>1.404245</v>
      </c>
      <c r="H273" s="16">
        <v>96.83</v>
      </c>
      <c r="I273" s="8">
        <v>1.7517</v>
      </c>
      <c r="J273" s="16">
        <v>3.8</v>
      </c>
      <c r="K273" s="10">
        <v>3.6728000000000001</v>
      </c>
      <c r="L273" s="11">
        <v>8485</v>
      </c>
      <c r="M273" s="13">
        <v>116.89</v>
      </c>
      <c r="N273" s="10">
        <v>42.025613</v>
      </c>
      <c r="O273" s="10">
        <v>27.12</v>
      </c>
      <c r="P273" s="10">
        <v>34.65</v>
      </c>
      <c r="Q273" s="11">
        <v>1750</v>
      </c>
      <c r="R273" s="16">
        <v>0.61109999999999998</v>
      </c>
      <c r="S273" s="16">
        <v>0.86365400000000003</v>
      </c>
      <c r="T273" s="16">
        <v>30.757999999999999</v>
      </c>
      <c r="U273" s="16">
        <v>54.281959999999998</v>
      </c>
      <c r="V273" s="16">
        <v>76.944000000000003</v>
      </c>
    </row>
    <row r="274" spans="1:22" x14ac:dyDescent="0.3">
      <c r="A274" s="22">
        <v>37865</v>
      </c>
      <c r="B274" s="16">
        <v>45.743667000000002</v>
      </c>
      <c r="C274" s="16">
        <v>8.2769999999999992</v>
      </c>
      <c r="D274" s="21">
        <v>15520</v>
      </c>
      <c r="E274" s="16">
        <v>58.405000000000001</v>
      </c>
      <c r="F274" s="16">
        <v>7.7992999999999997</v>
      </c>
      <c r="G274" s="16">
        <v>1.404234</v>
      </c>
      <c r="H274" s="16">
        <v>97.14</v>
      </c>
      <c r="I274" s="8">
        <v>1.7603</v>
      </c>
      <c r="J274" s="16">
        <v>3.8</v>
      </c>
      <c r="K274" s="10">
        <v>3.6728999999999998</v>
      </c>
      <c r="L274" s="11">
        <v>8510</v>
      </c>
      <c r="M274" s="13">
        <v>120.6</v>
      </c>
      <c r="N274" s="10">
        <v>43.011549000000002</v>
      </c>
      <c r="O274" s="10">
        <v>26.95</v>
      </c>
      <c r="P274" s="10">
        <v>34.85</v>
      </c>
      <c r="Q274" s="11">
        <v>1750</v>
      </c>
      <c r="R274" s="16">
        <v>0.62560000000000004</v>
      </c>
      <c r="S274" s="16">
        <v>0.92201299999999997</v>
      </c>
      <c r="T274" s="16">
        <v>29.652999999999999</v>
      </c>
      <c r="U274" s="16">
        <v>51.890853999999997</v>
      </c>
      <c r="V274" s="16">
        <v>75.656999999999996</v>
      </c>
    </row>
    <row r="275" spans="1:22" x14ac:dyDescent="0.3">
      <c r="A275" s="22">
        <v>37834</v>
      </c>
      <c r="B275" s="16">
        <v>45.966872000000002</v>
      </c>
      <c r="C275" s="16">
        <v>8.2772000000000006</v>
      </c>
      <c r="D275" s="21">
        <v>15514</v>
      </c>
      <c r="E275" s="16">
        <v>58.35</v>
      </c>
      <c r="F275" s="16">
        <v>7.7983000000000002</v>
      </c>
      <c r="G275" s="16">
        <v>1.42679</v>
      </c>
      <c r="H275" s="16">
        <v>97.155000000000001</v>
      </c>
      <c r="I275" s="8">
        <v>1.7605</v>
      </c>
      <c r="J275" s="16">
        <v>3.8</v>
      </c>
      <c r="K275" s="10">
        <v>3.6730999999999998</v>
      </c>
      <c r="L275" s="11">
        <v>8250</v>
      </c>
      <c r="M275" s="13">
        <v>119.74</v>
      </c>
      <c r="N275" s="10">
        <v>43.183956000000002</v>
      </c>
      <c r="O275" s="10">
        <v>27.17</v>
      </c>
      <c r="P275" s="10">
        <v>34.700000000000003</v>
      </c>
      <c r="Q275" s="11">
        <v>1752.5</v>
      </c>
      <c r="R275" s="16">
        <v>0.63160000000000005</v>
      </c>
      <c r="S275" s="16">
        <v>0.925589</v>
      </c>
      <c r="T275" s="16">
        <v>28.69</v>
      </c>
      <c r="U275" s="16">
        <v>52.345986000000003</v>
      </c>
      <c r="V275" s="16">
        <v>75.174999999999997</v>
      </c>
    </row>
    <row r="276" spans="1:22" x14ac:dyDescent="0.3">
      <c r="A276" s="22">
        <v>37803</v>
      </c>
      <c r="B276" s="16">
        <v>46.147689</v>
      </c>
      <c r="C276" s="16">
        <v>8.2774000000000001</v>
      </c>
      <c r="D276" s="21">
        <v>15497</v>
      </c>
      <c r="E276" s="16">
        <v>58.325000000000003</v>
      </c>
      <c r="F276" s="16">
        <v>7.7986000000000004</v>
      </c>
      <c r="G276" s="16">
        <v>1.4859450000000001</v>
      </c>
      <c r="H276" s="16">
        <v>97.23</v>
      </c>
      <c r="I276" s="8">
        <v>1.7323</v>
      </c>
      <c r="J276" s="16">
        <v>3.8</v>
      </c>
      <c r="K276" s="10">
        <v>3.6728999999999998</v>
      </c>
      <c r="L276" s="11">
        <v>8310</v>
      </c>
      <c r="M276" s="13">
        <v>119.32</v>
      </c>
      <c r="N276" s="10">
        <v>42.934480999999998</v>
      </c>
      <c r="O276" s="10">
        <v>27.53</v>
      </c>
      <c r="P276" s="10">
        <v>34.75</v>
      </c>
      <c r="Q276" s="11">
        <v>1747.5</v>
      </c>
      <c r="R276" s="16">
        <v>0.63549999999999995</v>
      </c>
      <c r="S276" s="16">
        <v>0.92827199999999999</v>
      </c>
      <c r="T276" s="16">
        <v>28.978000000000002</v>
      </c>
      <c r="U276" s="16">
        <v>51.47757</v>
      </c>
      <c r="V276" s="16">
        <v>74.914000000000001</v>
      </c>
    </row>
    <row r="277" spans="1:22" x14ac:dyDescent="0.3">
      <c r="A277" s="22">
        <v>37773</v>
      </c>
      <c r="B277" s="16">
        <v>46.774461000000002</v>
      </c>
      <c r="C277" s="16">
        <v>8.2774999999999999</v>
      </c>
      <c r="D277" s="21">
        <v>15473.5</v>
      </c>
      <c r="E277" s="16">
        <v>58.15</v>
      </c>
      <c r="F277" s="16">
        <v>7.7991999999999999</v>
      </c>
      <c r="G277" s="16">
        <v>1.6297429999999999</v>
      </c>
      <c r="H277" s="16">
        <v>97.13</v>
      </c>
      <c r="I277" s="8">
        <v>1.7734000000000001</v>
      </c>
      <c r="J277" s="16">
        <v>3.8</v>
      </c>
      <c r="K277" s="10">
        <v>3.6728999999999998</v>
      </c>
      <c r="L277" s="11">
        <v>8673.5</v>
      </c>
      <c r="M277" s="13">
        <v>118.9</v>
      </c>
      <c r="N277" s="10">
        <v>42.793104999999997</v>
      </c>
      <c r="O277" s="10">
        <v>28.2</v>
      </c>
      <c r="P277" s="10">
        <v>34.700000000000003</v>
      </c>
      <c r="Q277" s="11">
        <v>1747.5</v>
      </c>
      <c r="R277" s="16">
        <v>0.6069</v>
      </c>
      <c r="S277" s="16">
        <v>0.94164899999999996</v>
      </c>
      <c r="T277" s="16">
        <v>28.08</v>
      </c>
      <c r="U277" s="16">
        <v>50.926918000000001</v>
      </c>
      <c r="V277" s="16">
        <v>78.763999999999996</v>
      </c>
    </row>
    <row r="278" spans="1:22" x14ac:dyDescent="0.3">
      <c r="A278" s="22">
        <v>37742</v>
      </c>
      <c r="B278" s="16">
        <v>46.872655999999999</v>
      </c>
      <c r="C278" s="16">
        <v>8.2769999999999992</v>
      </c>
      <c r="D278" s="21">
        <v>15464</v>
      </c>
      <c r="E278" s="16">
        <v>58.2</v>
      </c>
      <c r="F278" s="16">
        <v>7.7995000000000001</v>
      </c>
      <c r="G278" s="16">
        <v>1.670085</v>
      </c>
      <c r="H278" s="16">
        <v>96.944999999999993</v>
      </c>
      <c r="I278" s="8">
        <v>1.7639</v>
      </c>
      <c r="J278" s="16">
        <v>3.8</v>
      </c>
      <c r="K278" s="10">
        <v>3.6728000000000001</v>
      </c>
      <c r="L278" s="11">
        <v>8901.5</v>
      </c>
      <c r="M278" s="13">
        <v>118.02</v>
      </c>
      <c r="N278" s="10">
        <v>43.324573999999998</v>
      </c>
      <c r="O278" s="10">
        <v>29.2</v>
      </c>
      <c r="P278" s="10">
        <v>34.65</v>
      </c>
      <c r="Q278" s="11">
        <v>1747.5</v>
      </c>
      <c r="R278" s="16">
        <v>0.62019999999999997</v>
      </c>
      <c r="S278" s="16">
        <v>0.98231400000000002</v>
      </c>
      <c r="T278" s="16">
        <v>26.907</v>
      </c>
      <c r="U278" s="16">
        <v>48.97531</v>
      </c>
      <c r="V278" s="16">
        <v>77.262</v>
      </c>
    </row>
    <row r="279" spans="1:22" x14ac:dyDescent="0.3">
      <c r="A279" s="22">
        <v>37712</v>
      </c>
      <c r="B279" s="16">
        <v>47.843215999999998</v>
      </c>
      <c r="C279" s="16">
        <v>8.2772000000000006</v>
      </c>
      <c r="D279" s="21">
        <v>15453.5</v>
      </c>
      <c r="E279" s="16">
        <v>58.2</v>
      </c>
      <c r="F279" s="16">
        <v>7.7990000000000004</v>
      </c>
      <c r="G279" s="16">
        <v>1.63591</v>
      </c>
      <c r="H279" s="16">
        <v>96.89</v>
      </c>
      <c r="I279" s="8">
        <v>1.7364999999999999</v>
      </c>
      <c r="J279" s="16">
        <v>3.8</v>
      </c>
      <c r="K279" s="10">
        <v>3.673</v>
      </c>
      <c r="L279" s="11">
        <v>8883.5</v>
      </c>
      <c r="M279" s="13">
        <v>118.12</v>
      </c>
      <c r="N279" s="10">
        <v>43.291449</v>
      </c>
      <c r="O279" s="10">
        <v>29.45</v>
      </c>
      <c r="P279" s="10">
        <v>34.71</v>
      </c>
      <c r="Q279" s="11">
        <v>1747.5</v>
      </c>
      <c r="R279" s="16">
        <v>0.64219999999999999</v>
      </c>
      <c r="S279" s="16">
        <v>0.99868999999999997</v>
      </c>
      <c r="T279" s="16">
        <v>27.085000000000001</v>
      </c>
      <c r="U279" s="16">
        <v>48.297156999999999</v>
      </c>
      <c r="V279" s="16">
        <v>75.224000000000004</v>
      </c>
    </row>
    <row r="280" spans="1:22" x14ac:dyDescent="0.3">
      <c r="A280" s="22">
        <v>37681</v>
      </c>
      <c r="B280" s="16">
        <v>48.455159000000002</v>
      </c>
      <c r="C280" s="16">
        <v>8.2774000000000001</v>
      </c>
      <c r="D280" s="21">
        <v>15429.5</v>
      </c>
      <c r="E280" s="16">
        <v>58.2</v>
      </c>
      <c r="F280" s="16">
        <v>7.7999000000000001</v>
      </c>
      <c r="G280" s="16">
        <v>1.663737</v>
      </c>
      <c r="H280" s="16">
        <v>96.8</v>
      </c>
      <c r="I280" s="8">
        <v>1.7361</v>
      </c>
      <c r="J280" s="16">
        <v>3.8</v>
      </c>
      <c r="K280" s="10">
        <v>3.6728999999999998</v>
      </c>
      <c r="L280" s="11">
        <v>8870</v>
      </c>
      <c r="M280" s="13">
        <v>119.91</v>
      </c>
      <c r="N280" s="10">
        <v>43.531156000000003</v>
      </c>
      <c r="O280" s="10">
        <v>29.65</v>
      </c>
      <c r="P280" s="10">
        <v>34.700000000000003</v>
      </c>
      <c r="Q280" s="11">
        <v>1747.5</v>
      </c>
      <c r="R280" s="16">
        <v>0.6391</v>
      </c>
      <c r="S280" s="16">
        <v>1.019279</v>
      </c>
      <c r="T280" s="16">
        <v>26.826000000000001</v>
      </c>
      <c r="U280" s="16">
        <v>47.421691000000003</v>
      </c>
      <c r="V280" s="16">
        <v>75.641999999999996</v>
      </c>
    </row>
    <row r="281" spans="1:22" x14ac:dyDescent="0.3">
      <c r="A281" s="22">
        <v>37653</v>
      </c>
      <c r="B281" s="16">
        <v>47.784717000000001</v>
      </c>
      <c r="C281" s="16">
        <v>8.2774999999999999</v>
      </c>
      <c r="D281" s="21">
        <v>15431</v>
      </c>
      <c r="E281" s="16">
        <v>58.2</v>
      </c>
      <c r="F281" s="16">
        <v>7.7984999999999998</v>
      </c>
      <c r="G281" s="16">
        <v>1.589556</v>
      </c>
      <c r="H281" s="16">
        <v>96.6</v>
      </c>
      <c r="I281" s="8">
        <v>1.7345999999999999</v>
      </c>
      <c r="J281" s="16">
        <v>3.8</v>
      </c>
      <c r="K281" s="10">
        <v>3.673</v>
      </c>
      <c r="L281" s="11">
        <v>8950</v>
      </c>
      <c r="M281" s="13">
        <v>118.55</v>
      </c>
      <c r="N281" s="10">
        <v>42.826188999999999</v>
      </c>
      <c r="O281" s="10">
        <v>29.7</v>
      </c>
      <c r="P281" s="10">
        <v>34.869999999999997</v>
      </c>
      <c r="Q281" s="11">
        <v>1747.5</v>
      </c>
      <c r="R281" s="16">
        <v>0.63749999999999996</v>
      </c>
      <c r="S281" s="16">
        <v>1.0196480000000001</v>
      </c>
      <c r="T281" s="16">
        <v>26.233000000000001</v>
      </c>
      <c r="U281" s="16">
        <v>47.436537999999999</v>
      </c>
      <c r="V281" s="16">
        <v>75.846000000000004</v>
      </c>
    </row>
    <row r="282" spans="1:22" x14ac:dyDescent="0.3">
      <c r="A282" s="22">
        <v>37622</v>
      </c>
      <c r="B282" s="16">
        <v>47.947453000000003</v>
      </c>
      <c r="C282" s="16">
        <v>8.2783999999999995</v>
      </c>
      <c r="D282" s="21">
        <v>15401</v>
      </c>
      <c r="E282" s="16">
        <v>57.9</v>
      </c>
      <c r="F282" s="16">
        <v>7.7987000000000002</v>
      </c>
      <c r="G282" s="16">
        <v>1.6043080000000001</v>
      </c>
      <c r="H282" s="16">
        <v>96.275000000000006</v>
      </c>
      <c r="I282" s="8">
        <v>1.7655000000000001</v>
      </c>
      <c r="J282" s="16">
        <v>3.8</v>
      </c>
      <c r="K282" s="10">
        <v>3.6728999999999998</v>
      </c>
      <c r="L282" s="11">
        <v>8977.5</v>
      </c>
      <c r="M282" s="13">
        <v>122.47</v>
      </c>
      <c r="N282" s="10">
        <v>42.124467000000003</v>
      </c>
      <c r="O282" s="10">
        <v>29.55</v>
      </c>
      <c r="P282" s="10">
        <v>34.19</v>
      </c>
      <c r="Q282" s="11">
        <v>1747.5</v>
      </c>
      <c r="R282" s="16">
        <v>0.6452</v>
      </c>
      <c r="S282" s="16">
        <v>1.0227809999999999</v>
      </c>
      <c r="T282" s="16">
        <v>26.7</v>
      </c>
      <c r="U282" s="16">
        <v>47.431477000000001</v>
      </c>
      <c r="V282" s="16">
        <v>75.123999999999995</v>
      </c>
    </row>
    <row r="283" spans="1:22" x14ac:dyDescent="0.3">
      <c r="A283" s="22">
        <v>37591</v>
      </c>
      <c r="B283" s="16">
        <v>48.099958999999998</v>
      </c>
      <c r="C283" s="16">
        <v>8.2784999999999993</v>
      </c>
      <c r="D283" s="21">
        <v>15383.5</v>
      </c>
      <c r="E283" s="16">
        <v>57.9</v>
      </c>
      <c r="F283" s="16">
        <v>7.7994000000000003</v>
      </c>
      <c r="G283" s="16">
        <v>1.6570309999999999</v>
      </c>
      <c r="H283" s="16">
        <v>96.25</v>
      </c>
      <c r="I283" s="8">
        <v>1.768</v>
      </c>
      <c r="J283" s="16">
        <v>3.8</v>
      </c>
      <c r="K283" s="10">
        <v>3.6728000000000001</v>
      </c>
      <c r="L283" s="11">
        <v>9230</v>
      </c>
      <c r="M283" s="13">
        <v>122.48</v>
      </c>
      <c r="N283" s="10">
        <v>41.205928</v>
      </c>
      <c r="O283" s="10">
        <v>29.81</v>
      </c>
      <c r="P283" s="10">
        <v>33.56</v>
      </c>
      <c r="Q283" s="11">
        <v>1747.5</v>
      </c>
      <c r="R283" s="16">
        <v>0.63949999999999996</v>
      </c>
      <c r="S283" s="16">
        <v>1.0080229999999999</v>
      </c>
      <c r="T283" s="16">
        <v>26.428000000000001</v>
      </c>
      <c r="U283" s="16">
        <v>48.319343000000003</v>
      </c>
      <c r="V283" s="16">
        <v>76.06</v>
      </c>
    </row>
    <row r="284" spans="1:22" x14ac:dyDescent="0.3">
      <c r="A284" s="22">
        <v>37561</v>
      </c>
      <c r="B284" s="16">
        <v>48.231980999999998</v>
      </c>
      <c r="C284" s="16">
        <v>8.2773000000000003</v>
      </c>
      <c r="D284" s="21">
        <v>15361.5</v>
      </c>
      <c r="E284" s="16">
        <v>57.85</v>
      </c>
      <c r="F284" s="16">
        <v>7.7995999999999999</v>
      </c>
      <c r="G284" s="16">
        <v>1.652074</v>
      </c>
      <c r="H284" s="16">
        <v>96.25</v>
      </c>
      <c r="I284" s="8">
        <v>1.7789999999999999</v>
      </c>
      <c r="J284" s="16">
        <v>3.8</v>
      </c>
      <c r="K284" s="10">
        <v>3.673</v>
      </c>
      <c r="L284" s="11">
        <v>8994</v>
      </c>
      <c r="M284" s="13">
        <v>121.68</v>
      </c>
      <c r="N284" s="10">
        <v>42.167873</v>
      </c>
      <c r="O284" s="10">
        <v>30</v>
      </c>
      <c r="P284" s="10">
        <v>33.409999999999997</v>
      </c>
      <c r="Q284" s="11">
        <v>1747.5</v>
      </c>
      <c r="R284" s="16">
        <v>0.65210000000000001</v>
      </c>
      <c r="S284" s="16">
        <v>1.0470299999999999</v>
      </c>
      <c r="T284" s="16">
        <v>27.535</v>
      </c>
      <c r="U284" s="16">
        <v>46.812869999999997</v>
      </c>
      <c r="V284" s="16">
        <v>74.929000000000002</v>
      </c>
    </row>
    <row r="285" spans="1:22" x14ac:dyDescent="0.3">
      <c r="A285" s="22">
        <v>37530</v>
      </c>
      <c r="B285" s="16">
        <v>48.335070000000002</v>
      </c>
      <c r="C285" s="16">
        <v>8.2769999999999992</v>
      </c>
      <c r="D285" s="21">
        <v>15344</v>
      </c>
      <c r="E285" s="16">
        <v>57.85</v>
      </c>
      <c r="F285" s="16">
        <v>7.7999000000000001</v>
      </c>
      <c r="G285" s="16">
        <v>1.6391</v>
      </c>
      <c r="H285" s="16">
        <v>96.2</v>
      </c>
      <c r="I285" s="8">
        <v>1.7496</v>
      </c>
      <c r="J285" s="16">
        <v>3.8</v>
      </c>
      <c r="K285" s="10">
        <v>3.6728999999999998</v>
      </c>
      <c r="L285" s="11">
        <v>8855</v>
      </c>
      <c r="M285" s="13">
        <v>118.39</v>
      </c>
      <c r="N285" s="10">
        <v>42.728847000000002</v>
      </c>
      <c r="O285" s="10">
        <v>30.2</v>
      </c>
      <c r="P285" s="10">
        <v>34</v>
      </c>
      <c r="Q285" s="11">
        <v>1747.5</v>
      </c>
      <c r="R285" s="16">
        <v>0.68769999999999998</v>
      </c>
      <c r="S285" s="16">
        <v>1.090641</v>
      </c>
      <c r="T285" s="16">
        <v>27.806000000000001</v>
      </c>
      <c r="U285" s="16">
        <v>44.888359000000001</v>
      </c>
      <c r="V285" s="16">
        <v>71.263000000000005</v>
      </c>
    </row>
    <row r="286" spans="1:22" x14ac:dyDescent="0.3">
      <c r="A286" s="22">
        <v>37500</v>
      </c>
      <c r="B286" s="16">
        <v>48.366041000000003</v>
      </c>
      <c r="C286" s="16">
        <v>8.2773000000000003</v>
      </c>
      <c r="D286" s="21">
        <v>15330</v>
      </c>
      <c r="E286" s="16">
        <v>57.85</v>
      </c>
      <c r="F286" s="16">
        <v>7.7999000000000001</v>
      </c>
      <c r="G286" s="16">
        <v>1.66343</v>
      </c>
      <c r="H286" s="16">
        <v>96.08</v>
      </c>
      <c r="I286" s="8">
        <v>1.7633000000000001</v>
      </c>
      <c r="J286" s="16">
        <v>3.8</v>
      </c>
      <c r="K286" s="10">
        <v>3.6730999999999998</v>
      </c>
      <c r="L286" s="11">
        <v>9064.5</v>
      </c>
      <c r="M286" s="13">
        <v>119.74</v>
      </c>
      <c r="N286" s="10">
        <v>43.409360999999997</v>
      </c>
      <c r="O286" s="10">
        <v>30.35</v>
      </c>
      <c r="P286" s="10">
        <v>34.67</v>
      </c>
      <c r="Q286" s="11">
        <v>1747.5</v>
      </c>
      <c r="R286" s="16">
        <v>0.68610000000000004</v>
      </c>
      <c r="S286" s="16">
        <v>1.1289579999999999</v>
      </c>
      <c r="T286" s="16">
        <v>26.350999999999999</v>
      </c>
      <c r="U286" s="16">
        <v>43.354357</v>
      </c>
      <c r="V286" s="16">
        <v>71.316000000000003</v>
      </c>
    </row>
    <row r="287" spans="1:22" x14ac:dyDescent="0.3">
      <c r="A287" s="22">
        <v>37469</v>
      </c>
      <c r="B287" s="16">
        <v>48.511217000000002</v>
      </c>
      <c r="C287" s="16">
        <v>8.2767999999999997</v>
      </c>
      <c r="D287" s="21">
        <v>15320</v>
      </c>
      <c r="E287" s="16">
        <v>57.45</v>
      </c>
      <c r="F287" s="16">
        <v>7.7999000000000001</v>
      </c>
      <c r="G287" s="16">
        <v>1.5365789999999999</v>
      </c>
      <c r="H287" s="16">
        <v>96.15</v>
      </c>
      <c r="I287" s="8">
        <v>1.7675000000000001</v>
      </c>
      <c r="J287" s="16">
        <v>3.8</v>
      </c>
      <c r="K287" s="10">
        <v>3.6732</v>
      </c>
      <c r="L287" s="11">
        <v>8713</v>
      </c>
      <c r="M287" s="13">
        <v>119.57</v>
      </c>
      <c r="N287" s="10">
        <v>43.359563000000001</v>
      </c>
      <c r="O287" s="10">
        <v>30.35</v>
      </c>
      <c r="P287" s="10">
        <v>34.950000000000003</v>
      </c>
      <c r="Q287" s="11">
        <v>1747.5</v>
      </c>
      <c r="R287" s="16">
        <v>0.70140000000000002</v>
      </c>
      <c r="S287" s="16">
        <v>1.1418550000000001</v>
      </c>
      <c r="T287" s="16">
        <v>26.026</v>
      </c>
      <c r="U287" s="16">
        <v>42.664515000000002</v>
      </c>
      <c r="V287" s="16">
        <v>69.55</v>
      </c>
    </row>
    <row r="288" spans="1:22" x14ac:dyDescent="0.3">
      <c r="A288" s="22">
        <v>37438</v>
      </c>
      <c r="B288" s="16">
        <v>48.702224000000001</v>
      </c>
      <c r="C288" s="16">
        <v>8.2766999999999999</v>
      </c>
      <c r="D288" s="21">
        <v>15274</v>
      </c>
      <c r="E288" s="16">
        <v>57.45</v>
      </c>
      <c r="F288" s="16">
        <v>7.7998000000000003</v>
      </c>
      <c r="G288" s="16">
        <v>1.4024639999999999</v>
      </c>
      <c r="H288" s="16">
        <v>96.15</v>
      </c>
      <c r="I288" s="8">
        <v>1.7888999999999999</v>
      </c>
      <c r="J288" s="16">
        <v>3.8</v>
      </c>
      <c r="K288" s="10">
        <v>3.673</v>
      </c>
      <c r="L288" s="11">
        <v>8697.5</v>
      </c>
      <c r="M288" s="13">
        <v>124.1</v>
      </c>
      <c r="N288" s="10">
        <v>43.760328999999999</v>
      </c>
      <c r="O288" s="10">
        <v>30.25</v>
      </c>
      <c r="P288" s="10">
        <v>35.06</v>
      </c>
      <c r="Q288" s="11">
        <v>1752.5</v>
      </c>
      <c r="R288" s="16">
        <v>0.70630000000000004</v>
      </c>
      <c r="S288" s="16">
        <v>1.1494059999999999</v>
      </c>
      <c r="T288" s="16">
        <v>25.184999999999999</v>
      </c>
      <c r="U288" s="16">
        <v>42.327745</v>
      </c>
      <c r="V288" s="16">
        <v>68.968999999999994</v>
      </c>
    </row>
    <row r="289" spans="1:22" x14ac:dyDescent="0.3">
      <c r="A289" s="22">
        <v>37408</v>
      </c>
      <c r="B289" s="16">
        <v>48.998510000000003</v>
      </c>
      <c r="C289" s="16">
        <v>8.2771000000000008</v>
      </c>
      <c r="D289" s="21">
        <v>15249.5</v>
      </c>
      <c r="E289" s="16">
        <v>57.35</v>
      </c>
      <c r="F289" s="16">
        <v>7.7991000000000001</v>
      </c>
      <c r="G289" s="16">
        <v>1.320775</v>
      </c>
      <c r="H289" s="16">
        <v>96.05</v>
      </c>
      <c r="I289" s="8">
        <v>1.8157000000000001</v>
      </c>
      <c r="J289" s="16">
        <v>3.8</v>
      </c>
      <c r="K289" s="10">
        <v>3.673</v>
      </c>
      <c r="L289" s="11">
        <v>9330</v>
      </c>
      <c r="M289" s="13">
        <v>128.53</v>
      </c>
      <c r="N289" s="10">
        <v>43.908881000000001</v>
      </c>
      <c r="O289" s="10">
        <v>30.25</v>
      </c>
      <c r="P289" s="10">
        <v>34.93</v>
      </c>
      <c r="Q289" s="11">
        <v>1752.5</v>
      </c>
      <c r="R289" s="16">
        <v>0.70889999999999997</v>
      </c>
      <c r="S289" s="16">
        <v>1.1323780000000001</v>
      </c>
      <c r="T289" s="16">
        <v>24.645</v>
      </c>
      <c r="U289" s="16">
        <v>42.573690999999997</v>
      </c>
      <c r="V289" s="16">
        <v>68.433000000000007</v>
      </c>
    </row>
    <row r="290" spans="1:22" x14ac:dyDescent="0.3">
      <c r="A290" s="22">
        <v>37377</v>
      </c>
      <c r="B290" s="16">
        <v>48.951129000000002</v>
      </c>
      <c r="C290" s="16">
        <v>8.2765000000000004</v>
      </c>
      <c r="D290" s="21">
        <v>15220.5</v>
      </c>
      <c r="E290" s="16">
        <v>57.25</v>
      </c>
      <c r="F290" s="16">
        <v>7.7995999999999999</v>
      </c>
      <c r="G290" s="16">
        <v>1.3617779999999999</v>
      </c>
      <c r="H290" s="16">
        <v>95.6</v>
      </c>
      <c r="I290" s="8">
        <v>1.8420000000000001</v>
      </c>
      <c r="J290" s="16">
        <v>3.8</v>
      </c>
      <c r="K290" s="10">
        <v>3.6728000000000001</v>
      </c>
      <c r="L290" s="11">
        <v>9825</v>
      </c>
      <c r="M290" s="13">
        <v>132.74</v>
      </c>
      <c r="N290" s="10">
        <v>43.945059999999998</v>
      </c>
      <c r="O290" s="10">
        <v>30.25</v>
      </c>
      <c r="P290" s="10">
        <v>34.984999999999999</v>
      </c>
      <c r="Q290" s="11">
        <v>1752.5</v>
      </c>
      <c r="R290" s="16">
        <v>0.6875</v>
      </c>
      <c r="S290" s="16">
        <v>1.1214139999999999</v>
      </c>
      <c r="T290" s="16">
        <v>24.632999999999999</v>
      </c>
      <c r="U290" s="16">
        <v>42.721442000000003</v>
      </c>
      <c r="V290" s="16">
        <v>70.135999999999996</v>
      </c>
    </row>
    <row r="291" spans="1:22" x14ac:dyDescent="0.3">
      <c r="A291" s="22">
        <v>37347</v>
      </c>
      <c r="B291" s="16">
        <v>48.941015999999998</v>
      </c>
      <c r="C291" s="16">
        <v>8.2773000000000003</v>
      </c>
      <c r="D291" s="21">
        <v>15190</v>
      </c>
      <c r="E291" s="16">
        <v>57.25</v>
      </c>
      <c r="F291" s="16">
        <v>7.7992999999999997</v>
      </c>
      <c r="G291" s="16">
        <v>1.3602350000000001</v>
      </c>
      <c r="H291" s="16">
        <v>93.6</v>
      </c>
      <c r="I291" s="8">
        <v>1.8311999999999999</v>
      </c>
      <c r="J291" s="16">
        <v>3.8</v>
      </c>
      <c r="K291" s="10">
        <v>3.673</v>
      </c>
      <c r="L291" s="11">
        <v>10150</v>
      </c>
      <c r="M291" s="13">
        <v>133.32</v>
      </c>
      <c r="N291" s="10">
        <v>44.372228</v>
      </c>
      <c r="O291" s="10">
        <v>30.22</v>
      </c>
      <c r="P291" s="10">
        <v>34.42</v>
      </c>
      <c r="Q291" s="11">
        <v>1752.5</v>
      </c>
      <c r="R291" s="16">
        <v>0.70220000000000005</v>
      </c>
      <c r="S291" s="16">
        <v>1.125615</v>
      </c>
      <c r="T291" s="16">
        <v>25.012</v>
      </c>
      <c r="U291" s="16">
        <v>42.606450000000002</v>
      </c>
      <c r="V291" s="16">
        <v>68.262</v>
      </c>
    </row>
    <row r="292" spans="1:22" x14ac:dyDescent="0.3">
      <c r="A292" s="22">
        <v>37316</v>
      </c>
      <c r="B292" s="16">
        <v>48.715313999999999</v>
      </c>
      <c r="C292" s="16">
        <v>8.2774000000000001</v>
      </c>
      <c r="D292" s="21">
        <v>15141</v>
      </c>
      <c r="E292" s="16">
        <v>57.25</v>
      </c>
      <c r="F292" s="16">
        <v>7.7994000000000003</v>
      </c>
      <c r="G292" s="16">
        <v>1.3680810000000001</v>
      </c>
      <c r="H292" s="16">
        <v>93.45</v>
      </c>
      <c r="I292" s="8">
        <v>1.8403</v>
      </c>
      <c r="J292" s="16">
        <v>3.8</v>
      </c>
      <c r="K292" s="10">
        <v>3.673</v>
      </c>
      <c r="L292" s="11">
        <v>10315</v>
      </c>
      <c r="M292" s="13">
        <v>134.72</v>
      </c>
      <c r="N292" s="10">
        <v>44.788803999999999</v>
      </c>
      <c r="O292" s="10">
        <v>30.15</v>
      </c>
      <c r="P292" s="10">
        <v>34.5</v>
      </c>
      <c r="Q292" s="11">
        <v>1752.5</v>
      </c>
      <c r="R292" s="16">
        <v>0.6875</v>
      </c>
      <c r="S292" s="16">
        <v>1.10405</v>
      </c>
      <c r="T292" s="16">
        <v>24.151</v>
      </c>
      <c r="U292" s="16">
        <v>43.582721999999997</v>
      </c>
      <c r="V292" s="16">
        <v>69.796999999999997</v>
      </c>
    </row>
    <row r="293" spans="1:22" x14ac:dyDescent="0.3">
      <c r="A293" s="22">
        <v>37288</v>
      </c>
      <c r="B293" s="16">
        <v>48.651071999999999</v>
      </c>
      <c r="C293" s="16">
        <v>8.2765000000000004</v>
      </c>
      <c r="D293" s="21">
        <v>15121</v>
      </c>
      <c r="E293" s="16">
        <v>57.25</v>
      </c>
      <c r="F293" s="16">
        <v>7.7984999999999998</v>
      </c>
      <c r="G293" s="16">
        <v>1.4538009999999999</v>
      </c>
      <c r="H293" s="16">
        <v>93</v>
      </c>
      <c r="I293" s="8">
        <v>1.8465</v>
      </c>
      <c r="J293" s="16">
        <v>3.8</v>
      </c>
      <c r="K293" s="10">
        <v>3.673</v>
      </c>
      <c r="L293" s="11">
        <v>10400</v>
      </c>
      <c r="M293" s="13">
        <v>131.68</v>
      </c>
      <c r="N293" s="10">
        <v>44.436833999999998</v>
      </c>
      <c r="O293" s="10">
        <v>29.72</v>
      </c>
      <c r="P293" s="10">
        <v>34.51</v>
      </c>
      <c r="Q293" s="11">
        <v>1752.5</v>
      </c>
      <c r="R293" s="16">
        <v>0.67820000000000003</v>
      </c>
      <c r="S293" s="16">
        <v>1.0978000000000001</v>
      </c>
      <c r="T293" s="16">
        <v>23.506</v>
      </c>
      <c r="U293" s="16">
        <v>43.529170000000001</v>
      </c>
      <c r="V293" s="16">
        <v>70.555000000000007</v>
      </c>
    </row>
    <row r="294" spans="1:22" x14ac:dyDescent="0.3">
      <c r="A294" s="22">
        <v>37257</v>
      </c>
      <c r="B294" s="16">
        <v>48.200833000000003</v>
      </c>
      <c r="C294" s="16">
        <v>8.2765000000000004</v>
      </c>
      <c r="D294" s="21">
        <v>15108</v>
      </c>
      <c r="E294" s="16">
        <v>56.95</v>
      </c>
      <c r="F294" s="16">
        <v>7.7984999999999998</v>
      </c>
      <c r="G294" s="16">
        <v>1.5195069999999999</v>
      </c>
      <c r="H294" s="16">
        <v>93.15</v>
      </c>
      <c r="I294" s="8">
        <v>1.8314999999999999</v>
      </c>
      <c r="J294" s="16">
        <v>3.8</v>
      </c>
      <c r="K294" s="10">
        <v>3.673</v>
      </c>
      <c r="L294" s="11">
        <v>10465</v>
      </c>
      <c r="M294" s="13">
        <v>123.45</v>
      </c>
      <c r="N294" s="10">
        <v>45.000965000000001</v>
      </c>
      <c r="O294" s="10">
        <v>29.55</v>
      </c>
      <c r="P294" s="10">
        <v>34.53</v>
      </c>
      <c r="Q294" s="11">
        <v>1752.5</v>
      </c>
      <c r="R294" s="16">
        <v>0.68779999999999997</v>
      </c>
      <c r="S294" s="16">
        <v>1.110822</v>
      </c>
      <c r="T294" s="16">
        <v>24.946999999999999</v>
      </c>
      <c r="U294" s="16">
        <v>42.555247999999999</v>
      </c>
      <c r="V294" s="16">
        <v>68.507000000000005</v>
      </c>
    </row>
    <row r="295" spans="1:22" x14ac:dyDescent="0.3">
      <c r="A295" s="22">
        <v>37226</v>
      </c>
      <c r="B295" s="16">
        <v>47.906360999999997</v>
      </c>
      <c r="C295" s="16">
        <v>8.2766000000000002</v>
      </c>
      <c r="D295" s="21">
        <v>15092</v>
      </c>
      <c r="E295" s="16">
        <v>56.95</v>
      </c>
      <c r="F295" s="16">
        <v>7.7998000000000003</v>
      </c>
      <c r="G295" s="16">
        <v>1.6108560000000001</v>
      </c>
      <c r="H295" s="16">
        <v>91.75</v>
      </c>
      <c r="I295" s="8">
        <v>1.8234999999999999</v>
      </c>
      <c r="J295" s="16">
        <v>3.8</v>
      </c>
      <c r="K295" s="10">
        <v>3.6728999999999998</v>
      </c>
      <c r="L295" s="11">
        <v>10475</v>
      </c>
      <c r="M295" s="13">
        <v>122.47</v>
      </c>
      <c r="N295" s="10">
        <v>45.869539000000003</v>
      </c>
      <c r="O295" s="10">
        <v>29.42</v>
      </c>
      <c r="P295" s="10">
        <v>34.75</v>
      </c>
      <c r="Q295" s="11">
        <v>1752.5</v>
      </c>
      <c r="R295" s="16">
        <v>0.70179999999999998</v>
      </c>
      <c r="S295" s="16">
        <v>1.1621600000000001</v>
      </c>
      <c r="T295" s="16">
        <v>24.024000000000001</v>
      </c>
      <c r="U295" s="16">
        <v>40.836032000000003</v>
      </c>
      <c r="V295" s="16">
        <v>67.153000000000006</v>
      </c>
    </row>
    <row r="296" spans="1:22" x14ac:dyDescent="0.3">
      <c r="A296" s="22">
        <v>37196</v>
      </c>
      <c r="B296" s="16">
        <v>47.953646999999997</v>
      </c>
      <c r="C296" s="16">
        <v>8.2772000000000006</v>
      </c>
      <c r="D296" s="21">
        <v>15057</v>
      </c>
      <c r="E296" s="16">
        <v>56.95</v>
      </c>
      <c r="F296" s="16">
        <v>7.7992999999999997</v>
      </c>
      <c r="G296" s="16">
        <v>1.4823459999999999</v>
      </c>
      <c r="H296" s="16">
        <v>90.05</v>
      </c>
      <c r="I296" s="8">
        <v>1.766</v>
      </c>
      <c r="J296" s="16">
        <v>3.8</v>
      </c>
      <c r="K296" s="10">
        <v>3.6728999999999998</v>
      </c>
      <c r="L296" s="11">
        <v>9707.5</v>
      </c>
      <c r="M296" s="13">
        <v>119.52</v>
      </c>
      <c r="N296" s="10">
        <v>45.344113999999998</v>
      </c>
      <c r="O296" s="10">
        <v>29.24</v>
      </c>
      <c r="P296" s="10">
        <v>34.43</v>
      </c>
      <c r="Q296" s="11">
        <v>1753.5</v>
      </c>
      <c r="R296" s="16">
        <v>0.70630000000000004</v>
      </c>
      <c r="S296" s="16">
        <v>1.1721550000000001</v>
      </c>
      <c r="T296" s="16">
        <v>24.059000000000001</v>
      </c>
      <c r="U296" s="16">
        <v>40.299052000000003</v>
      </c>
      <c r="V296" s="16">
        <v>66.603999999999999</v>
      </c>
    </row>
    <row r="297" spans="1:22" x14ac:dyDescent="0.3">
      <c r="A297" s="22">
        <v>37165</v>
      </c>
      <c r="B297" s="16">
        <v>48.112394999999999</v>
      </c>
      <c r="C297" s="16">
        <v>8.2767999999999997</v>
      </c>
      <c r="D297" s="21">
        <v>15028</v>
      </c>
      <c r="E297" s="16">
        <v>56.95</v>
      </c>
      <c r="F297" s="16">
        <v>7.7996999999999996</v>
      </c>
      <c r="G297" s="16">
        <v>1.4050769999999999</v>
      </c>
      <c r="H297" s="16">
        <v>89.875</v>
      </c>
      <c r="I297" s="8">
        <v>1.7403</v>
      </c>
      <c r="J297" s="16">
        <v>3.8</v>
      </c>
      <c r="K297" s="10">
        <v>3.673</v>
      </c>
      <c r="L297" s="11">
        <v>8862.5</v>
      </c>
      <c r="M297" s="13">
        <v>118.79</v>
      </c>
      <c r="N297" s="10">
        <v>45.888489</v>
      </c>
      <c r="O297" s="10">
        <v>28.8</v>
      </c>
      <c r="P297" s="10">
        <v>33.9</v>
      </c>
      <c r="Q297" s="11">
        <v>1752.5</v>
      </c>
      <c r="R297" s="16">
        <v>0.70499999999999996</v>
      </c>
      <c r="S297" s="16">
        <v>1.1442289999999999</v>
      </c>
      <c r="T297" s="16">
        <v>23.774999999999999</v>
      </c>
      <c r="U297" s="16">
        <v>41.153914</v>
      </c>
      <c r="V297" s="16">
        <v>66.66</v>
      </c>
    </row>
    <row r="298" spans="1:22" x14ac:dyDescent="0.3">
      <c r="A298" s="22">
        <v>37135</v>
      </c>
      <c r="B298" s="16">
        <v>47.774681999999999</v>
      </c>
      <c r="C298" s="16">
        <v>8.2767999999999997</v>
      </c>
      <c r="D298" s="21">
        <v>15018</v>
      </c>
      <c r="E298" s="16">
        <v>57.15</v>
      </c>
      <c r="F298" s="16">
        <v>7.7995999999999999</v>
      </c>
      <c r="G298" s="16">
        <v>1.3275889999999999</v>
      </c>
      <c r="H298" s="16">
        <v>89.9</v>
      </c>
      <c r="I298" s="8">
        <v>1.8032999999999999</v>
      </c>
      <c r="J298" s="16">
        <v>3.8</v>
      </c>
      <c r="K298" s="10">
        <v>3.673</v>
      </c>
      <c r="L298" s="11">
        <v>9500</v>
      </c>
      <c r="M298" s="13">
        <v>125.02</v>
      </c>
      <c r="N298" s="10">
        <v>45.600254999999997</v>
      </c>
      <c r="O298" s="10">
        <v>28.48</v>
      </c>
      <c r="P298" s="10">
        <v>32.89</v>
      </c>
      <c r="Q298" s="11">
        <v>1752.5</v>
      </c>
      <c r="R298" s="16">
        <v>0.69820000000000004</v>
      </c>
      <c r="S298" s="16">
        <v>1.121523</v>
      </c>
      <c r="T298" s="16">
        <v>23.998000000000001</v>
      </c>
      <c r="U298" s="16">
        <v>41.810732000000002</v>
      </c>
      <c r="V298" s="16">
        <v>67.088999999999999</v>
      </c>
    </row>
    <row r="299" spans="1:22" x14ac:dyDescent="0.3">
      <c r="A299" s="22">
        <v>37104</v>
      </c>
      <c r="B299" s="16">
        <v>47.259366</v>
      </c>
      <c r="C299" s="16">
        <v>8.2768999999999995</v>
      </c>
      <c r="D299" s="21">
        <v>14968</v>
      </c>
      <c r="E299" s="16">
        <v>57.65</v>
      </c>
      <c r="F299" s="16">
        <v>7.7998000000000003</v>
      </c>
      <c r="G299" s="16">
        <v>1.216637</v>
      </c>
      <c r="H299" s="16">
        <v>90.625</v>
      </c>
      <c r="I299" s="8">
        <v>1.823</v>
      </c>
      <c r="J299" s="16">
        <v>3.8</v>
      </c>
      <c r="K299" s="10">
        <v>3.6728999999999998</v>
      </c>
      <c r="L299" s="11">
        <v>11390</v>
      </c>
      <c r="M299" s="13">
        <v>124.63</v>
      </c>
      <c r="N299" s="10">
        <v>43.951971999999998</v>
      </c>
      <c r="O299" s="10">
        <v>28.19</v>
      </c>
      <c r="P299" s="10">
        <v>32.799999999999997</v>
      </c>
      <c r="Q299" s="11">
        <v>1752.5</v>
      </c>
      <c r="R299" s="16">
        <v>0.70630000000000004</v>
      </c>
      <c r="S299" s="16">
        <v>1.0999289999999999</v>
      </c>
      <c r="T299" s="16">
        <v>22.67</v>
      </c>
      <c r="U299" s="16">
        <v>42.374113999999999</v>
      </c>
      <c r="V299" s="16">
        <v>66.135000000000005</v>
      </c>
    </row>
    <row r="300" spans="1:22" x14ac:dyDescent="0.3">
      <c r="A300" s="22">
        <v>37073</v>
      </c>
      <c r="B300" s="16">
        <v>47.450383000000002</v>
      </c>
      <c r="C300" s="16">
        <v>8.2769999999999992</v>
      </c>
      <c r="D300" s="21">
        <v>14869</v>
      </c>
      <c r="E300" s="16">
        <v>57.65</v>
      </c>
      <c r="F300" s="16">
        <v>7.7998000000000003</v>
      </c>
      <c r="G300" s="16">
        <v>1.1394839999999999</v>
      </c>
      <c r="H300" s="16">
        <v>91.825000000000003</v>
      </c>
      <c r="I300" s="8">
        <v>1.8095000000000001</v>
      </c>
      <c r="J300" s="16">
        <v>3.8</v>
      </c>
      <c r="K300" s="10">
        <v>3.673</v>
      </c>
      <c r="L300" s="11">
        <v>11125</v>
      </c>
      <c r="M300" s="13">
        <v>119.34</v>
      </c>
      <c r="N300" s="10">
        <v>42.730913000000001</v>
      </c>
      <c r="O300" s="10">
        <v>28.27</v>
      </c>
      <c r="P300" s="10">
        <v>32.35</v>
      </c>
      <c r="Q300" s="11">
        <v>1752.5</v>
      </c>
      <c r="R300" s="16">
        <v>0.69210000000000005</v>
      </c>
      <c r="S300" s="16">
        <v>1.085116</v>
      </c>
      <c r="T300" s="16">
        <v>24.492000000000001</v>
      </c>
      <c r="U300" s="16">
        <v>42.941045000000003</v>
      </c>
      <c r="V300" s="16">
        <v>67.23</v>
      </c>
    </row>
    <row r="301" spans="1:22" x14ac:dyDescent="0.3">
      <c r="A301" s="22">
        <v>37043</v>
      </c>
      <c r="B301" s="16">
        <v>47.236288000000002</v>
      </c>
      <c r="C301" s="16">
        <v>8.2766999999999999</v>
      </c>
      <c r="D301" s="21">
        <v>14686</v>
      </c>
      <c r="E301" s="16">
        <v>57.65</v>
      </c>
      <c r="F301" s="16">
        <v>7.7991000000000001</v>
      </c>
      <c r="G301" s="16">
        <v>1.22048</v>
      </c>
      <c r="H301" s="16">
        <v>90.45</v>
      </c>
      <c r="I301" s="8">
        <v>1.8214999999999999</v>
      </c>
      <c r="J301" s="16">
        <v>3.8</v>
      </c>
      <c r="K301" s="10">
        <v>3.6728999999999998</v>
      </c>
      <c r="L301" s="11">
        <v>11600</v>
      </c>
      <c r="M301" s="13">
        <v>123.62</v>
      </c>
      <c r="N301" s="10">
        <v>43.260733999999999</v>
      </c>
      <c r="O301" s="10">
        <v>27.89</v>
      </c>
      <c r="P301" s="10">
        <v>32.31</v>
      </c>
      <c r="Q301" s="11">
        <v>1752.5</v>
      </c>
      <c r="R301" s="16">
        <v>0.68320000000000003</v>
      </c>
      <c r="S301" s="16">
        <v>1.065941</v>
      </c>
      <c r="T301" s="16">
        <v>25.558</v>
      </c>
      <c r="U301" s="16">
        <v>43.767673000000002</v>
      </c>
      <c r="V301" s="16">
        <v>67.891999999999996</v>
      </c>
    </row>
    <row r="302" spans="1:22" x14ac:dyDescent="0.3">
      <c r="A302" s="22">
        <v>37012</v>
      </c>
      <c r="B302" s="16">
        <v>47.080295999999997</v>
      </c>
      <c r="C302" s="16">
        <v>8.2769999999999992</v>
      </c>
      <c r="D302" s="21">
        <v>14591</v>
      </c>
      <c r="E302" s="16">
        <v>54.1</v>
      </c>
      <c r="F302" s="16">
        <v>7.7991999999999999</v>
      </c>
      <c r="G302" s="16">
        <v>0.97346699999999997</v>
      </c>
      <c r="H302" s="16">
        <v>86.35</v>
      </c>
      <c r="I302" s="8">
        <v>1.8055000000000001</v>
      </c>
      <c r="J302" s="16">
        <v>3.7999000000000001</v>
      </c>
      <c r="K302" s="10">
        <v>3.673</v>
      </c>
      <c r="L302" s="11">
        <v>10417.5</v>
      </c>
      <c r="M302" s="13">
        <v>126.32</v>
      </c>
      <c r="N302" s="10">
        <v>43.403841999999997</v>
      </c>
      <c r="O302" s="10">
        <v>27.82</v>
      </c>
      <c r="P302" s="10">
        <v>33.119999999999997</v>
      </c>
      <c r="Q302" s="11">
        <v>1752.5</v>
      </c>
      <c r="R302" s="16">
        <v>0.66849999999999998</v>
      </c>
      <c r="S302" s="16">
        <v>1.114927</v>
      </c>
      <c r="T302" s="16">
        <v>26.082000000000001</v>
      </c>
      <c r="U302" s="16">
        <v>42.048257999999997</v>
      </c>
      <c r="V302" s="16">
        <v>69.81</v>
      </c>
    </row>
    <row r="303" spans="1:22" x14ac:dyDescent="0.3">
      <c r="A303" s="22">
        <v>36982</v>
      </c>
      <c r="B303" s="16">
        <v>46.889525999999996</v>
      </c>
      <c r="C303" s="16">
        <v>8.2774000000000001</v>
      </c>
      <c r="D303" s="21">
        <v>14569</v>
      </c>
      <c r="E303" s="16">
        <v>54.1</v>
      </c>
      <c r="F303" s="16">
        <v>7.7999000000000001</v>
      </c>
      <c r="G303" s="16">
        <v>0.78147500000000003</v>
      </c>
      <c r="H303" s="16">
        <v>86.5</v>
      </c>
      <c r="I303" s="8">
        <v>1.7446999999999999</v>
      </c>
      <c r="J303" s="16">
        <v>3.8</v>
      </c>
      <c r="K303" s="10">
        <v>3.6728999999999998</v>
      </c>
      <c r="L303" s="11">
        <v>9865</v>
      </c>
      <c r="M303" s="13">
        <v>117.34</v>
      </c>
      <c r="N303" s="10">
        <v>43.749056000000003</v>
      </c>
      <c r="O303" s="10">
        <v>27.725000000000001</v>
      </c>
      <c r="P303" s="10">
        <v>33.03</v>
      </c>
      <c r="Q303" s="11">
        <v>1752.5</v>
      </c>
      <c r="R303" s="16">
        <v>0.70099999999999996</v>
      </c>
      <c r="S303" s="16">
        <v>1.167826</v>
      </c>
      <c r="T303" s="16">
        <v>24.768000000000001</v>
      </c>
      <c r="U303" s="16">
        <v>40.028100000000002</v>
      </c>
      <c r="V303" s="16">
        <v>66.861000000000004</v>
      </c>
    </row>
    <row r="304" spans="1:22" x14ac:dyDescent="0.3">
      <c r="A304" s="22">
        <v>36951</v>
      </c>
      <c r="B304" s="16">
        <v>46.589910000000003</v>
      </c>
      <c r="C304" s="16">
        <v>8.2776999999999994</v>
      </c>
      <c r="D304" s="21">
        <v>14589</v>
      </c>
      <c r="E304" s="16">
        <v>54.1</v>
      </c>
      <c r="F304" s="16">
        <v>7.7991999999999999</v>
      </c>
      <c r="G304" s="16">
        <v>0.671624</v>
      </c>
      <c r="H304" s="16">
        <v>89.5</v>
      </c>
      <c r="I304" s="8">
        <v>1.7435</v>
      </c>
      <c r="J304" s="16">
        <v>3.8</v>
      </c>
      <c r="K304" s="10">
        <v>3.6728000000000001</v>
      </c>
      <c r="L304" s="11">
        <v>9450</v>
      </c>
      <c r="M304" s="13">
        <v>116.59</v>
      </c>
      <c r="N304" s="10">
        <v>43.508828000000001</v>
      </c>
      <c r="O304" s="10">
        <v>26.98</v>
      </c>
      <c r="P304" s="10">
        <v>32.299999999999997</v>
      </c>
      <c r="Q304" s="11">
        <v>1750</v>
      </c>
      <c r="R304" s="16">
        <v>0.6905</v>
      </c>
      <c r="S304" s="16">
        <v>1.1698299999999999</v>
      </c>
      <c r="T304" s="16">
        <v>24.422000000000001</v>
      </c>
      <c r="U304" s="16">
        <v>39.786841000000003</v>
      </c>
      <c r="V304" s="16">
        <v>67.835999999999999</v>
      </c>
    </row>
    <row r="305" spans="1:22" x14ac:dyDescent="0.3">
      <c r="A305" s="22">
        <v>36923</v>
      </c>
      <c r="B305" s="16">
        <v>46.591475000000003</v>
      </c>
      <c r="C305" s="16">
        <v>8.2782999999999998</v>
      </c>
      <c r="D305" s="21">
        <v>14570</v>
      </c>
      <c r="E305" s="16">
        <v>54.1</v>
      </c>
      <c r="F305" s="16">
        <v>7.7996999999999996</v>
      </c>
      <c r="G305" s="16">
        <v>0.67824700000000004</v>
      </c>
      <c r="H305" s="16">
        <v>82.7</v>
      </c>
      <c r="I305" s="8">
        <v>1.7335</v>
      </c>
      <c r="J305" s="16">
        <v>3.8</v>
      </c>
      <c r="K305" s="10">
        <v>3.6728000000000001</v>
      </c>
      <c r="L305" s="11">
        <v>9675</v>
      </c>
      <c r="M305" s="13">
        <v>114.45</v>
      </c>
      <c r="N305" s="10">
        <v>41.923797</v>
      </c>
      <c r="O305" s="10">
        <v>26.225000000000001</v>
      </c>
      <c r="P305" s="10">
        <v>31.24</v>
      </c>
      <c r="Q305" s="11">
        <v>1750</v>
      </c>
      <c r="R305" s="16">
        <v>0.6774</v>
      </c>
      <c r="S305" s="16">
        <v>1.146944</v>
      </c>
      <c r="T305" s="16">
        <v>24.956</v>
      </c>
      <c r="U305" s="16">
        <v>40.053476000000003</v>
      </c>
      <c r="V305" s="16">
        <v>67.88</v>
      </c>
    </row>
    <row r="306" spans="1:22" x14ac:dyDescent="0.3">
      <c r="A306" s="22">
        <v>36892</v>
      </c>
      <c r="B306" s="16">
        <v>46.646681000000001</v>
      </c>
      <c r="C306" s="16">
        <v>8.2781000000000002</v>
      </c>
      <c r="D306" s="21">
        <v>14539</v>
      </c>
      <c r="E306" s="16">
        <v>54.1</v>
      </c>
      <c r="F306" s="16">
        <v>7.7996999999999996</v>
      </c>
      <c r="G306" s="16">
        <v>0.68420999999999998</v>
      </c>
      <c r="H306" s="16">
        <v>81.45</v>
      </c>
      <c r="I306" s="8">
        <v>1.7527999999999999</v>
      </c>
      <c r="J306" s="16">
        <v>3.8</v>
      </c>
      <c r="K306" s="10">
        <v>3.673</v>
      </c>
      <c r="L306" s="11">
        <v>9530</v>
      </c>
      <c r="M306" s="13">
        <v>110.39</v>
      </c>
      <c r="N306" s="10">
        <v>41.039963</v>
      </c>
      <c r="O306" s="10">
        <v>26</v>
      </c>
      <c r="P306" s="10">
        <v>31.04</v>
      </c>
      <c r="Q306" s="11">
        <v>1750</v>
      </c>
      <c r="R306" s="16">
        <v>0.69069999999999998</v>
      </c>
      <c r="S306" s="16">
        <v>1.106222</v>
      </c>
      <c r="T306" s="16">
        <v>26.427</v>
      </c>
      <c r="U306" s="16">
        <v>41.462909000000003</v>
      </c>
      <c r="V306" s="16">
        <v>66.316999999999993</v>
      </c>
    </row>
    <row r="307" spans="1:22" x14ac:dyDescent="0.3">
      <c r="A307" s="22">
        <v>36861</v>
      </c>
      <c r="B307" s="16">
        <v>46.860914000000001</v>
      </c>
      <c r="C307" s="16">
        <v>8.2774000000000001</v>
      </c>
      <c r="D307" s="21">
        <v>14523</v>
      </c>
      <c r="E307" s="16">
        <v>54.1</v>
      </c>
      <c r="F307" s="16">
        <v>7.798</v>
      </c>
      <c r="G307" s="16">
        <v>0.675647</v>
      </c>
      <c r="H307" s="16">
        <v>79.41</v>
      </c>
      <c r="I307" s="8">
        <v>1.7544999999999999</v>
      </c>
      <c r="J307" s="16">
        <v>3.8</v>
      </c>
      <c r="K307" s="10">
        <v>3.6726999999999999</v>
      </c>
      <c r="L307" s="11">
        <v>9347.5</v>
      </c>
      <c r="M307" s="13">
        <v>108.95</v>
      </c>
      <c r="N307" s="10">
        <v>40.270425000000003</v>
      </c>
      <c r="O307" s="10">
        <v>25.824999999999999</v>
      </c>
      <c r="P307" s="10">
        <v>31.01</v>
      </c>
      <c r="Q307" s="11">
        <v>1750</v>
      </c>
      <c r="R307" s="16">
        <v>0.66749999999999998</v>
      </c>
      <c r="S307" s="16">
        <v>1.0643480000000001</v>
      </c>
      <c r="T307" s="16">
        <v>26.154</v>
      </c>
      <c r="U307" s="16">
        <v>42.183014</v>
      </c>
      <c r="V307" s="16">
        <v>67.552000000000007</v>
      </c>
    </row>
    <row r="308" spans="1:22" x14ac:dyDescent="0.3">
      <c r="A308" s="22">
        <v>36831</v>
      </c>
      <c r="B308" s="16">
        <v>46.742063000000002</v>
      </c>
      <c r="C308" s="16">
        <v>8.2776999999999994</v>
      </c>
      <c r="D308" s="21">
        <v>14402</v>
      </c>
      <c r="E308" s="16">
        <v>54.1</v>
      </c>
      <c r="F308" s="16">
        <v>7.7965999999999998</v>
      </c>
      <c r="G308" s="16">
        <v>0.66400899999999996</v>
      </c>
      <c r="H308" s="16">
        <v>79.150000000000006</v>
      </c>
      <c r="I308" s="8">
        <v>1.7395</v>
      </c>
      <c r="J308" s="16">
        <v>3.8</v>
      </c>
      <c r="K308" s="10">
        <v>3.6728999999999998</v>
      </c>
      <c r="L308" s="11">
        <v>8760</v>
      </c>
      <c r="M308" s="13">
        <v>108.12</v>
      </c>
      <c r="N308" s="10">
        <v>39.435339999999997</v>
      </c>
      <c r="O308" s="10">
        <v>25.835000000000001</v>
      </c>
      <c r="P308" s="10">
        <v>30.725000000000001</v>
      </c>
      <c r="Q308" s="11">
        <v>1750</v>
      </c>
      <c r="R308" s="16">
        <v>0.65990000000000004</v>
      </c>
      <c r="S308" s="16">
        <v>1.053652</v>
      </c>
      <c r="T308" s="16">
        <v>26.64</v>
      </c>
      <c r="U308" s="16">
        <v>42.461613999999997</v>
      </c>
      <c r="V308" s="16">
        <v>67.742999999999995</v>
      </c>
    </row>
    <row r="309" spans="1:22" x14ac:dyDescent="0.3">
      <c r="A309" s="22">
        <v>36800</v>
      </c>
      <c r="B309" s="16">
        <v>46.529277999999998</v>
      </c>
      <c r="C309" s="16">
        <v>8.2774999999999999</v>
      </c>
      <c r="D309" s="21">
        <v>14214</v>
      </c>
      <c r="E309" s="16">
        <v>54</v>
      </c>
      <c r="F309" s="16">
        <v>7.7991999999999999</v>
      </c>
      <c r="G309" s="16">
        <v>0.64742599999999995</v>
      </c>
      <c r="H309" s="16">
        <v>78.05</v>
      </c>
      <c r="I309" s="8">
        <v>1.7212000000000001</v>
      </c>
      <c r="J309" s="16">
        <v>3.8</v>
      </c>
      <c r="K309" s="10">
        <v>3.673</v>
      </c>
      <c r="L309" s="11">
        <v>8325</v>
      </c>
      <c r="M309" s="13">
        <v>106.71</v>
      </c>
      <c r="N309" s="10">
        <v>38.975434</v>
      </c>
      <c r="O309" s="10">
        <v>25.855</v>
      </c>
      <c r="P309" s="10">
        <v>30.81</v>
      </c>
      <c r="Q309" s="11">
        <v>1750</v>
      </c>
      <c r="R309" s="16">
        <v>0.66759999999999997</v>
      </c>
      <c r="S309" s="16">
        <v>1.104009</v>
      </c>
      <c r="T309" s="16">
        <v>25.516999999999999</v>
      </c>
      <c r="U309" s="16">
        <v>39.939639</v>
      </c>
      <c r="V309" s="16">
        <v>66.924999999999997</v>
      </c>
    </row>
    <row r="310" spans="1:22" x14ac:dyDescent="0.3">
      <c r="A310" s="22">
        <v>36770</v>
      </c>
      <c r="B310" s="16">
        <v>45.929122999999997</v>
      </c>
      <c r="C310" s="16">
        <v>8.2797999999999998</v>
      </c>
      <c r="D310" s="21">
        <v>14120</v>
      </c>
      <c r="E310" s="16">
        <v>54.05</v>
      </c>
      <c r="F310" s="16">
        <v>7.7986000000000004</v>
      </c>
      <c r="G310" s="16">
        <v>0.62904800000000005</v>
      </c>
      <c r="H310" s="16">
        <v>78.349999999999994</v>
      </c>
      <c r="I310" s="8">
        <v>1.7324999999999999</v>
      </c>
      <c r="J310" s="16">
        <v>3.7999000000000001</v>
      </c>
      <c r="K310" s="10">
        <v>3.673</v>
      </c>
      <c r="L310" s="11">
        <v>8925</v>
      </c>
      <c r="M310" s="13">
        <v>109.33</v>
      </c>
      <c r="N310" s="10">
        <v>37.995832999999998</v>
      </c>
      <c r="O310" s="10">
        <v>25.625</v>
      </c>
      <c r="P310" s="10">
        <v>30.594999999999999</v>
      </c>
      <c r="Q310" s="11">
        <v>1750</v>
      </c>
      <c r="R310" s="16">
        <v>0.64200000000000002</v>
      </c>
      <c r="S310" s="16">
        <v>1.056359</v>
      </c>
      <c r="T310" s="16">
        <v>25.484999999999999</v>
      </c>
      <c r="U310" s="16">
        <v>41.367821999999997</v>
      </c>
      <c r="V310" s="16">
        <v>67.745000000000005</v>
      </c>
    </row>
    <row r="311" spans="1:22" x14ac:dyDescent="0.3">
      <c r="A311" s="22">
        <v>36739</v>
      </c>
      <c r="B311" s="16">
        <v>45.864660999999998</v>
      </c>
      <c r="C311" s="16">
        <v>8.2786000000000008</v>
      </c>
      <c r="D311" s="21">
        <v>14092</v>
      </c>
      <c r="E311" s="16">
        <v>51.15</v>
      </c>
      <c r="F311" s="16">
        <v>7.7956000000000003</v>
      </c>
      <c r="G311" s="16">
        <v>0.61043099999999995</v>
      </c>
      <c r="H311" s="16">
        <v>78.900000000000006</v>
      </c>
      <c r="I311" s="8">
        <v>1.7282999999999999</v>
      </c>
      <c r="J311" s="16">
        <v>3.8</v>
      </c>
      <c r="K311" s="10">
        <v>3.6728999999999998</v>
      </c>
      <c r="L311" s="11">
        <v>8760</v>
      </c>
      <c r="M311" s="13">
        <v>106.13</v>
      </c>
      <c r="N311" s="10">
        <v>37.922609000000001</v>
      </c>
      <c r="O311" s="10">
        <v>25.585000000000001</v>
      </c>
      <c r="P311" s="10">
        <v>30.43</v>
      </c>
      <c r="Q311" s="11">
        <v>1750</v>
      </c>
      <c r="R311" s="16">
        <v>0.62760000000000005</v>
      </c>
      <c r="S311" s="16">
        <v>1.0370090000000001</v>
      </c>
      <c r="T311" s="16">
        <v>26.489000000000001</v>
      </c>
      <c r="U311" s="16">
        <v>42.082242000000001</v>
      </c>
      <c r="V311" s="16">
        <v>69.415000000000006</v>
      </c>
    </row>
    <row r="312" spans="1:22" x14ac:dyDescent="0.3">
      <c r="A312" s="22">
        <v>36708</v>
      </c>
      <c r="B312" s="16">
        <v>44.893577000000001</v>
      </c>
      <c r="C312" s="16">
        <v>8.2791999999999994</v>
      </c>
      <c r="D312" s="21">
        <v>14083</v>
      </c>
      <c r="E312" s="16">
        <v>51</v>
      </c>
      <c r="F312" s="16">
        <v>7.7920999999999996</v>
      </c>
      <c r="G312" s="16">
        <v>0.61697299999999999</v>
      </c>
      <c r="H312" s="16">
        <v>74.734999999999999</v>
      </c>
      <c r="I312" s="8">
        <v>1.7323</v>
      </c>
      <c r="J312" s="16">
        <v>3.7999000000000001</v>
      </c>
      <c r="K312" s="10">
        <v>3.6726999999999999</v>
      </c>
      <c r="L312" s="11">
        <v>8645</v>
      </c>
      <c r="M312" s="13">
        <v>107.61</v>
      </c>
      <c r="N312" s="10">
        <v>37.775238000000002</v>
      </c>
      <c r="O312" s="10">
        <v>25.565000000000001</v>
      </c>
      <c r="P312" s="10">
        <v>30.7</v>
      </c>
      <c r="Q312" s="11">
        <v>1750</v>
      </c>
      <c r="R312" s="16">
        <v>0.63339999999999996</v>
      </c>
      <c r="S312" s="16">
        <v>1.0169649999999999</v>
      </c>
      <c r="T312" s="16">
        <v>26.977</v>
      </c>
      <c r="U312" s="16">
        <v>42.931615999999998</v>
      </c>
      <c r="V312" s="16">
        <v>68.861000000000004</v>
      </c>
    </row>
    <row r="313" spans="1:22" x14ac:dyDescent="0.3">
      <c r="A313" s="22">
        <v>36678</v>
      </c>
      <c r="B313" s="16">
        <v>44.735272999999999</v>
      </c>
      <c r="C313" s="16">
        <v>8.2782</v>
      </c>
      <c r="D313" s="21">
        <v>14084</v>
      </c>
      <c r="E313" s="16">
        <v>51</v>
      </c>
      <c r="F313" s="16">
        <v>7.7891000000000004</v>
      </c>
      <c r="G313" s="16">
        <v>0.59549300000000005</v>
      </c>
      <c r="H313" s="16">
        <v>74.3</v>
      </c>
      <c r="I313" s="8">
        <v>1.7072000000000001</v>
      </c>
      <c r="J313" s="16">
        <v>3.8</v>
      </c>
      <c r="K313" s="10">
        <v>3.673</v>
      </c>
      <c r="L313" s="11">
        <v>7925</v>
      </c>
      <c r="M313" s="13">
        <v>108.13</v>
      </c>
      <c r="N313" s="10">
        <v>37.411301000000002</v>
      </c>
      <c r="O313" s="10">
        <v>25.515000000000001</v>
      </c>
      <c r="P313" s="10">
        <v>30.675000000000001</v>
      </c>
      <c r="Q313" s="11">
        <v>1750</v>
      </c>
      <c r="R313" s="16">
        <v>0.61799999999999999</v>
      </c>
      <c r="S313" s="16">
        <v>0.98673299999999997</v>
      </c>
      <c r="T313" s="16">
        <v>27.788</v>
      </c>
      <c r="U313" s="16">
        <v>44.211278</v>
      </c>
      <c r="V313" s="16">
        <v>70.494</v>
      </c>
    </row>
    <row r="314" spans="1:22" x14ac:dyDescent="0.3">
      <c r="A314" s="22">
        <v>36647</v>
      </c>
      <c r="B314" s="16">
        <v>44.082540999999999</v>
      </c>
      <c r="C314" s="16">
        <v>8.2773000000000003</v>
      </c>
      <c r="D314" s="21">
        <v>14068</v>
      </c>
      <c r="E314" s="16">
        <v>51</v>
      </c>
      <c r="F314" s="16">
        <v>7.7866</v>
      </c>
      <c r="G314" s="16">
        <v>0.58002799999999999</v>
      </c>
      <c r="H314" s="16">
        <v>73.75</v>
      </c>
      <c r="I314" s="8">
        <v>1.7115</v>
      </c>
      <c r="J314" s="16">
        <v>3.8</v>
      </c>
      <c r="K314" s="10">
        <v>3.673</v>
      </c>
      <c r="L314" s="11">
        <v>7570</v>
      </c>
      <c r="M314" s="13">
        <v>105.6</v>
      </c>
      <c r="N314" s="10">
        <v>38.226956999999999</v>
      </c>
      <c r="O314" s="10">
        <v>25.414999999999999</v>
      </c>
      <c r="P314" s="10">
        <v>31.385000000000002</v>
      </c>
      <c r="Q314" s="11">
        <v>1750</v>
      </c>
      <c r="R314" s="16">
        <v>0.61919999999999997</v>
      </c>
      <c r="S314" s="16">
        <v>0.98941500000000004</v>
      </c>
      <c r="T314" s="16">
        <v>28.564</v>
      </c>
      <c r="U314" s="16">
        <v>43.991086000000003</v>
      </c>
      <c r="V314" s="16">
        <v>70.388000000000005</v>
      </c>
    </row>
    <row r="315" spans="1:22" x14ac:dyDescent="0.3">
      <c r="A315" s="22">
        <v>36617</v>
      </c>
      <c r="B315" s="16">
        <v>43.685499999999998</v>
      </c>
      <c r="C315" s="16">
        <v>8.2798999999999996</v>
      </c>
      <c r="D315" s="21">
        <v>14061</v>
      </c>
      <c r="E315" s="16">
        <v>51</v>
      </c>
      <c r="F315" s="16">
        <v>7.7827999999999999</v>
      </c>
      <c r="G315" s="16">
        <v>0.56330599999999997</v>
      </c>
      <c r="H315" s="16">
        <v>73.474999999999994</v>
      </c>
      <c r="I315" s="8">
        <v>1.724</v>
      </c>
      <c r="J315" s="16">
        <v>3.7999000000000001</v>
      </c>
      <c r="K315" s="10">
        <v>3.673</v>
      </c>
      <c r="L315" s="11">
        <v>7435</v>
      </c>
      <c r="M315" s="13">
        <v>110.18</v>
      </c>
      <c r="N315" s="10">
        <v>38.763402999999997</v>
      </c>
      <c r="O315" s="10">
        <v>25.364999999999998</v>
      </c>
      <c r="P315" s="10">
        <v>31.675000000000001</v>
      </c>
      <c r="Q315" s="11">
        <v>1750</v>
      </c>
      <c r="R315" s="16">
        <v>0.62680000000000002</v>
      </c>
      <c r="S315" s="16">
        <v>0.96744600000000003</v>
      </c>
      <c r="T315" s="16">
        <v>27.568999999999999</v>
      </c>
      <c r="U315" s="16">
        <v>44.930506999999999</v>
      </c>
      <c r="V315" s="16">
        <v>69.396000000000001</v>
      </c>
    </row>
    <row r="316" spans="1:22" x14ac:dyDescent="0.3">
      <c r="A316" s="22">
        <v>36586</v>
      </c>
      <c r="B316" s="16">
        <v>43.638261</v>
      </c>
      <c r="C316" s="16">
        <v>8.2787000000000006</v>
      </c>
      <c r="D316" s="21">
        <v>14057</v>
      </c>
      <c r="E316" s="16">
        <v>51</v>
      </c>
      <c r="F316" s="16">
        <v>7.7804000000000002</v>
      </c>
      <c r="G316" s="16">
        <v>0.54494399999999998</v>
      </c>
      <c r="H316" s="16">
        <v>73.150000000000006</v>
      </c>
      <c r="I316" s="8">
        <v>1.7017</v>
      </c>
      <c r="J316" s="16">
        <v>3.7999000000000001</v>
      </c>
      <c r="K316" s="10">
        <v>3.6728999999999998</v>
      </c>
      <c r="L316" s="11">
        <v>7445</v>
      </c>
      <c r="M316" s="13">
        <v>107.26</v>
      </c>
      <c r="N316" s="10">
        <v>39.464221999999999</v>
      </c>
      <c r="O316" s="10">
        <v>25.274999999999999</v>
      </c>
      <c r="P316" s="10">
        <v>31.72</v>
      </c>
      <c r="Q316" s="11">
        <v>1750</v>
      </c>
      <c r="R316" s="16">
        <v>0.60909999999999997</v>
      </c>
      <c r="S316" s="16">
        <v>0.934114</v>
      </c>
      <c r="T316" s="16">
        <v>27.73</v>
      </c>
      <c r="U316" s="16">
        <v>46.634354000000002</v>
      </c>
      <c r="V316" s="16">
        <v>71.37</v>
      </c>
    </row>
    <row r="317" spans="1:22" x14ac:dyDescent="0.3">
      <c r="A317" s="22">
        <v>36557</v>
      </c>
      <c r="B317" s="16">
        <v>43.655237999999997</v>
      </c>
      <c r="C317" s="16">
        <v>8.2786000000000008</v>
      </c>
      <c r="D317" s="21">
        <v>14052</v>
      </c>
      <c r="E317" s="16">
        <v>50.95</v>
      </c>
      <c r="F317" s="16">
        <v>7.7735000000000003</v>
      </c>
      <c r="G317" s="16">
        <v>0.52977099999999999</v>
      </c>
      <c r="H317" s="16">
        <v>71.5</v>
      </c>
      <c r="I317" s="8">
        <v>1.6655</v>
      </c>
      <c r="J317" s="16">
        <v>3.7999000000000001</v>
      </c>
      <c r="K317" s="10">
        <v>3.673</v>
      </c>
      <c r="L317" s="11">
        <v>6987.5</v>
      </c>
      <c r="M317" s="13">
        <v>102.25</v>
      </c>
      <c r="N317" s="10">
        <v>40.019441</v>
      </c>
      <c r="O317" s="10">
        <v>25.3</v>
      </c>
      <c r="P317" s="10">
        <v>31.75</v>
      </c>
      <c r="Q317" s="11">
        <v>1755</v>
      </c>
      <c r="R317" s="16">
        <v>0.60719999999999996</v>
      </c>
      <c r="S317" s="16">
        <v>0.95241299999999995</v>
      </c>
      <c r="T317" s="16">
        <v>28.475999999999999</v>
      </c>
      <c r="U317" s="16">
        <v>45.797364999999999</v>
      </c>
      <c r="V317" s="16">
        <v>71.872</v>
      </c>
    </row>
    <row r="318" spans="1:22" x14ac:dyDescent="0.3">
      <c r="A318" s="22">
        <v>36526</v>
      </c>
      <c r="B318" s="16">
        <v>43.614533000000002</v>
      </c>
      <c r="C318" s="16">
        <v>8.2776999999999994</v>
      </c>
      <c r="D318" s="21">
        <v>14028.5</v>
      </c>
      <c r="E318" s="16">
        <v>51</v>
      </c>
      <c r="F318" s="16">
        <v>7.7664999999999997</v>
      </c>
      <c r="G318" s="16">
        <v>0.49900099999999997</v>
      </c>
      <c r="H318" s="16">
        <v>72.099999999999994</v>
      </c>
      <c r="I318" s="8">
        <v>1.681</v>
      </c>
      <c r="J318" s="16">
        <v>3.8</v>
      </c>
      <c r="K318" s="10">
        <v>3.6728999999999998</v>
      </c>
      <c r="L318" s="11">
        <v>7315</v>
      </c>
      <c r="M318" s="13">
        <v>102.03</v>
      </c>
      <c r="N318" s="10">
        <v>38.060364</v>
      </c>
      <c r="O318" s="10">
        <v>25.225000000000001</v>
      </c>
      <c r="P318" s="10">
        <v>31.8</v>
      </c>
      <c r="Q318" s="11">
        <v>1755</v>
      </c>
      <c r="R318" s="16">
        <v>0.62280000000000002</v>
      </c>
      <c r="S318" s="16">
        <v>0.94317899999999999</v>
      </c>
      <c r="T318" s="16">
        <v>27.812000000000001</v>
      </c>
      <c r="U318" s="16">
        <v>46.128264000000001</v>
      </c>
      <c r="V318" s="16">
        <v>69.753</v>
      </c>
    </row>
    <row r="319" spans="1:22" x14ac:dyDescent="0.3">
      <c r="A319" s="22">
        <v>36495</v>
      </c>
      <c r="B319" s="16">
        <v>43.523913</v>
      </c>
      <c r="C319" s="16">
        <v>8.2795000000000005</v>
      </c>
      <c r="D319" s="21">
        <v>14016</v>
      </c>
      <c r="E319" s="16">
        <v>51</v>
      </c>
      <c r="F319" s="16">
        <v>7.7679999999999998</v>
      </c>
      <c r="G319" s="16">
        <v>0.469916</v>
      </c>
      <c r="H319" s="16">
        <v>71.55</v>
      </c>
      <c r="I319" s="8">
        <v>1.6625000000000001</v>
      </c>
      <c r="J319" s="16">
        <v>3.8</v>
      </c>
      <c r="K319" s="10">
        <v>3.6728999999999998</v>
      </c>
      <c r="L319" s="11">
        <v>6825</v>
      </c>
      <c r="M319" s="13">
        <v>104.01</v>
      </c>
      <c r="N319" s="10">
        <v>37.135567999999999</v>
      </c>
      <c r="O319" s="10">
        <v>25.195</v>
      </c>
      <c r="P319" s="10">
        <v>32.24</v>
      </c>
      <c r="Q319" s="11">
        <v>1755</v>
      </c>
      <c r="R319" s="16">
        <v>0.61709999999999998</v>
      </c>
      <c r="S319" s="16">
        <v>0.966283</v>
      </c>
      <c r="T319" s="16">
        <v>28.213999999999999</v>
      </c>
      <c r="U319" s="16">
        <v>44.891978000000002</v>
      </c>
      <c r="V319" s="16">
        <v>70.292000000000002</v>
      </c>
    </row>
    <row r="320" spans="1:22" x14ac:dyDescent="0.3">
      <c r="A320" s="22">
        <v>36465</v>
      </c>
      <c r="B320" s="16">
        <v>43.460582000000002</v>
      </c>
      <c r="C320" s="16">
        <v>8.2789000000000001</v>
      </c>
      <c r="D320" s="21">
        <v>14009.5</v>
      </c>
      <c r="E320" s="16">
        <v>49.5</v>
      </c>
      <c r="F320" s="16">
        <v>7.7679</v>
      </c>
      <c r="G320" s="16">
        <v>0.45583600000000002</v>
      </c>
      <c r="H320" s="16">
        <v>71.73</v>
      </c>
      <c r="I320" s="8">
        <v>1.698</v>
      </c>
      <c r="J320" s="16">
        <v>3.8</v>
      </c>
      <c r="K320" s="10">
        <v>3.673</v>
      </c>
      <c r="L320" s="11">
        <v>8300</v>
      </c>
      <c r="M320" s="13">
        <v>106.3</v>
      </c>
      <c r="N320" s="10">
        <v>36.925454999999999</v>
      </c>
      <c r="O320" s="10">
        <v>25.175000000000001</v>
      </c>
      <c r="P320" s="10">
        <v>32.299999999999997</v>
      </c>
      <c r="Q320" s="11">
        <v>1755</v>
      </c>
      <c r="R320" s="16">
        <v>0.63419999999999999</v>
      </c>
      <c r="S320" s="16">
        <v>0.96364700000000003</v>
      </c>
      <c r="T320" s="16">
        <v>28.989000000000001</v>
      </c>
      <c r="U320" s="16">
        <v>44.844023</v>
      </c>
      <c r="V320" s="16">
        <v>68.432000000000002</v>
      </c>
    </row>
    <row r="321" spans="1:22" x14ac:dyDescent="0.3">
      <c r="A321" s="22">
        <v>36434</v>
      </c>
      <c r="B321" s="16">
        <v>43.557690999999998</v>
      </c>
      <c r="C321" s="16">
        <v>8.2777999999999992</v>
      </c>
      <c r="D321" s="21">
        <v>13994</v>
      </c>
      <c r="E321" s="16">
        <v>49.5</v>
      </c>
      <c r="F321" s="16">
        <v>7.7649999999999997</v>
      </c>
      <c r="G321" s="16">
        <v>0.43786700000000001</v>
      </c>
      <c r="H321" s="16">
        <v>71.8</v>
      </c>
      <c r="I321" s="8">
        <v>1.6842999999999999</v>
      </c>
      <c r="J321" s="16">
        <v>3.8</v>
      </c>
      <c r="K321" s="10">
        <v>3.673</v>
      </c>
      <c r="L321" s="11">
        <v>7675</v>
      </c>
      <c r="M321" s="13">
        <v>109.7</v>
      </c>
      <c r="N321" s="10">
        <v>37.059606000000002</v>
      </c>
      <c r="O321" s="10">
        <v>25.15</v>
      </c>
      <c r="P321" s="10">
        <v>32.715000000000003</v>
      </c>
      <c r="Q321" s="11">
        <v>1755</v>
      </c>
      <c r="R321" s="16">
        <v>0.62429999999999997</v>
      </c>
      <c r="S321" s="16">
        <v>0.94097500000000001</v>
      </c>
      <c r="T321" s="16">
        <v>27.803000000000001</v>
      </c>
      <c r="U321" s="16">
        <v>45.570287</v>
      </c>
      <c r="V321" s="16">
        <v>68.688999999999993</v>
      </c>
    </row>
    <row r="322" spans="1:22" x14ac:dyDescent="0.3">
      <c r="A322" s="22">
        <v>36404</v>
      </c>
      <c r="B322" s="16">
        <v>43.613269000000003</v>
      </c>
      <c r="C322" s="16">
        <v>8.2777999999999992</v>
      </c>
      <c r="D322" s="21">
        <v>13962</v>
      </c>
      <c r="E322" s="16">
        <v>49.5</v>
      </c>
      <c r="F322" s="16">
        <v>7.7617000000000003</v>
      </c>
      <c r="G322" s="16">
        <v>0.42833399999999999</v>
      </c>
      <c r="H322" s="16">
        <v>71.599999999999994</v>
      </c>
      <c r="I322" s="8">
        <v>1.6825000000000001</v>
      </c>
      <c r="J322" s="16">
        <v>3.8</v>
      </c>
      <c r="K322" s="10">
        <v>3.673</v>
      </c>
      <c r="L322" s="11">
        <v>6880</v>
      </c>
      <c r="M322" s="13">
        <v>114.46</v>
      </c>
      <c r="N322" s="10">
        <v>37.631135999999998</v>
      </c>
      <c r="O322" s="10">
        <v>25.055</v>
      </c>
      <c r="P322" s="10">
        <v>32.700000000000003</v>
      </c>
      <c r="Q322" s="11">
        <v>1755</v>
      </c>
      <c r="R322" s="16">
        <v>0.62129999999999996</v>
      </c>
      <c r="S322" s="16">
        <v>0.93425599999999998</v>
      </c>
      <c r="T322" s="16">
        <v>28.318999999999999</v>
      </c>
      <c r="U322" s="16">
        <v>45.810937000000003</v>
      </c>
      <c r="V322" s="16">
        <v>68.903000000000006</v>
      </c>
    </row>
    <row r="323" spans="1:22" x14ac:dyDescent="0.3">
      <c r="A323" s="22">
        <v>36373</v>
      </c>
      <c r="B323" s="16">
        <v>43.503182000000002</v>
      </c>
      <c r="C323" s="16">
        <v>8.2769999999999992</v>
      </c>
      <c r="D323" s="21">
        <v>13948</v>
      </c>
      <c r="E323" s="16">
        <v>49.5</v>
      </c>
      <c r="F323" s="16">
        <v>7.7582000000000004</v>
      </c>
      <c r="G323" s="16">
        <v>0.47309699999999999</v>
      </c>
      <c r="H323" s="16">
        <v>71.55</v>
      </c>
      <c r="I323" s="8">
        <v>1.7004999999999999</v>
      </c>
      <c r="J323" s="16">
        <v>3.8</v>
      </c>
      <c r="K323" s="10">
        <v>3.6728999999999998</v>
      </c>
      <c r="L323" s="11">
        <v>6705</v>
      </c>
      <c r="M323" s="13">
        <v>121.04</v>
      </c>
      <c r="N323" s="10">
        <v>37.556522000000001</v>
      </c>
      <c r="O323" s="10">
        <v>25.07</v>
      </c>
      <c r="P323" s="10">
        <v>33.145000000000003</v>
      </c>
      <c r="Q323" s="11">
        <v>1755</v>
      </c>
      <c r="R323" s="16">
        <v>0.62029999999999996</v>
      </c>
      <c r="S323" s="16">
        <v>0.91891699999999998</v>
      </c>
      <c r="T323" s="16">
        <v>26.916</v>
      </c>
      <c r="U323" s="16">
        <v>46.270107000000003</v>
      </c>
      <c r="V323" s="16">
        <v>68.304000000000002</v>
      </c>
    </row>
    <row r="324" spans="1:22" x14ac:dyDescent="0.3">
      <c r="A324" s="22">
        <v>36342</v>
      </c>
      <c r="B324" s="16">
        <v>43.362645999999998</v>
      </c>
      <c r="C324" s="16">
        <v>8.2774000000000001</v>
      </c>
      <c r="D324" s="21">
        <v>13932.5</v>
      </c>
      <c r="E324" s="16">
        <v>48.5</v>
      </c>
      <c r="F324" s="16">
        <v>7.7546999999999997</v>
      </c>
      <c r="G324" s="23"/>
      <c r="H324" s="16">
        <v>70.849999999999994</v>
      </c>
      <c r="I324" s="8">
        <v>1.7270000000000001</v>
      </c>
      <c r="J324" s="16">
        <v>3.7997000000000001</v>
      </c>
      <c r="K324" s="10">
        <v>3.673</v>
      </c>
      <c r="L324" s="11">
        <v>8115</v>
      </c>
      <c r="M324" s="13">
        <v>121.52</v>
      </c>
      <c r="N324" s="10">
        <v>37.128486000000002</v>
      </c>
      <c r="O324" s="10">
        <v>24.945</v>
      </c>
      <c r="P324" s="10">
        <v>33.08</v>
      </c>
      <c r="Q324" s="11">
        <v>1755</v>
      </c>
      <c r="R324" s="16">
        <v>0.62429999999999997</v>
      </c>
      <c r="S324" s="16">
        <v>0.89236000000000004</v>
      </c>
      <c r="T324" s="16">
        <v>26.408999999999999</v>
      </c>
      <c r="U324" s="16">
        <v>47.672705000000001</v>
      </c>
      <c r="V324" s="16">
        <v>68.394000000000005</v>
      </c>
    </row>
    <row r="325" spans="1:22" x14ac:dyDescent="0.3">
      <c r="A325" s="22">
        <v>36312</v>
      </c>
      <c r="B325" s="16">
        <v>43.212727000000001</v>
      </c>
      <c r="C325" s="16">
        <v>8.2787000000000006</v>
      </c>
      <c r="D325" s="21">
        <v>13912.5</v>
      </c>
      <c r="E325" s="16">
        <v>48.5</v>
      </c>
      <c r="F325" s="16">
        <v>7.7512999999999996</v>
      </c>
      <c r="G325" s="23"/>
      <c r="H325" s="16">
        <v>69.625</v>
      </c>
      <c r="I325" s="8">
        <v>1.6964999999999999</v>
      </c>
      <c r="J325" s="16">
        <v>3.8</v>
      </c>
      <c r="K325" s="10">
        <v>3.6728000000000001</v>
      </c>
      <c r="L325" s="11">
        <v>8017.5</v>
      </c>
      <c r="M325" s="13">
        <v>119.49</v>
      </c>
      <c r="N325" s="10">
        <v>36.614479000000003</v>
      </c>
      <c r="O325" s="10">
        <v>24.85</v>
      </c>
      <c r="P325" s="10">
        <v>32.314999999999998</v>
      </c>
      <c r="Q325" s="11">
        <v>1755</v>
      </c>
      <c r="R325" s="16">
        <v>0.60809999999999997</v>
      </c>
      <c r="S325" s="16">
        <v>0.86134599999999995</v>
      </c>
      <c r="T325" s="16">
        <v>26.792000000000002</v>
      </c>
      <c r="U325" s="16">
        <v>49.396774000000001</v>
      </c>
      <c r="V325" s="16">
        <v>69.927999999999997</v>
      </c>
    </row>
    <row r="326" spans="1:22" x14ac:dyDescent="0.3">
      <c r="A326" s="22">
        <v>36281</v>
      </c>
      <c r="B326" s="16">
        <v>42.878331000000003</v>
      </c>
      <c r="C326" s="16">
        <v>8.2783999999999995</v>
      </c>
      <c r="D326" s="21">
        <v>13908.5</v>
      </c>
      <c r="E326" s="16">
        <v>48.475000000000001</v>
      </c>
      <c r="F326" s="16">
        <v>7.7495000000000003</v>
      </c>
      <c r="G326" s="23"/>
      <c r="H326" s="16">
        <v>69.424999999999997</v>
      </c>
      <c r="I326" s="8">
        <v>1.7270000000000001</v>
      </c>
      <c r="J326" s="16">
        <v>3.7999000000000001</v>
      </c>
      <c r="K326" s="10">
        <v>3.6728999999999998</v>
      </c>
      <c r="L326" s="11">
        <v>8650</v>
      </c>
      <c r="M326" s="13">
        <v>118.86</v>
      </c>
      <c r="N326" s="10">
        <v>36.283478000000002</v>
      </c>
      <c r="O326" s="10">
        <v>24.73</v>
      </c>
      <c r="P326" s="10">
        <v>32.22</v>
      </c>
      <c r="Q326" s="11">
        <v>1754</v>
      </c>
      <c r="R326" s="16">
        <v>0.6028</v>
      </c>
      <c r="S326" s="16">
        <v>0.853966</v>
      </c>
      <c r="T326" s="16">
        <v>26.013000000000002</v>
      </c>
      <c r="U326" s="16">
        <v>49.876114999999999</v>
      </c>
      <c r="V326" s="16">
        <v>70.251000000000005</v>
      </c>
    </row>
    <row r="327" spans="1:22" x14ac:dyDescent="0.3">
      <c r="A327" s="22">
        <v>36251</v>
      </c>
      <c r="B327" s="16">
        <v>42.796818000000002</v>
      </c>
      <c r="C327" s="16">
        <v>8.2789999999999999</v>
      </c>
      <c r="D327" s="21">
        <v>13902</v>
      </c>
      <c r="E327" s="16">
        <v>48.5</v>
      </c>
      <c r="F327" s="16">
        <v>7.7474999999999996</v>
      </c>
      <c r="G327" s="23"/>
      <c r="H327" s="16">
        <v>69.53</v>
      </c>
      <c r="I327" s="8">
        <v>1.722</v>
      </c>
      <c r="J327" s="16">
        <v>3.8</v>
      </c>
      <c r="K327" s="10">
        <v>3.673</v>
      </c>
      <c r="L327" s="11">
        <v>8800</v>
      </c>
      <c r="M327" s="13">
        <v>119.17</v>
      </c>
      <c r="N327" s="10">
        <v>36.544823999999998</v>
      </c>
      <c r="O327" s="10">
        <v>24.785</v>
      </c>
      <c r="P327" s="10">
        <v>32.445</v>
      </c>
      <c r="Q327" s="11">
        <v>1754</v>
      </c>
      <c r="R327" s="16">
        <v>0.60619999999999996</v>
      </c>
      <c r="S327" s="16">
        <v>0.85961399999999999</v>
      </c>
      <c r="T327" s="16">
        <v>26.751000000000001</v>
      </c>
      <c r="U327" s="16">
        <v>49.361961999999998</v>
      </c>
      <c r="V327" s="16">
        <v>70.144999999999996</v>
      </c>
    </row>
    <row r="328" spans="1:22" x14ac:dyDescent="0.3">
      <c r="A328" s="22">
        <v>36220</v>
      </c>
      <c r="B328" s="16">
        <v>42.516086999999999</v>
      </c>
      <c r="C328" s="16">
        <v>8.2799999999999994</v>
      </c>
      <c r="D328" s="21">
        <v>13892</v>
      </c>
      <c r="E328" s="16">
        <v>48.4</v>
      </c>
      <c r="F328" s="16">
        <v>7.7488000000000001</v>
      </c>
      <c r="G328" s="23"/>
      <c r="H328" s="16">
        <v>68.825000000000003</v>
      </c>
      <c r="I328" s="8">
        <v>1.6912</v>
      </c>
      <c r="J328" s="16">
        <v>3.7999000000000001</v>
      </c>
      <c r="K328" s="10">
        <v>3.6728999999999998</v>
      </c>
      <c r="L328" s="11">
        <v>8850</v>
      </c>
      <c r="M328" s="13">
        <v>116.32</v>
      </c>
      <c r="N328" s="10">
        <v>38.147215000000003</v>
      </c>
      <c r="O328" s="10">
        <v>24.774999999999999</v>
      </c>
      <c r="P328" s="10">
        <v>32.424999999999997</v>
      </c>
      <c r="Q328" s="11">
        <v>1754</v>
      </c>
      <c r="R328" s="16">
        <v>0.59699999999999998</v>
      </c>
      <c r="S328" s="16">
        <v>0.83780399999999999</v>
      </c>
      <c r="T328" s="16">
        <v>26.428000000000001</v>
      </c>
      <c r="U328" s="16">
        <v>50.626663999999998</v>
      </c>
      <c r="V328" s="16">
        <v>70.975999999999999</v>
      </c>
    </row>
    <row r="329" spans="1:22" x14ac:dyDescent="0.3">
      <c r="A329" s="22">
        <v>36192</v>
      </c>
      <c r="B329" s="16">
        <v>42.536136999999997</v>
      </c>
      <c r="C329" s="16">
        <v>8.2789999999999999</v>
      </c>
      <c r="D329" s="21">
        <v>13880</v>
      </c>
      <c r="E329" s="16">
        <v>48.45</v>
      </c>
      <c r="F329" s="16">
        <v>7.7470999999999997</v>
      </c>
      <c r="G329" s="23"/>
      <c r="H329" s="16">
        <v>68.430000000000007</v>
      </c>
      <c r="I329" s="8">
        <v>1.651</v>
      </c>
      <c r="J329" s="16">
        <v>3.8</v>
      </c>
      <c r="K329" s="10">
        <v>3.6728999999999998</v>
      </c>
      <c r="L329" s="11">
        <v>8000</v>
      </c>
      <c r="M329" s="13">
        <v>113.69</v>
      </c>
      <c r="N329" s="10">
        <v>40.399890999999997</v>
      </c>
      <c r="O329" s="10">
        <v>24.585000000000001</v>
      </c>
      <c r="P329" s="10">
        <v>34.450000000000003</v>
      </c>
      <c r="Q329" s="11">
        <v>1754</v>
      </c>
      <c r="R329" s="16">
        <v>0.58860000000000001</v>
      </c>
      <c r="S329" s="16">
        <v>0.86951299999999998</v>
      </c>
      <c r="T329" s="16">
        <v>25.175999999999998</v>
      </c>
      <c r="U329" s="16">
        <v>48.956381</v>
      </c>
      <c r="V329" s="16">
        <v>72.064999999999998</v>
      </c>
    </row>
    <row r="330" spans="1:22" x14ac:dyDescent="0.3">
      <c r="A330" s="22">
        <v>36161</v>
      </c>
      <c r="B330" s="16">
        <v>42.544345</v>
      </c>
      <c r="C330" s="16">
        <v>8.2777999999999992</v>
      </c>
      <c r="D330" s="21">
        <v>13893</v>
      </c>
      <c r="E330" s="16">
        <v>48.5</v>
      </c>
      <c r="F330" s="16">
        <v>7.7424999999999997</v>
      </c>
      <c r="G330" s="23"/>
      <c r="H330" s="16">
        <v>67.900000000000006</v>
      </c>
      <c r="I330" s="8">
        <v>1.6485000000000001</v>
      </c>
      <c r="J330" s="16">
        <v>3.8</v>
      </c>
      <c r="K330" s="10">
        <v>3.6728999999999998</v>
      </c>
      <c r="L330" s="11">
        <v>7437.5</v>
      </c>
      <c r="M330" s="13">
        <v>122.95</v>
      </c>
      <c r="N330" s="10">
        <v>41.72</v>
      </c>
      <c r="O330" s="10">
        <v>24.475000000000001</v>
      </c>
      <c r="P330" s="10">
        <v>34.854999999999997</v>
      </c>
      <c r="Q330" s="11">
        <v>1754</v>
      </c>
      <c r="R330" s="16">
        <v>0.59789999999999999</v>
      </c>
      <c r="S330" s="16">
        <v>0.91300599999999998</v>
      </c>
      <c r="T330" s="16">
        <v>24.164999999999999</v>
      </c>
      <c r="U330" s="16">
        <v>46.926551000000003</v>
      </c>
      <c r="V330" s="16">
        <v>71.548000000000002</v>
      </c>
    </row>
    <row r="331" spans="1:22" x14ac:dyDescent="0.3">
      <c r="A331" s="22">
        <v>36130</v>
      </c>
      <c r="B331" s="16">
        <v>42.591304000000001</v>
      </c>
      <c r="C331" s="16">
        <v>8.2789000000000001</v>
      </c>
      <c r="D331" s="21">
        <v>13885</v>
      </c>
      <c r="E331" s="16">
        <v>48.5</v>
      </c>
      <c r="F331" s="16">
        <v>7.7445000000000004</v>
      </c>
      <c r="G331" s="23"/>
      <c r="H331" s="16">
        <v>67.075000000000003</v>
      </c>
      <c r="I331" s="8">
        <v>1.6234999999999999</v>
      </c>
      <c r="J331" s="16">
        <v>3.8</v>
      </c>
      <c r="K331" s="10">
        <v>3.673</v>
      </c>
      <c r="L331" s="11">
        <v>7600</v>
      </c>
      <c r="M331" s="13">
        <v>115.79</v>
      </c>
      <c r="N331" s="10">
        <v>41.299565000000001</v>
      </c>
      <c r="O331" s="10">
        <v>24.2</v>
      </c>
      <c r="P331" s="10">
        <v>34.365000000000002</v>
      </c>
      <c r="Q331" s="11">
        <v>1754</v>
      </c>
      <c r="R331" s="16">
        <v>0.61170000000000002</v>
      </c>
      <c r="S331" s="16">
        <v>0.91768000000000005</v>
      </c>
      <c r="T331" s="16">
        <v>25.786999999999999</v>
      </c>
      <c r="U331" s="16">
        <v>46.438184999999997</v>
      </c>
      <c r="V331" s="16">
        <v>69.528999999999996</v>
      </c>
    </row>
    <row r="332" spans="1:22" x14ac:dyDescent="0.3">
      <c r="A332" s="22">
        <v>36100</v>
      </c>
      <c r="B332" s="16">
        <v>42.428359</v>
      </c>
      <c r="C332" s="16">
        <v>8.2782</v>
      </c>
      <c r="D332" s="21">
        <v>13906</v>
      </c>
      <c r="E332" s="16">
        <v>48.5</v>
      </c>
      <c r="F332" s="16">
        <v>7.7489999999999997</v>
      </c>
      <c r="G332" s="23"/>
      <c r="H332" s="16">
        <v>65.984999999999999</v>
      </c>
      <c r="I332" s="8">
        <v>1.6875</v>
      </c>
      <c r="J332" s="16">
        <v>3.8050000000000002</v>
      </c>
      <c r="K332" s="10">
        <v>3.673</v>
      </c>
      <c r="L332" s="11">
        <v>10700</v>
      </c>
      <c r="M332" s="13">
        <v>136.47999999999999</v>
      </c>
      <c r="N332" s="10">
        <v>42.331817999999998</v>
      </c>
      <c r="O332" s="10">
        <v>24.25</v>
      </c>
      <c r="P332" s="10">
        <v>34.360999999999997</v>
      </c>
      <c r="Q332" s="11">
        <v>1754</v>
      </c>
      <c r="R332" s="16">
        <v>0.5998</v>
      </c>
      <c r="S332" s="16">
        <v>0.91427800000000004</v>
      </c>
      <c r="T332" s="16">
        <v>26.32</v>
      </c>
      <c r="U332" s="16">
        <v>46.339559999999999</v>
      </c>
      <c r="V332" s="16">
        <v>70.722999999999999</v>
      </c>
    </row>
    <row r="333" spans="1:22" x14ac:dyDescent="0.3">
      <c r="A333" s="22">
        <v>36069</v>
      </c>
      <c r="B333" s="16">
        <v>42.412550000000003</v>
      </c>
      <c r="C333" s="16">
        <v>8.2777999999999992</v>
      </c>
      <c r="D333" s="21">
        <v>13904</v>
      </c>
      <c r="E333" s="16">
        <v>47.1</v>
      </c>
      <c r="F333" s="16">
        <v>7.7496999999999998</v>
      </c>
      <c r="G333" s="23"/>
      <c r="H333" s="16">
        <v>66.525000000000006</v>
      </c>
      <c r="I333" s="8">
        <v>1.7615000000000001</v>
      </c>
      <c r="J333" s="16">
        <v>4.1653000000000002</v>
      </c>
      <c r="K333" s="10">
        <v>3.673</v>
      </c>
      <c r="L333" s="11">
        <v>11050</v>
      </c>
      <c r="M333" s="13">
        <v>139.12</v>
      </c>
      <c r="N333" s="10">
        <v>39.212715000000003</v>
      </c>
      <c r="O333" s="10">
        <v>23.914999999999999</v>
      </c>
      <c r="P333" s="10">
        <v>33.975000000000001</v>
      </c>
      <c r="Q333" s="11">
        <v>1754</v>
      </c>
      <c r="R333" s="16">
        <v>0.61319999999999997</v>
      </c>
      <c r="S333" s="16">
        <v>0.90678199999999998</v>
      </c>
      <c r="T333" s="16">
        <v>25.946000000000002</v>
      </c>
      <c r="U333" s="16">
        <v>44.644871000000002</v>
      </c>
      <c r="V333" s="16">
        <v>67.91</v>
      </c>
    </row>
    <row r="334" spans="1:22" x14ac:dyDescent="0.3">
      <c r="A334" s="22">
        <v>36039</v>
      </c>
      <c r="B334" s="16">
        <v>42.558653999999997</v>
      </c>
      <c r="C334" s="16">
        <v>8.2780000000000005</v>
      </c>
      <c r="D334" s="21">
        <v>13907.5</v>
      </c>
      <c r="E334" s="16">
        <v>47.1</v>
      </c>
      <c r="F334" s="16">
        <v>7.7495000000000003</v>
      </c>
      <c r="G334" s="23"/>
      <c r="H334" s="16">
        <v>65.924999999999997</v>
      </c>
      <c r="I334" s="8">
        <v>1.7284999999999999</v>
      </c>
      <c r="J334" s="16">
        <v>4.1501999999999999</v>
      </c>
      <c r="K334" s="10">
        <v>3.6728999999999998</v>
      </c>
      <c r="L334" s="11">
        <v>13150</v>
      </c>
      <c r="M334" s="13">
        <v>144.53</v>
      </c>
      <c r="N334" s="10">
        <v>39.653635999999999</v>
      </c>
      <c r="O334" s="10">
        <v>23.8</v>
      </c>
      <c r="P334" s="10">
        <v>32.973999999999997</v>
      </c>
      <c r="Q334" s="11">
        <v>1754</v>
      </c>
      <c r="R334" s="16">
        <v>0.59830000000000005</v>
      </c>
      <c r="S334" s="16">
        <v>0.92607200000000001</v>
      </c>
      <c r="T334" s="16">
        <v>25.785</v>
      </c>
      <c r="U334" s="16">
        <v>42.878450000000001</v>
      </c>
      <c r="V334" s="16">
        <v>66.364000000000004</v>
      </c>
    </row>
    <row r="335" spans="1:22" x14ac:dyDescent="0.3">
      <c r="A335" s="22">
        <v>36008</v>
      </c>
      <c r="B335" s="16">
        <v>42.842857000000002</v>
      </c>
      <c r="C335" s="16">
        <v>8.2799999999999994</v>
      </c>
      <c r="D335" s="21">
        <v>12994</v>
      </c>
      <c r="E335" s="16">
        <v>47.1</v>
      </c>
      <c r="F335" s="16">
        <v>7.7469999999999999</v>
      </c>
      <c r="G335" s="23"/>
      <c r="H335" s="16">
        <v>65.400000000000006</v>
      </c>
      <c r="I335" s="8">
        <v>1.6865000000000001</v>
      </c>
      <c r="J335" s="16">
        <v>4.13</v>
      </c>
      <c r="K335" s="10">
        <v>3.673</v>
      </c>
      <c r="L335" s="11">
        <v>14800</v>
      </c>
      <c r="M335" s="13">
        <v>138.86000000000001</v>
      </c>
      <c r="N335" s="10">
        <v>41.365909000000002</v>
      </c>
      <c r="O335" s="10">
        <v>24</v>
      </c>
      <c r="P335" s="10">
        <v>32.875</v>
      </c>
      <c r="Q335" s="11">
        <v>1754</v>
      </c>
      <c r="R335" s="16">
        <v>0.59750000000000003</v>
      </c>
      <c r="S335" s="16">
        <v>0.93153900000000001</v>
      </c>
      <c r="T335" s="16">
        <v>26.166</v>
      </c>
      <c r="U335" s="16">
        <v>42.477567000000001</v>
      </c>
      <c r="V335" s="16">
        <v>66.085999999999999</v>
      </c>
    </row>
    <row r="336" spans="1:22" x14ac:dyDescent="0.3">
      <c r="A336" s="22">
        <v>35977</v>
      </c>
      <c r="B336" s="16">
        <v>42.611826000000001</v>
      </c>
      <c r="C336" s="16">
        <v>8.2798999999999996</v>
      </c>
      <c r="D336" s="21">
        <v>12985.5</v>
      </c>
      <c r="E336" s="16">
        <v>46.3</v>
      </c>
      <c r="F336" s="16">
        <v>7.7492999999999999</v>
      </c>
      <c r="G336" s="23"/>
      <c r="H336" s="16">
        <v>65</v>
      </c>
      <c r="I336" s="8">
        <v>1.6762999999999999</v>
      </c>
      <c r="J336" s="16">
        <v>3.8452999999999999</v>
      </c>
      <c r="K336" s="10">
        <v>3.6728999999999998</v>
      </c>
      <c r="L336" s="11">
        <v>11450</v>
      </c>
      <c r="M336" s="13">
        <v>138.84</v>
      </c>
      <c r="N336" s="10">
        <v>46.009821000000002</v>
      </c>
      <c r="O336" s="10">
        <v>22.9</v>
      </c>
      <c r="P336" s="10">
        <v>32.049999999999997</v>
      </c>
      <c r="Q336" s="11">
        <v>1754</v>
      </c>
      <c r="R336" s="16">
        <v>0.6079</v>
      </c>
      <c r="S336" s="16">
        <v>0.92615599999999998</v>
      </c>
      <c r="T336" s="16">
        <v>26.709</v>
      </c>
      <c r="U336" s="16">
        <v>42.103963</v>
      </c>
      <c r="V336" s="16">
        <v>64.700999999999993</v>
      </c>
    </row>
    <row r="337" spans="1:22" x14ac:dyDescent="0.3">
      <c r="A337" s="22">
        <v>35947</v>
      </c>
      <c r="B337" s="16">
        <v>42.366818000000002</v>
      </c>
      <c r="C337" s="16">
        <v>8.2797000000000001</v>
      </c>
      <c r="D337" s="21">
        <v>12983</v>
      </c>
      <c r="E337" s="16">
        <v>46.3</v>
      </c>
      <c r="F337" s="16">
        <v>7.7484999999999999</v>
      </c>
      <c r="G337" s="23"/>
      <c r="H337" s="16">
        <v>63.305</v>
      </c>
      <c r="I337" s="8">
        <v>1.5834999999999999</v>
      </c>
      <c r="J337" s="16">
        <v>3.7324999999999999</v>
      </c>
      <c r="K337" s="10">
        <v>3.673</v>
      </c>
      <c r="L337" s="11">
        <v>8000</v>
      </c>
      <c r="M337" s="13">
        <v>132.87</v>
      </c>
      <c r="N337" s="10">
        <v>52.657055</v>
      </c>
      <c r="O337" s="10">
        <v>22.774999999999999</v>
      </c>
      <c r="P337" s="10">
        <v>34</v>
      </c>
      <c r="Q337" s="11">
        <v>1754</v>
      </c>
      <c r="R337" s="16">
        <v>0.61199999999999999</v>
      </c>
      <c r="S337" s="16">
        <v>0.92594699999999996</v>
      </c>
      <c r="T337" s="16">
        <v>26.465</v>
      </c>
      <c r="U337" s="16">
        <v>42.574316000000003</v>
      </c>
      <c r="V337" s="16">
        <v>63.134999999999998</v>
      </c>
    </row>
    <row r="338" spans="1:22" x14ac:dyDescent="0.3">
      <c r="A338" s="22">
        <v>35916</v>
      </c>
      <c r="B338" s="16">
        <v>40.482467999999997</v>
      </c>
      <c r="C338" s="16">
        <v>8.2792999999999992</v>
      </c>
      <c r="D338" s="21">
        <v>12984.5</v>
      </c>
      <c r="E338" s="16">
        <v>46.3</v>
      </c>
      <c r="F338" s="16">
        <v>7.7489999999999997</v>
      </c>
      <c r="G338" s="23"/>
      <c r="H338" s="16">
        <v>62.375</v>
      </c>
      <c r="I338" s="8">
        <v>1.6140000000000001</v>
      </c>
      <c r="J338" s="16">
        <v>3.673</v>
      </c>
      <c r="K338" s="10">
        <v>3.6726000000000001</v>
      </c>
      <c r="L338" s="11">
        <v>8700</v>
      </c>
      <c r="M338" s="13">
        <v>133.11000000000001</v>
      </c>
      <c r="N338" s="10">
        <v>44.354348000000002</v>
      </c>
      <c r="O338" s="10">
        <v>22.204999999999998</v>
      </c>
      <c r="P338" s="10">
        <v>32.625</v>
      </c>
      <c r="Q338" s="11">
        <v>1750</v>
      </c>
      <c r="R338" s="16">
        <v>0.60750000000000004</v>
      </c>
      <c r="S338" s="16">
        <v>0.90576699999999999</v>
      </c>
      <c r="T338" s="16">
        <v>25.52</v>
      </c>
      <c r="U338" s="16">
        <v>43.480933</v>
      </c>
      <c r="V338" s="16">
        <v>64.581999999999994</v>
      </c>
    </row>
    <row r="339" spans="1:22" x14ac:dyDescent="0.3">
      <c r="A339" s="22">
        <v>35886</v>
      </c>
      <c r="B339" s="16">
        <v>39.702908999999998</v>
      </c>
      <c r="C339" s="16">
        <v>8.2779000000000007</v>
      </c>
      <c r="D339" s="21">
        <v>12979</v>
      </c>
      <c r="E339" s="16">
        <v>46.3</v>
      </c>
      <c r="F339" s="16">
        <v>7.7424999999999997</v>
      </c>
      <c r="G339" s="23"/>
      <c r="H339" s="16">
        <v>61.674999999999997</v>
      </c>
      <c r="I339" s="8">
        <v>1.6205000000000001</v>
      </c>
      <c r="J339" s="16">
        <v>3.6949999999999998</v>
      </c>
      <c r="K339" s="10">
        <v>3.6728000000000001</v>
      </c>
      <c r="L339" s="11">
        <v>8950</v>
      </c>
      <c r="M339" s="13">
        <v>126.14</v>
      </c>
      <c r="N339" s="10">
        <v>39.032814000000002</v>
      </c>
      <c r="O339" s="10">
        <v>22.024999999999999</v>
      </c>
      <c r="P339" s="10">
        <v>32.225000000000001</v>
      </c>
      <c r="Q339" s="11">
        <v>1750</v>
      </c>
      <c r="R339" s="16">
        <v>0.59289999999999998</v>
      </c>
      <c r="S339" s="16">
        <v>0.88294099999999998</v>
      </c>
      <c r="T339" s="16">
        <v>26.422999999999998</v>
      </c>
      <c r="U339" s="16">
        <v>42.269463000000002</v>
      </c>
      <c r="V339" s="16">
        <v>65.533000000000001</v>
      </c>
    </row>
    <row r="340" spans="1:22" x14ac:dyDescent="0.3">
      <c r="A340" s="22">
        <v>35855</v>
      </c>
      <c r="B340" s="16">
        <v>39.568635999999998</v>
      </c>
      <c r="C340" s="16">
        <v>8.2792999999999992</v>
      </c>
      <c r="D340" s="21">
        <v>12973</v>
      </c>
      <c r="E340" s="16">
        <v>46.3</v>
      </c>
      <c r="F340" s="16">
        <v>7.7344999999999997</v>
      </c>
      <c r="G340" s="23"/>
      <c r="H340" s="16">
        <v>62.25</v>
      </c>
      <c r="I340" s="8">
        <v>1.7124999999999999</v>
      </c>
      <c r="J340" s="16">
        <v>4.1902999999999997</v>
      </c>
      <c r="K340" s="10">
        <v>3.6728999999999998</v>
      </c>
      <c r="L340" s="11">
        <v>10050</v>
      </c>
      <c r="M340" s="13">
        <v>127.09</v>
      </c>
      <c r="N340" s="10">
        <v>37.475309000000003</v>
      </c>
      <c r="O340" s="10">
        <v>21.645</v>
      </c>
      <c r="P340" s="10">
        <v>30.85</v>
      </c>
      <c r="Q340" s="11">
        <v>1750</v>
      </c>
      <c r="R340" s="16">
        <v>0.59709999999999996</v>
      </c>
      <c r="S340" s="16">
        <v>0.89598500000000003</v>
      </c>
      <c r="T340" s="16">
        <v>25.483000000000001</v>
      </c>
      <c r="U340" s="16">
        <v>40.524754999999999</v>
      </c>
      <c r="V340" s="16">
        <v>60.832000000000001</v>
      </c>
    </row>
    <row r="341" spans="1:22" x14ac:dyDescent="0.3">
      <c r="A341" s="22">
        <v>35827</v>
      </c>
      <c r="B341" s="16">
        <v>38.993597999999999</v>
      </c>
      <c r="C341" s="16">
        <v>8.2789000000000001</v>
      </c>
      <c r="D341" s="21">
        <v>12290.5</v>
      </c>
      <c r="E341" s="16">
        <v>45.45</v>
      </c>
      <c r="F341" s="16">
        <v>7.7477999999999998</v>
      </c>
      <c r="G341" s="23"/>
      <c r="H341" s="16">
        <v>61.75</v>
      </c>
      <c r="I341" s="8">
        <v>1.6825000000000001</v>
      </c>
      <c r="J341" s="16">
        <v>3.8845000000000001</v>
      </c>
      <c r="K341" s="10">
        <v>3.6720000000000002</v>
      </c>
      <c r="L341" s="11">
        <v>5550</v>
      </c>
      <c r="M341" s="13">
        <v>130.59</v>
      </c>
      <c r="N341" s="10">
        <v>35.234495000000003</v>
      </c>
      <c r="O341" s="10">
        <v>21.715</v>
      </c>
      <c r="P341" s="10">
        <v>28.61</v>
      </c>
      <c r="Q341" s="11">
        <v>1750</v>
      </c>
      <c r="R341" s="16">
        <v>0.61860000000000004</v>
      </c>
      <c r="S341" s="16">
        <v>0.91250500000000001</v>
      </c>
      <c r="T341" s="16">
        <v>26.254999999999999</v>
      </c>
      <c r="U341" s="16">
        <v>39.992683999999997</v>
      </c>
      <c r="V341" s="16">
        <v>58.548999999999999</v>
      </c>
    </row>
    <row r="342" spans="1:22" x14ac:dyDescent="0.3">
      <c r="A342" s="22">
        <v>35796</v>
      </c>
      <c r="B342" s="16">
        <v>39.421748999999998</v>
      </c>
      <c r="C342" s="16">
        <v>8.2784999999999993</v>
      </c>
      <c r="D342" s="21">
        <v>12292</v>
      </c>
      <c r="E342" s="16">
        <v>45.45</v>
      </c>
      <c r="F342" s="16">
        <v>7.7302999999999997</v>
      </c>
      <c r="G342" s="23"/>
      <c r="H342" s="16">
        <v>60.75</v>
      </c>
      <c r="I342" s="8">
        <v>1.5940000000000001</v>
      </c>
      <c r="J342" s="16">
        <v>3.51</v>
      </c>
      <c r="K342" s="10">
        <v>3.6728000000000001</v>
      </c>
      <c r="L342" s="11">
        <v>3660</v>
      </c>
      <c r="M342" s="13">
        <v>127.89</v>
      </c>
      <c r="N342" s="10">
        <v>32.398570999999997</v>
      </c>
      <c r="O342" s="10">
        <v>21.84</v>
      </c>
      <c r="P342" s="10">
        <v>28.72</v>
      </c>
      <c r="Q342" s="11">
        <v>1750</v>
      </c>
      <c r="R342" s="16">
        <v>0.61699999999999999</v>
      </c>
      <c r="S342" s="16">
        <v>0.93887600000000004</v>
      </c>
      <c r="T342" s="16">
        <v>26.658000000000001</v>
      </c>
      <c r="U342" s="16">
        <v>38.364502999999999</v>
      </c>
      <c r="V342" s="16">
        <v>58.994999999999997</v>
      </c>
    </row>
    <row r="343" spans="1:22" x14ac:dyDescent="0.3">
      <c r="A343" s="22">
        <v>35765</v>
      </c>
      <c r="B343" s="16">
        <v>39.382609000000002</v>
      </c>
      <c r="C343" s="16">
        <v>8.2796000000000003</v>
      </c>
      <c r="D343" s="21">
        <v>12286.5</v>
      </c>
      <c r="E343" s="16">
        <v>45.45</v>
      </c>
      <c r="F343" s="16">
        <v>7.73</v>
      </c>
      <c r="G343" s="23"/>
      <c r="H343" s="16">
        <v>59.774999999999999</v>
      </c>
      <c r="I343" s="8">
        <v>1.573</v>
      </c>
      <c r="J343" s="16">
        <v>3.35</v>
      </c>
      <c r="K343" s="10">
        <v>3.6720000000000002</v>
      </c>
      <c r="L343" s="11">
        <v>3600</v>
      </c>
      <c r="M343" s="13">
        <v>120.41</v>
      </c>
      <c r="N343" s="10">
        <v>30.216873</v>
      </c>
      <c r="O343" s="10">
        <v>21.495000000000001</v>
      </c>
      <c r="P343" s="10">
        <v>28.7</v>
      </c>
      <c r="Q343" s="11">
        <v>1750</v>
      </c>
      <c r="R343" s="16">
        <v>0.61029999999999995</v>
      </c>
      <c r="S343" s="16">
        <v>0.913215</v>
      </c>
      <c r="T343" s="16">
        <v>26.712</v>
      </c>
      <c r="U343" s="16">
        <v>39.159233</v>
      </c>
      <c r="V343" s="16">
        <v>58.566000000000003</v>
      </c>
    </row>
    <row r="344" spans="1:22" x14ac:dyDescent="0.3">
      <c r="A344" s="22">
        <v>35735</v>
      </c>
      <c r="B344" s="16">
        <v>37.324874000000001</v>
      </c>
      <c r="C344" s="16">
        <v>8.2796000000000003</v>
      </c>
      <c r="D344" s="21">
        <v>12245</v>
      </c>
      <c r="E344" s="16">
        <v>45</v>
      </c>
      <c r="F344" s="16">
        <v>7.7380000000000004</v>
      </c>
      <c r="G344" s="23"/>
      <c r="H344" s="16">
        <v>59.75</v>
      </c>
      <c r="I344" s="8">
        <v>1.5289999999999999</v>
      </c>
      <c r="J344" s="16">
        <v>3.2454999999999998</v>
      </c>
      <c r="K344" s="10">
        <v>3.673</v>
      </c>
      <c r="L344" s="11">
        <v>3270</v>
      </c>
      <c r="M344" s="13">
        <v>120.39</v>
      </c>
      <c r="N344" s="10">
        <v>24.534286000000002</v>
      </c>
      <c r="O344" s="10">
        <v>20.805</v>
      </c>
      <c r="P344" s="10">
        <v>27.8</v>
      </c>
      <c r="Q344" s="11">
        <v>1750</v>
      </c>
      <c r="R344" s="16">
        <v>0.60089999999999999</v>
      </c>
      <c r="S344" s="16">
        <v>0.88229299999999999</v>
      </c>
      <c r="T344" s="16">
        <v>26.998000000000001</v>
      </c>
      <c r="U344" s="16">
        <v>40.599497999999997</v>
      </c>
      <c r="V344" s="16">
        <v>59.625</v>
      </c>
    </row>
    <row r="345" spans="1:22" x14ac:dyDescent="0.3">
      <c r="A345" s="22">
        <v>35704</v>
      </c>
      <c r="B345" s="16">
        <v>36.305546999999997</v>
      </c>
      <c r="C345" s="16">
        <v>8.2834000000000003</v>
      </c>
      <c r="D345" s="21">
        <v>11718.5</v>
      </c>
      <c r="E345" s="16">
        <v>44.55</v>
      </c>
      <c r="F345" s="16">
        <v>7.7495000000000003</v>
      </c>
      <c r="G345" s="23"/>
      <c r="H345" s="16">
        <v>59.284999999999997</v>
      </c>
      <c r="I345" s="8">
        <v>1.5155000000000001</v>
      </c>
      <c r="J345" s="16">
        <v>2.9287000000000001</v>
      </c>
      <c r="K345" s="10">
        <v>3.6728999999999998</v>
      </c>
      <c r="L345" s="11">
        <v>2935</v>
      </c>
      <c r="M345" s="13">
        <v>120.88</v>
      </c>
      <c r="N345" s="10">
        <v>25.745346999999999</v>
      </c>
      <c r="O345" s="10">
        <v>20.414999999999999</v>
      </c>
      <c r="P345" s="10">
        <v>27.87</v>
      </c>
      <c r="Q345" s="11">
        <v>1750</v>
      </c>
      <c r="R345" s="16">
        <v>0.61009999999999998</v>
      </c>
      <c r="S345" s="16">
        <v>0.87141500000000005</v>
      </c>
      <c r="T345" s="16">
        <v>27.193999999999999</v>
      </c>
      <c r="U345" s="16">
        <v>41.105581000000001</v>
      </c>
      <c r="V345" s="16">
        <v>58.698999999999998</v>
      </c>
    </row>
    <row r="346" spans="1:22" x14ac:dyDescent="0.3">
      <c r="A346" s="22">
        <v>35674</v>
      </c>
      <c r="B346" s="16">
        <v>36.489657999999999</v>
      </c>
      <c r="C346" s="16">
        <v>8.2849000000000004</v>
      </c>
      <c r="D346" s="21">
        <v>11697</v>
      </c>
      <c r="E346" s="16">
        <v>44.55</v>
      </c>
      <c r="F346" s="16">
        <v>7.7415000000000003</v>
      </c>
      <c r="G346" s="23"/>
      <c r="H346" s="16">
        <v>58.85</v>
      </c>
      <c r="I346" s="8">
        <v>1.4717</v>
      </c>
      <c r="J346" s="16">
        <v>2.6355</v>
      </c>
      <c r="K346" s="10">
        <v>3.6720000000000002</v>
      </c>
      <c r="L346" s="11">
        <v>2615</v>
      </c>
      <c r="M346" s="13">
        <v>118.61</v>
      </c>
      <c r="N346" s="10">
        <v>26.064091000000001</v>
      </c>
      <c r="O346" s="10">
        <v>20.545000000000002</v>
      </c>
      <c r="P346" s="10">
        <v>27.67</v>
      </c>
      <c r="Q346" s="11">
        <v>1750</v>
      </c>
      <c r="R346" s="16">
        <v>0.61609999999999998</v>
      </c>
      <c r="S346" s="16">
        <v>0.87412400000000001</v>
      </c>
      <c r="T346" s="16">
        <v>27.916</v>
      </c>
      <c r="U346" s="16">
        <v>40.993065999999999</v>
      </c>
      <c r="V346" s="16">
        <v>58.069000000000003</v>
      </c>
    </row>
    <row r="347" spans="1:22" x14ac:dyDescent="0.3">
      <c r="A347" s="22">
        <v>35643</v>
      </c>
      <c r="B347" s="16">
        <v>36.008476000000002</v>
      </c>
      <c r="C347" s="16">
        <v>8.2883999999999993</v>
      </c>
      <c r="D347" s="21">
        <v>11682.5</v>
      </c>
      <c r="E347" s="16">
        <v>44.1</v>
      </c>
      <c r="F347" s="16">
        <v>7.7469999999999999</v>
      </c>
      <c r="G347" s="23"/>
      <c r="H347" s="16">
        <v>58.49</v>
      </c>
      <c r="I347" s="8">
        <v>1.4305000000000001</v>
      </c>
      <c r="J347" s="16">
        <v>2.5245000000000002</v>
      </c>
      <c r="K347" s="10">
        <v>3.6726999999999999</v>
      </c>
      <c r="L347" s="11">
        <v>2431.5</v>
      </c>
      <c r="M347" s="13">
        <v>114.66</v>
      </c>
      <c r="N347" s="10">
        <v>25.958570999999999</v>
      </c>
      <c r="O347" s="10">
        <v>20.085000000000001</v>
      </c>
      <c r="P347" s="10">
        <v>27.54</v>
      </c>
      <c r="Q347" s="11">
        <v>1750</v>
      </c>
      <c r="R347" s="16">
        <v>0.6119</v>
      </c>
      <c r="S347" s="16">
        <v>0.86764399999999997</v>
      </c>
      <c r="T347" s="16">
        <v>28.192</v>
      </c>
      <c r="U347" s="16">
        <v>41.36103</v>
      </c>
      <c r="V347" s="16">
        <v>58.790999999999997</v>
      </c>
    </row>
    <row r="348" spans="1:22" x14ac:dyDescent="0.3">
      <c r="A348" s="22">
        <v>35612</v>
      </c>
      <c r="B348" s="16">
        <v>35.746968000000003</v>
      </c>
      <c r="C348" s="16">
        <v>8.2903000000000002</v>
      </c>
      <c r="D348" s="21">
        <v>11667.5</v>
      </c>
      <c r="E348" s="16">
        <v>43.65</v>
      </c>
      <c r="F348" s="16">
        <v>7.7484999999999999</v>
      </c>
      <c r="G348" s="23"/>
      <c r="H348" s="16">
        <v>58.305</v>
      </c>
      <c r="I348" s="8">
        <v>1.4305000000000001</v>
      </c>
      <c r="J348" s="16">
        <v>2.5139999999999998</v>
      </c>
      <c r="K348" s="10">
        <v>3.6720000000000002</v>
      </c>
      <c r="L348" s="11">
        <v>2433.5</v>
      </c>
      <c r="M348" s="13">
        <v>116.23</v>
      </c>
      <c r="N348" s="10">
        <v>25.970072999999999</v>
      </c>
      <c r="O348" s="10">
        <v>20.074999999999999</v>
      </c>
      <c r="P348" s="10">
        <v>27.52</v>
      </c>
      <c r="Q348" s="11">
        <v>1747.5</v>
      </c>
      <c r="R348" s="16">
        <v>0.6139</v>
      </c>
      <c r="S348" s="16">
        <v>0.85646800000000001</v>
      </c>
      <c r="T348" s="16">
        <v>27.911999999999999</v>
      </c>
      <c r="U348" s="16">
        <v>41.919179</v>
      </c>
      <c r="V348" s="16">
        <v>58.433999999999997</v>
      </c>
    </row>
    <row r="349" spans="1:22" x14ac:dyDescent="0.3">
      <c r="A349" s="22">
        <v>35582</v>
      </c>
      <c r="B349" s="16">
        <v>35.820189999999997</v>
      </c>
      <c r="C349" s="16">
        <v>8.2906999999999993</v>
      </c>
      <c r="D349" s="21">
        <v>11660</v>
      </c>
      <c r="E349" s="16">
        <v>43.65</v>
      </c>
      <c r="F349" s="16">
        <v>7.7462</v>
      </c>
      <c r="G349" s="23"/>
      <c r="H349" s="16">
        <v>59.2</v>
      </c>
      <c r="I349" s="8">
        <v>1.4475</v>
      </c>
      <c r="J349" s="16">
        <v>2.5110000000000001</v>
      </c>
      <c r="K349" s="10">
        <v>3.6720000000000002</v>
      </c>
      <c r="L349" s="11">
        <v>2430</v>
      </c>
      <c r="M349" s="13">
        <v>127.09</v>
      </c>
      <c r="N349" s="10">
        <v>25.732989</v>
      </c>
      <c r="O349" s="10">
        <v>19.954999999999998</v>
      </c>
      <c r="P349" s="10">
        <v>27.43</v>
      </c>
      <c r="Q349" s="11"/>
      <c r="R349" s="16">
        <v>0.62409999999999999</v>
      </c>
      <c r="S349" s="16">
        <v>0.817998</v>
      </c>
      <c r="T349" s="16">
        <v>27.33</v>
      </c>
      <c r="U349" s="16">
        <v>43.934578000000002</v>
      </c>
      <c r="V349" s="16">
        <v>57.45</v>
      </c>
    </row>
    <row r="350" spans="1:22" x14ac:dyDescent="0.3">
      <c r="A350" s="22">
        <v>35551</v>
      </c>
      <c r="B350" s="16">
        <v>35.817919000000003</v>
      </c>
      <c r="C350" s="16">
        <v>8.2920999999999996</v>
      </c>
      <c r="D350" s="21">
        <v>11656</v>
      </c>
      <c r="E350" s="16">
        <v>43.65</v>
      </c>
      <c r="F350" s="16">
        <v>7.7488999999999999</v>
      </c>
      <c r="G350" s="23"/>
      <c r="H350" s="16">
        <v>58.33</v>
      </c>
      <c r="I350" s="8">
        <v>1.4450000000000001</v>
      </c>
      <c r="J350" s="16">
        <v>2.4790000000000001</v>
      </c>
      <c r="K350" s="10">
        <v>3.6722999999999999</v>
      </c>
      <c r="L350" s="11">
        <v>2401</v>
      </c>
      <c r="M350" s="13">
        <v>123.94</v>
      </c>
      <c r="N350" s="10">
        <v>25.6</v>
      </c>
      <c r="O350" s="10">
        <v>19.829999999999998</v>
      </c>
      <c r="P350" s="10">
        <v>27.5</v>
      </c>
      <c r="Q350" s="11"/>
      <c r="R350" s="16">
        <v>0.58409999999999995</v>
      </c>
      <c r="S350" s="16">
        <v>0.79411299999999996</v>
      </c>
      <c r="T350" s="16">
        <v>28.495000000000001</v>
      </c>
      <c r="U350" s="16">
        <v>45.183503999999999</v>
      </c>
      <c r="V350" s="16">
        <v>61.411000000000001</v>
      </c>
    </row>
    <row r="351" spans="1:22" x14ac:dyDescent="0.3">
      <c r="A351" s="22">
        <v>35521</v>
      </c>
      <c r="B351" s="16">
        <v>35.828136000000001</v>
      </c>
      <c r="C351" s="16">
        <v>8.2944999999999993</v>
      </c>
      <c r="D351" s="21">
        <v>11650.5</v>
      </c>
      <c r="E351" s="16">
        <v>43.2</v>
      </c>
      <c r="F351" s="16">
        <v>7.7435</v>
      </c>
      <c r="G351" s="23"/>
      <c r="H351" s="16">
        <v>57.5</v>
      </c>
      <c r="I351" s="8">
        <v>1.425</v>
      </c>
      <c r="J351" s="16">
        <v>2.4815</v>
      </c>
      <c r="K351" s="10">
        <v>3.6728999999999998</v>
      </c>
      <c r="L351" s="11">
        <v>2396.5</v>
      </c>
      <c r="M351" s="13">
        <v>120.42</v>
      </c>
      <c r="N351" s="10">
        <v>25.462848000000001</v>
      </c>
      <c r="O351" s="10">
        <v>20.114999999999998</v>
      </c>
      <c r="P351" s="10">
        <v>27.489000000000001</v>
      </c>
      <c r="Q351" s="11"/>
      <c r="R351" s="16">
        <v>0.59489999999999998</v>
      </c>
      <c r="S351" s="16">
        <v>0.77552200000000004</v>
      </c>
      <c r="T351" s="16">
        <v>29.161999999999999</v>
      </c>
      <c r="U351" s="16">
        <v>46.230240000000002</v>
      </c>
      <c r="V351" s="16">
        <v>60.084000000000003</v>
      </c>
    </row>
    <row r="352" spans="1:22" x14ac:dyDescent="0.3">
      <c r="A352" s="22">
        <v>35490</v>
      </c>
      <c r="B352" s="16">
        <v>35.884762000000002</v>
      </c>
      <c r="C352" s="16">
        <v>8.2955000000000005</v>
      </c>
      <c r="D352" s="21">
        <v>11204.5</v>
      </c>
      <c r="E352" s="16">
        <v>42.75</v>
      </c>
      <c r="F352" s="16">
        <v>7.7492000000000001</v>
      </c>
      <c r="G352" s="23"/>
      <c r="H352" s="16">
        <v>57.69</v>
      </c>
      <c r="I352" s="8">
        <v>1.4085000000000001</v>
      </c>
      <c r="J352" s="16">
        <v>2.4857999999999998</v>
      </c>
      <c r="K352" s="10">
        <v>3.6724999999999999</v>
      </c>
      <c r="L352" s="11">
        <v>2376.5</v>
      </c>
      <c r="M352" s="13">
        <v>121.36</v>
      </c>
      <c r="N352" s="10">
        <v>25.474464999999999</v>
      </c>
      <c r="O352" s="10">
        <v>20.399999999999999</v>
      </c>
      <c r="P352" s="10">
        <v>27.54</v>
      </c>
      <c r="Q352" s="11"/>
      <c r="R352" s="16">
        <v>0.61439999999999995</v>
      </c>
      <c r="S352" s="16">
        <v>0.78400300000000001</v>
      </c>
      <c r="T352" s="16">
        <v>28.254999999999999</v>
      </c>
      <c r="U352" s="16">
        <v>45.665306000000001</v>
      </c>
      <c r="V352" s="16">
        <v>58.088999999999999</v>
      </c>
    </row>
    <row r="353" spans="1:22" x14ac:dyDescent="0.3">
      <c r="A353" s="22">
        <v>35462</v>
      </c>
      <c r="B353" s="16">
        <v>35.898850000000003</v>
      </c>
      <c r="C353" s="16">
        <v>8.2954000000000008</v>
      </c>
      <c r="D353" s="21">
        <v>11182.5</v>
      </c>
      <c r="E353" s="16">
        <v>42.45</v>
      </c>
      <c r="F353" s="16">
        <v>7.7344999999999997</v>
      </c>
      <c r="G353" s="23"/>
      <c r="H353" s="16">
        <v>56.73</v>
      </c>
      <c r="I353" s="8">
        <v>1.3995</v>
      </c>
      <c r="J353" s="16">
        <v>2.5255000000000001</v>
      </c>
      <c r="K353" s="10">
        <v>3.6720000000000002</v>
      </c>
      <c r="L353" s="11">
        <v>2362</v>
      </c>
      <c r="M353" s="13">
        <v>115.89</v>
      </c>
      <c r="N353" s="10">
        <v>25.402294000000001</v>
      </c>
      <c r="O353" s="10">
        <v>20.61</v>
      </c>
      <c r="P353" s="10">
        <v>27.48</v>
      </c>
      <c r="Q353" s="11"/>
      <c r="R353" s="16">
        <v>0.63919999999999999</v>
      </c>
      <c r="S353" s="16">
        <v>0.77525200000000005</v>
      </c>
      <c r="T353" s="16">
        <v>28.219000000000001</v>
      </c>
      <c r="U353" s="16">
        <v>46.269317000000001</v>
      </c>
      <c r="V353" s="16">
        <v>55.805</v>
      </c>
    </row>
    <row r="354" spans="1:22" x14ac:dyDescent="0.3">
      <c r="A354" s="22">
        <v>35431</v>
      </c>
      <c r="B354" s="16">
        <v>35.922632</v>
      </c>
      <c r="C354" s="16">
        <v>8.2934000000000001</v>
      </c>
      <c r="D354" s="21">
        <v>11150.5</v>
      </c>
      <c r="E354" s="16">
        <v>42.45</v>
      </c>
      <c r="F354" s="16">
        <v>7.7320000000000002</v>
      </c>
      <c r="G354" s="23"/>
      <c r="H354" s="16">
        <v>56.63</v>
      </c>
      <c r="I354" s="8">
        <v>1.4025000000000001</v>
      </c>
      <c r="J354" s="16">
        <v>2.5270000000000001</v>
      </c>
      <c r="K354" s="10">
        <v>3.6728000000000001</v>
      </c>
      <c r="L354" s="11">
        <v>2345</v>
      </c>
      <c r="M354" s="13">
        <v>113.96</v>
      </c>
      <c r="N354" s="10">
        <v>25.289090999999999</v>
      </c>
      <c r="O354" s="10">
        <v>20.245000000000001</v>
      </c>
      <c r="P354" s="10">
        <v>27.471</v>
      </c>
      <c r="Q354" s="11"/>
      <c r="R354" s="16">
        <v>0.6401</v>
      </c>
      <c r="S354" s="16">
        <v>0.76526300000000003</v>
      </c>
      <c r="T354" s="16">
        <v>28.148</v>
      </c>
      <c r="U354" s="16">
        <v>46.781759000000001</v>
      </c>
      <c r="V354" s="16">
        <v>55.686999999999998</v>
      </c>
    </row>
    <row r="355" spans="1:22" x14ac:dyDescent="0.3">
      <c r="A355" s="22">
        <v>35400</v>
      </c>
      <c r="B355" s="16">
        <v>35.880091</v>
      </c>
      <c r="C355" s="16">
        <v>8.2984000000000009</v>
      </c>
      <c r="D355" s="21">
        <v>11094.5</v>
      </c>
      <c r="E355" s="16">
        <v>42.45</v>
      </c>
      <c r="F355" s="16">
        <v>7.7323000000000004</v>
      </c>
      <c r="G355" s="23"/>
      <c r="H355" s="16">
        <v>57.05</v>
      </c>
      <c r="I355" s="8">
        <v>1.4095</v>
      </c>
      <c r="J355" s="16">
        <v>2.5270000000000001</v>
      </c>
      <c r="K355" s="10">
        <v>3.6724999999999999</v>
      </c>
      <c r="L355" s="11">
        <v>2329.3000000000002</v>
      </c>
      <c r="M355" s="13">
        <v>114.04</v>
      </c>
      <c r="N355" s="10">
        <v>25.352163000000001</v>
      </c>
      <c r="O355" s="10">
        <v>20.05</v>
      </c>
      <c r="P355" s="10">
        <v>27.518000000000001</v>
      </c>
      <c r="Q355" s="11"/>
      <c r="R355" s="16">
        <v>0.64280000000000004</v>
      </c>
      <c r="S355" s="16">
        <v>0.77398500000000003</v>
      </c>
      <c r="T355" s="16">
        <v>27.471</v>
      </c>
      <c r="U355" s="16">
        <v>46.054588000000003</v>
      </c>
      <c r="V355" s="16">
        <v>55.335000000000001</v>
      </c>
    </row>
    <row r="356" spans="1:22" x14ac:dyDescent="0.3">
      <c r="A356" s="22">
        <v>35370</v>
      </c>
      <c r="B356" s="16">
        <v>35.851078000000001</v>
      </c>
      <c r="C356" s="16">
        <v>8.3011999999999997</v>
      </c>
      <c r="D356" s="21">
        <v>11065</v>
      </c>
      <c r="E356" s="16">
        <v>43.649825999999997</v>
      </c>
      <c r="F356" s="16">
        <v>7.7327000000000004</v>
      </c>
      <c r="G356" s="23"/>
      <c r="H356" s="16">
        <v>56.6</v>
      </c>
      <c r="I356" s="8">
        <v>1.4076</v>
      </c>
      <c r="J356" s="16">
        <v>2.5062000000000002</v>
      </c>
      <c r="K356" s="10">
        <v>3.673</v>
      </c>
      <c r="L356" s="11">
        <v>2322.8000000000002</v>
      </c>
      <c r="M356" s="13">
        <v>110.84</v>
      </c>
      <c r="N356" s="10">
        <v>25.353999999999999</v>
      </c>
      <c r="O356" s="10">
        <v>20.015000000000001</v>
      </c>
      <c r="P356" s="10">
        <v>27.52</v>
      </c>
      <c r="Q356" s="11"/>
      <c r="R356" s="16">
        <v>0.64390000000000003</v>
      </c>
      <c r="S356" s="16">
        <v>0.785362</v>
      </c>
      <c r="T356" s="16">
        <v>27.542999999999999</v>
      </c>
      <c r="U356" s="16">
        <v>44.693018000000002</v>
      </c>
      <c r="V356" s="16">
        <v>54.267000000000003</v>
      </c>
    </row>
    <row r="357" spans="1:22" x14ac:dyDescent="0.3">
      <c r="A357" s="22">
        <v>35339</v>
      </c>
      <c r="B357" s="16">
        <v>35.800514999999997</v>
      </c>
      <c r="C357" s="16">
        <v>8.3000000000000007</v>
      </c>
      <c r="D357" s="21">
        <v>11030.5</v>
      </c>
      <c r="E357" s="16">
        <v>43.284039</v>
      </c>
      <c r="F357" s="16">
        <v>7.7324999999999999</v>
      </c>
      <c r="G357" s="23"/>
      <c r="H357" s="16">
        <v>55.6</v>
      </c>
      <c r="I357" s="8">
        <v>1.4065000000000001</v>
      </c>
      <c r="J357" s="16">
        <v>2.4935</v>
      </c>
      <c r="K357" s="10">
        <v>3.6732</v>
      </c>
      <c r="L357" s="11">
        <v>2342</v>
      </c>
      <c r="M357" s="13">
        <v>108.91</v>
      </c>
      <c r="N357" s="10">
        <v>25.290870000000002</v>
      </c>
      <c r="O357" s="10">
        <v>19.55</v>
      </c>
      <c r="P357" s="10">
        <v>27.677</v>
      </c>
      <c r="Q357" s="11"/>
      <c r="R357" s="16">
        <v>0.64510000000000001</v>
      </c>
      <c r="S357" s="16">
        <v>0.788358</v>
      </c>
      <c r="T357" s="16">
        <v>27.913</v>
      </c>
      <c r="U357" s="16">
        <v>44.440860000000001</v>
      </c>
      <c r="V357" s="16">
        <v>54.209000000000003</v>
      </c>
    </row>
    <row r="358" spans="1:22" x14ac:dyDescent="0.3">
      <c r="A358" s="22">
        <v>35309</v>
      </c>
      <c r="B358" s="16">
        <v>35.868250000000003</v>
      </c>
      <c r="C358" s="16">
        <v>8.3017000000000003</v>
      </c>
      <c r="D358" s="21">
        <v>11019.5</v>
      </c>
      <c r="E358" s="16">
        <v>42.806511999999998</v>
      </c>
      <c r="F358" s="16">
        <v>7.7335000000000003</v>
      </c>
      <c r="G358" s="23"/>
      <c r="H358" s="16">
        <v>55.12</v>
      </c>
      <c r="I358" s="8">
        <v>1.4131</v>
      </c>
      <c r="J358" s="16">
        <v>2.4952000000000001</v>
      </c>
      <c r="K358" s="10">
        <v>3.6728000000000001</v>
      </c>
      <c r="L358" s="11">
        <v>2352.5</v>
      </c>
      <c r="M358" s="13">
        <v>106.84</v>
      </c>
      <c r="N358" s="10">
        <v>25.29</v>
      </c>
      <c r="O358" s="10">
        <v>19.414999999999999</v>
      </c>
      <c r="P358" s="10">
        <v>27.173999999999999</v>
      </c>
      <c r="Q358" s="11"/>
      <c r="R358" s="16">
        <v>0.6653</v>
      </c>
      <c r="S358" s="16">
        <v>0.77536700000000003</v>
      </c>
      <c r="T358" s="16">
        <v>27.279</v>
      </c>
      <c r="U358" s="16">
        <v>44.265253999999999</v>
      </c>
      <c r="V358" s="16">
        <v>52.198</v>
      </c>
    </row>
    <row r="359" spans="1:22" x14ac:dyDescent="0.3">
      <c r="A359" s="22">
        <v>35278</v>
      </c>
      <c r="B359" s="16">
        <v>35.799999999999997</v>
      </c>
      <c r="C359" s="16">
        <v>8.3063000000000002</v>
      </c>
      <c r="D359" s="21">
        <v>11020</v>
      </c>
      <c r="E359" s="16">
        <v>43.233561999999999</v>
      </c>
      <c r="F359" s="16">
        <v>7.7409999999999997</v>
      </c>
      <c r="G359" s="23"/>
      <c r="H359" s="16">
        <v>55.505000000000003</v>
      </c>
      <c r="I359" s="8">
        <v>1.4115</v>
      </c>
      <c r="J359" s="16">
        <v>2.4950000000000001</v>
      </c>
      <c r="K359" s="10">
        <v>3.6726999999999999</v>
      </c>
      <c r="L359" s="11">
        <v>2326.5</v>
      </c>
      <c r="M359" s="13">
        <v>109.74</v>
      </c>
      <c r="N359" s="10">
        <v>25.250475999999999</v>
      </c>
      <c r="O359" s="10">
        <v>18.934999999999999</v>
      </c>
      <c r="P359" s="10">
        <v>27.27</v>
      </c>
      <c r="Q359" s="11"/>
      <c r="R359" s="16">
        <v>0.6552</v>
      </c>
      <c r="S359" s="16">
        <v>0.76519499999999996</v>
      </c>
      <c r="T359" s="16">
        <v>26.677</v>
      </c>
      <c r="U359" s="16">
        <v>45.067785999999998</v>
      </c>
      <c r="V359" s="16">
        <v>52.054000000000002</v>
      </c>
    </row>
    <row r="360" spans="1:22" x14ac:dyDescent="0.3">
      <c r="A360" s="22">
        <v>35247</v>
      </c>
      <c r="B360" s="16">
        <v>35.636952000000001</v>
      </c>
      <c r="C360" s="16">
        <v>8.3107000000000006</v>
      </c>
      <c r="D360" s="21">
        <v>11014</v>
      </c>
      <c r="E360" s="16">
        <v>43.840200000000003</v>
      </c>
      <c r="F360" s="16">
        <v>7.7366999999999999</v>
      </c>
      <c r="G360" s="23"/>
      <c r="H360" s="16">
        <v>54.95</v>
      </c>
      <c r="I360" s="8">
        <v>1.4079999999999999</v>
      </c>
      <c r="J360" s="16">
        <v>2.496</v>
      </c>
      <c r="K360" s="10">
        <v>3.6726999999999999</v>
      </c>
      <c r="L360" s="11">
        <v>2332.5</v>
      </c>
      <c r="M360" s="13">
        <v>108.11</v>
      </c>
      <c r="N360" s="10">
        <v>25.234650999999999</v>
      </c>
      <c r="O360" s="10">
        <v>18.684999999999999</v>
      </c>
      <c r="P360" s="10">
        <v>27.498000000000001</v>
      </c>
      <c r="Q360" s="11"/>
      <c r="R360" s="16">
        <v>0.65310000000000001</v>
      </c>
      <c r="S360" s="16">
        <v>0.76090000000000002</v>
      </c>
      <c r="T360" s="16">
        <v>26.507999999999999</v>
      </c>
      <c r="U360" s="16">
        <v>48.062868999999999</v>
      </c>
      <c r="V360" s="16">
        <v>53.125999999999998</v>
      </c>
    </row>
    <row r="361" spans="1:22" x14ac:dyDescent="0.3">
      <c r="A361" s="22">
        <v>35217</v>
      </c>
      <c r="B361" s="16">
        <v>35.099499999999999</v>
      </c>
      <c r="C361" s="16">
        <v>8.3221000000000007</v>
      </c>
      <c r="D361" s="21">
        <v>11011.5</v>
      </c>
      <c r="E361" s="16">
        <v>44.067968999999998</v>
      </c>
      <c r="F361" s="16">
        <v>7.7356999999999996</v>
      </c>
      <c r="G361" s="23"/>
      <c r="H361" s="16">
        <v>54.734999999999999</v>
      </c>
      <c r="I361" s="8">
        <v>1.4059999999999999</v>
      </c>
      <c r="J361" s="16">
        <v>2.4935</v>
      </c>
      <c r="K361" s="10">
        <v>3.6728999999999998</v>
      </c>
      <c r="L361" s="11">
        <v>2328.5</v>
      </c>
      <c r="M361" s="13">
        <v>105.17</v>
      </c>
      <c r="N361" s="10">
        <v>25.292622999999999</v>
      </c>
      <c r="O361" s="10">
        <v>18.765000000000001</v>
      </c>
      <c r="P361" s="10">
        <v>27.47</v>
      </c>
      <c r="Q361" s="11"/>
      <c r="R361" s="16">
        <v>0.66149999999999998</v>
      </c>
      <c r="S361" s="16">
        <v>0.75802899999999995</v>
      </c>
      <c r="T361" s="16">
        <v>27.193999999999999</v>
      </c>
      <c r="U361" s="16">
        <v>47.209175999999999</v>
      </c>
      <c r="V361" s="16">
        <v>55.149000000000001</v>
      </c>
    </row>
    <row r="362" spans="1:22" x14ac:dyDescent="0.3">
      <c r="A362" s="22">
        <v>35186</v>
      </c>
      <c r="B362" s="16">
        <v>35.034782999999997</v>
      </c>
      <c r="C362" s="16">
        <v>8.3254999999999999</v>
      </c>
      <c r="D362" s="21">
        <v>11013</v>
      </c>
      <c r="E362" s="16">
        <v>43.410007</v>
      </c>
      <c r="F362" s="16">
        <v>7.7347000000000001</v>
      </c>
      <c r="G362" s="23"/>
      <c r="H362" s="16">
        <v>53.685000000000002</v>
      </c>
      <c r="I362" s="8">
        <v>1.409</v>
      </c>
      <c r="J362" s="16">
        <v>2.5339999999999998</v>
      </c>
      <c r="K362" s="10">
        <v>3.6728000000000001</v>
      </c>
      <c r="L362" s="11">
        <v>2338</v>
      </c>
      <c r="M362" s="13">
        <v>107.34</v>
      </c>
      <c r="N362" s="10">
        <v>25.164762</v>
      </c>
      <c r="O362" s="10">
        <v>18.204999999999998</v>
      </c>
      <c r="P362" s="10">
        <v>27.286999999999999</v>
      </c>
      <c r="Q362" s="11"/>
      <c r="R362" s="16">
        <v>0.64500000000000002</v>
      </c>
      <c r="S362" s="16">
        <v>0.75092400000000004</v>
      </c>
      <c r="T362" s="16">
        <v>26.119</v>
      </c>
      <c r="U362" s="16">
        <v>46.566862</v>
      </c>
      <c r="V362" s="16">
        <v>54.531999999999996</v>
      </c>
    </row>
    <row r="363" spans="1:22" x14ac:dyDescent="0.3">
      <c r="A363" s="22">
        <v>35156</v>
      </c>
      <c r="B363" s="16">
        <v>34.319544999999998</v>
      </c>
      <c r="C363" s="16">
        <v>8.3300999999999998</v>
      </c>
      <c r="D363" s="21">
        <v>11013</v>
      </c>
      <c r="E363" s="16">
        <v>42.867637000000002</v>
      </c>
      <c r="F363" s="16">
        <v>7.7314999999999996</v>
      </c>
      <c r="G363" s="23"/>
      <c r="H363" s="16">
        <v>53.685000000000002</v>
      </c>
      <c r="I363" s="8">
        <v>1.4123000000000001</v>
      </c>
      <c r="J363" s="16">
        <v>2.548</v>
      </c>
      <c r="K363" s="10">
        <v>3.673</v>
      </c>
      <c r="L363" s="11">
        <v>2316.5</v>
      </c>
      <c r="M363" s="13">
        <v>105.16</v>
      </c>
      <c r="N363" s="10">
        <v>25.165467</v>
      </c>
      <c r="O363" s="10">
        <v>18.190000000000001</v>
      </c>
      <c r="P363" s="10">
        <v>27.312000000000001</v>
      </c>
      <c r="Q363" s="11"/>
      <c r="R363" s="16">
        <v>0.65400000000000003</v>
      </c>
      <c r="S363" s="16">
        <v>0.73992800000000003</v>
      </c>
      <c r="T363" s="16">
        <v>25.95</v>
      </c>
      <c r="U363" s="16">
        <v>46.921104999999997</v>
      </c>
      <c r="V363" s="16">
        <v>53.454000000000001</v>
      </c>
    </row>
    <row r="364" spans="1:22" x14ac:dyDescent="0.3">
      <c r="A364" s="22">
        <v>35125</v>
      </c>
      <c r="B364" s="16">
        <v>34.485238000000003</v>
      </c>
      <c r="C364" s="16">
        <v>8.3338000000000001</v>
      </c>
      <c r="D364" s="21">
        <v>11012.5</v>
      </c>
      <c r="E364" s="16">
        <v>42.627983999999998</v>
      </c>
      <c r="F364" s="16">
        <v>7.7324999999999999</v>
      </c>
      <c r="G364" s="23"/>
      <c r="H364" s="16">
        <v>53.685000000000002</v>
      </c>
      <c r="I364" s="8">
        <v>1.4198</v>
      </c>
      <c r="J364" s="16">
        <v>2.5608</v>
      </c>
      <c r="K364" s="10">
        <v>3.673</v>
      </c>
      <c r="L364" s="11">
        <v>2292</v>
      </c>
      <c r="M364" s="13">
        <v>106.94</v>
      </c>
      <c r="N364" s="10">
        <v>25.114032999999999</v>
      </c>
      <c r="O364" s="10">
        <v>17.925000000000001</v>
      </c>
      <c r="P364" s="10">
        <v>26.986999999999998</v>
      </c>
      <c r="Q364" s="11"/>
      <c r="R364" s="16">
        <v>0.63260000000000005</v>
      </c>
      <c r="S364" s="16">
        <v>0.74173500000000003</v>
      </c>
      <c r="T364" s="16">
        <v>26.010999999999999</v>
      </c>
      <c r="U364" s="16">
        <v>46.683886000000001</v>
      </c>
      <c r="V364" s="16">
        <v>54.052999999999997</v>
      </c>
    </row>
    <row r="365" spans="1:22" x14ac:dyDescent="0.3">
      <c r="A365" s="22">
        <v>35096</v>
      </c>
      <c r="B365" s="16">
        <v>36.571534</v>
      </c>
      <c r="C365" s="16">
        <v>8.3210999999999995</v>
      </c>
      <c r="D365" s="21">
        <v>11012.5</v>
      </c>
      <c r="E365" s="16">
        <v>42.494788999999997</v>
      </c>
      <c r="F365" s="16">
        <v>7.7324999999999999</v>
      </c>
      <c r="G365" s="23"/>
      <c r="H365" s="16">
        <v>54.05</v>
      </c>
      <c r="I365" s="8">
        <v>1.4142999999999999</v>
      </c>
      <c r="J365" s="16">
        <v>2.5390000000000001</v>
      </c>
      <c r="K365" s="10">
        <v>3.6728000000000001</v>
      </c>
      <c r="L365" s="11">
        <v>2286.5</v>
      </c>
      <c r="M365" s="13">
        <v>103.53</v>
      </c>
      <c r="N365" s="10">
        <v>25.119273</v>
      </c>
      <c r="O365" s="10">
        <v>17.824999999999999</v>
      </c>
      <c r="P365" s="10">
        <v>27.062000000000001</v>
      </c>
      <c r="Q365" s="11"/>
      <c r="R365" s="16">
        <v>0.63190000000000002</v>
      </c>
      <c r="S365" s="16">
        <v>0.76211399999999996</v>
      </c>
      <c r="T365" s="16">
        <v>25.625</v>
      </c>
      <c r="U365" s="16">
        <v>43.626891000000001</v>
      </c>
      <c r="V365" s="16">
        <v>53.720999999999997</v>
      </c>
    </row>
    <row r="366" spans="1:22" x14ac:dyDescent="0.3">
      <c r="A366" s="22">
        <v>35065</v>
      </c>
      <c r="B366" s="16">
        <v>35.782229999999998</v>
      </c>
      <c r="C366" s="16">
        <v>8.3138000000000005</v>
      </c>
      <c r="D366" s="21">
        <v>11011</v>
      </c>
      <c r="E366" s="16">
        <v>37.985072000000002</v>
      </c>
      <c r="F366" s="16">
        <v>7.7347999999999999</v>
      </c>
      <c r="G366" s="23"/>
      <c r="H366" s="16">
        <v>53.25</v>
      </c>
      <c r="I366" s="8">
        <v>1.4112</v>
      </c>
      <c r="J366" s="16">
        <v>2.5373000000000001</v>
      </c>
      <c r="K366" s="10">
        <v>3.6726000000000001</v>
      </c>
      <c r="L366" s="11">
        <v>2283.5</v>
      </c>
      <c r="M366" s="13">
        <v>102.04</v>
      </c>
      <c r="N366" s="10">
        <v>24.960435</v>
      </c>
      <c r="O366" s="10">
        <v>18.204999999999998</v>
      </c>
      <c r="P366" s="10">
        <v>27.498000000000001</v>
      </c>
      <c r="Q366" s="11"/>
      <c r="R366" s="16">
        <v>0.64559999999999995</v>
      </c>
      <c r="S366" s="16">
        <v>0.75283999999999995</v>
      </c>
      <c r="T366" s="16">
        <v>23.925000000000001</v>
      </c>
      <c r="U366" s="16">
        <v>41.982900000000001</v>
      </c>
      <c r="V366" s="16">
        <v>49.37</v>
      </c>
    </row>
    <row r="367" spans="1:22" x14ac:dyDescent="0.3">
      <c r="A367" s="22">
        <v>35034</v>
      </c>
      <c r="B367" s="16">
        <v>34.967381000000003</v>
      </c>
      <c r="C367" s="16">
        <v>8.3173999999999992</v>
      </c>
      <c r="D367" s="21">
        <v>11010</v>
      </c>
      <c r="E367" s="16">
        <v>37.426640999999996</v>
      </c>
      <c r="F367" s="16">
        <v>7.7313000000000001</v>
      </c>
      <c r="G367" s="23"/>
      <c r="H367" s="16">
        <v>52.585000000000001</v>
      </c>
      <c r="I367" s="8">
        <v>1.4139999999999999</v>
      </c>
      <c r="J367" s="16">
        <v>2.5411999999999999</v>
      </c>
      <c r="K367" s="10">
        <v>3.673</v>
      </c>
      <c r="L367" s="11">
        <v>2271</v>
      </c>
      <c r="M367" s="13">
        <v>101.92</v>
      </c>
      <c r="N367" s="10">
        <v>24.749862</v>
      </c>
      <c r="O367" s="10">
        <v>17.545000000000002</v>
      </c>
      <c r="P367" s="10">
        <v>26.469000000000001</v>
      </c>
      <c r="Q367" s="11"/>
      <c r="R367" s="16">
        <v>0.62460000000000004</v>
      </c>
      <c r="S367" s="16">
        <v>0.72877800000000004</v>
      </c>
      <c r="T367" s="16">
        <v>23.201000000000001</v>
      </c>
      <c r="U367" s="16">
        <v>43.066544999999998</v>
      </c>
      <c r="V367" s="16">
        <v>50.186</v>
      </c>
    </row>
    <row r="368" spans="1:22" x14ac:dyDescent="0.3">
      <c r="A368" s="22">
        <v>35004</v>
      </c>
      <c r="B368" s="16">
        <v>34.717362999999999</v>
      </c>
      <c r="C368" s="16">
        <v>8.3116000000000003</v>
      </c>
      <c r="D368" s="21">
        <v>11006</v>
      </c>
      <c r="E368" s="16">
        <v>37.473666999999999</v>
      </c>
      <c r="F368" s="16">
        <v>7.7320000000000002</v>
      </c>
      <c r="G368" s="23"/>
      <c r="H368" s="16">
        <v>52.54</v>
      </c>
      <c r="I368" s="8">
        <v>1.4242999999999999</v>
      </c>
      <c r="J368" s="16">
        <v>2.5150000000000001</v>
      </c>
      <c r="K368" s="10">
        <v>3.6726999999999999</v>
      </c>
      <c r="L368" s="11">
        <v>2265.5</v>
      </c>
      <c r="M368" s="13">
        <v>99.74</v>
      </c>
      <c r="N368" s="10">
        <v>24.671817999999998</v>
      </c>
      <c r="O368" s="10">
        <v>17.434999999999999</v>
      </c>
      <c r="P368" s="10">
        <v>25.827999999999999</v>
      </c>
      <c r="Q368" s="11"/>
      <c r="R368" s="16">
        <v>0.62860000000000005</v>
      </c>
      <c r="S368" s="16">
        <v>0.73715699999999995</v>
      </c>
      <c r="T368" s="16">
        <v>22.276</v>
      </c>
      <c r="U368" s="16">
        <v>42.603659999999998</v>
      </c>
      <c r="V368" s="16">
        <v>50.082999999999998</v>
      </c>
    </row>
    <row r="369" spans="1:22" x14ac:dyDescent="0.3">
      <c r="A369" s="22">
        <v>34973</v>
      </c>
      <c r="B369" s="16">
        <v>34.619968999999998</v>
      </c>
      <c r="C369" s="16">
        <v>8.3148999999999997</v>
      </c>
      <c r="D369" s="21">
        <v>11022.5</v>
      </c>
      <c r="E369" s="16">
        <v>38.449466999999999</v>
      </c>
      <c r="F369" s="16">
        <v>7.7409999999999997</v>
      </c>
      <c r="G369" s="23"/>
      <c r="H369" s="16">
        <v>51.65</v>
      </c>
      <c r="I369" s="8">
        <v>1.4205000000000001</v>
      </c>
      <c r="J369" s="16">
        <v>2.4935</v>
      </c>
      <c r="K369" s="10">
        <v>3.673</v>
      </c>
      <c r="L369" s="11">
        <v>2266.5</v>
      </c>
      <c r="M369" s="13">
        <v>97.47</v>
      </c>
      <c r="N369" s="10">
        <v>24.663800999999999</v>
      </c>
      <c r="O369" s="10">
        <v>17.395</v>
      </c>
      <c r="P369" s="10">
        <v>25.576000000000001</v>
      </c>
      <c r="Q369" s="11"/>
      <c r="R369" s="16">
        <v>0.629</v>
      </c>
      <c r="S369" s="16">
        <v>0.74333300000000002</v>
      </c>
      <c r="T369" s="16">
        <v>22.568000000000001</v>
      </c>
      <c r="U369" s="16">
        <v>42.287891000000002</v>
      </c>
      <c r="V369" s="16">
        <v>49.868000000000002</v>
      </c>
    </row>
    <row r="370" spans="1:22" x14ac:dyDescent="0.3">
      <c r="A370" s="22">
        <v>34943</v>
      </c>
      <c r="B370" s="16">
        <v>33.236511</v>
      </c>
      <c r="C370" s="16">
        <v>8.3185000000000002</v>
      </c>
      <c r="D370" s="21">
        <v>11030.5</v>
      </c>
      <c r="E370" s="16">
        <v>38.001246000000002</v>
      </c>
      <c r="F370" s="16">
        <v>7.7382</v>
      </c>
      <c r="G370" s="23"/>
      <c r="H370" s="16">
        <v>50.59</v>
      </c>
      <c r="I370" s="8">
        <v>1.3939999999999999</v>
      </c>
      <c r="J370" s="16">
        <v>2.4577</v>
      </c>
      <c r="K370" s="10">
        <v>3.673</v>
      </c>
      <c r="L370" s="11">
        <v>2235</v>
      </c>
      <c r="M370" s="13">
        <v>88.48</v>
      </c>
      <c r="N370" s="10">
        <v>24.57225</v>
      </c>
      <c r="O370" s="10"/>
      <c r="P370" s="10">
        <v>25.401</v>
      </c>
      <c r="Q370" s="11"/>
      <c r="R370" s="16">
        <v>0.62119999999999997</v>
      </c>
      <c r="S370" s="16">
        <v>0.73218300000000003</v>
      </c>
      <c r="T370" s="16">
        <v>22.875</v>
      </c>
      <c r="U370" s="16">
        <v>42.898097</v>
      </c>
      <c r="V370" s="16">
        <v>50.685000000000002</v>
      </c>
    </row>
    <row r="371" spans="1:22" x14ac:dyDescent="0.3">
      <c r="A371" s="22">
        <v>34912</v>
      </c>
      <c r="B371" s="16">
        <v>31.592348000000001</v>
      </c>
      <c r="C371" s="16">
        <v>8.3198000000000008</v>
      </c>
      <c r="D371" s="21">
        <v>11039</v>
      </c>
      <c r="E371" s="16">
        <v>36.841586</v>
      </c>
      <c r="F371" s="16">
        <v>7.7377000000000002</v>
      </c>
      <c r="G371" s="23"/>
      <c r="H371" s="16">
        <v>50.344999999999999</v>
      </c>
      <c r="I371" s="8">
        <v>1.397</v>
      </c>
      <c r="J371" s="16">
        <v>2.4380000000000002</v>
      </c>
      <c r="K371" s="10">
        <v>3.6728000000000001</v>
      </c>
      <c r="L371" s="11">
        <v>2227</v>
      </c>
      <c r="M371" s="13">
        <v>84.64</v>
      </c>
      <c r="N371" s="10">
        <v>24.760435000000001</v>
      </c>
      <c r="O371" s="10"/>
      <c r="P371" s="10">
        <v>25.997</v>
      </c>
      <c r="Q371" s="11"/>
      <c r="R371" s="16">
        <v>0.61429999999999996</v>
      </c>
      <c r="S371" s="16">
        <v>0.74619599999999997</v>
      </c>
      <c r="T371" s="16">
        <v>23.065999999999999</v>
      </c>
      <c r="U371" s="16">
        <v>42.337739999999997</v>
      </c>
      <c r="V371" s="16">
        <v>50.954999999999998</v>
      </c>
    </row>
    <row r="372" spans="1:22" x14ac:dyDescent="0.3">
      <c r="A372" s="22">
        <v>34881</v>
      </c>
      <c r="B372" s="16">
        <v>31.385041000000001</v>
      </c>
      <c r="C372" s="16">
        <v>8.3003</v>
      </c>
      <c r="D372" s="21">
        <v>11046</v>
      </c>
      <c r="E372" s="16">
        <v>37.222710999999997</v>
      </c>
      <c r="F372" s="16">
        <v>7.7355</v>
      </c>
      <c r="G372" s="23"/>
      <c r="H372" s="16">
        <v>49.604999999999997</v>
      </c>
      <c r="I372" s="8">
        <v>1.3919999999999999</v>
      </c>
      <c r="J372" s="16">
        <v>2.4660000000000002</v>
      </c>
      <c r="K372" s="10">
        <v>3.6728999999999998</v>
      </c>
      <c r="L372" s="11">
        <v>2226.5</v>
      </c>
      <c r="M372" s="13">
        <v>84.56</v>
      </c>
      <c r="N372" s="10">
        <v>25.010339999999999</v>
      </c>
      <c r="O372" s="10"/>
      <c r="P372" s="10">
        <v>26.346</v>
      </c>
      <c r="Q372" s="11"/>
      <c r="R372" s="16">
        <v>0.63260000000000005</v>
      </c>
      <c r="S372" s="16">
        <v>0.78322099999999995</v>
      </c>
      <c r="T372" s="16">
        <v>23.225999999999999</v>
      </c>
      <c r="U372" s="16">
        <v>40.059230999999997</v>
      </c>
      <c r="V372" s="16">
        <v>49.747999999999998</v>
      </c>
    </row>
    <row r="373" spans="1:22" x14ac:dyDescent="0.3">
      <c r="A373" s="22">
        <v>34851</v>
      </c>
      <c r="B373" s="16">
        <v>31.403682</v>
      </c>
      <c r="C373" s="16">
        <v>8.3010999999999999</v>
      </c>
      <c r="D373" s="21">
        <v>11051</v>
      </c>
      <c r="E373" s="16">
        <v>37.520271000000001</v>
      </c>
      <c r="F373" s="16">
        <v>7.742</v>
      </c>
      <c r="G373" s="23"/>
      <c r="H373" s="16">
        <v>49.36</v>
      </c>
      <c r="I373" s="8">
        <v>1.3939999999999999</v>
      </c>
      <c r="J373" s="16">
        <v>2.4689999999999999</v>
      </c>
      <c r="K373" s="10">
        <v>3.673</v>
      </c>
      <c r="L373" s="11">
        <v>2233</v>
      </c>
      <c r="M373" s="13">
        <v>84.29</v>
      </c>
      <c r="N373" s="10">
        <v>25.142491</v>
      </c>
      <c r="O373" s="10"/>
      <c r="P373" s="10">
        <v>26.29</v>
      </c>
      <c r="Q373" s="11"/>
      <c r="R373" s="16">
        <v>0.63009999999999999</v>
      </c>
      <c r="S373" s="16">
        <v>0.79586299999999999</v>
      </c>
      <c r="T373" s="16">
        <v>23.736000000000001</v>
      </c>
      <c r="U373" s="16">
        <v>39.433017999999997</v>
      </c>
      <c r="V373" s="16">
        <v>49.540999999999997</v>
      </c>
    </row>
    <row r="374" spans="1:22" x14ac:dyDescent="0.3">
      <c r="A374" s="22">
        <v>34820</v>
      </c>
      <c r="B374" s="16">
        <v>31.420846999999998</v>
      </c>
      <c r="C374" s="16">
        <v>8.3055000000000003</v>
      </c>
      <c r="D374" s="21">
        <v>10131.146500000001</v>
      </c>
      <c r="E374" s="16">
        <v>36.968319000000001</v>
      </c>
      <c r="F374" s="16">
        <v>7.7324999999999999</v>
      </c>
      <c r="G374" s="23"/>
      <c r="H374" s="16">
        <v>49.45</v>
      </c>
      <c r="I374" s="8">
        <v>1.411</v>
      </c>
      <c r="J374" s="16">
        <v>2.5289999999999999</v>
      </c>
      <c r="K374" s="10">
        <v>3.6726999999999999</v>
      </c>
      <c r="L374" s="11">
        <v>2238</v>
      </c>
      <c r="M374" s="13">
        <v>86.59</v>
      </c>
      <c r="N374" s="10">
        <v>25.110181999999998</v>
      </c>
      <c r="O374" s="10"/>
      <c r="P374" s="10">
        <v>26.288</v>
      </c>
      <c r="Q374" s="11"/>
      <c r="R374" s="16">
        <v>0.63919999999999999</v>
      </c>
      <c r="S374" s="16">
        <v>0.81326500000000002</v>
      </c>
      <c r="T374" s="16">
        <v>24.318999999999999</v>
      </c>
      <c r="U374" s="16">
        <v>38.597608000000001</v>
      </c>
      <c r="V374" s="16">
        <v>49.139000000000003</v>
      </c>
    </row>
    <row r="375" spans="1:22" x14ac:dyDescent="0.3">
      <c r="A375" s="22">
        <v>34790</v>
      </c>
      <c r="B375" s="16">
        <v>31.407250000000001</v>
      </c>
      <c r="C375" s="16">
        <v>8.4074000000000009</v>
      </c>
      <c r="D375" s="21">
        <v>10310.412651000001</v>
      </c>
      <c r="E375" s="16">
        <v>37.622456999999997</v>
      </c>
      <c r="F375" s="16">
        <v>7.7314999999999996</v>
      </c>
      <c r="G375" s="23"/>
      <c r="H375" s="16">
        <v>49.88</v>
      </c>
      <c r="I375" s="8">
        <v>1.4495</v>
      </c>
      <c r="J375" s="16">
        <v>2.5531999999999999</v>
      </c>
      <c r="K375" s="10">
        <v>3.6726000000000001</v>
      </c>
      <c r="L375" s="11">
        <v>2216.5</v>
      </c>
      <c r="M375" s="13">
        <v>96.68</v>
      </c>
      <c r="N375" s="10">
        <v>25.001231000000001</v>
      </c>
      <c r="O375" s="10"/>
      <c r="P375" s="10">
        <v>26.268000000000001</v>
      </c>
      <c r="Q375" s="11"/>
      <c r="R375" s="16">
        <v>0.63890000000000002</v>
      </c>
      <c r="S375" s="16">
        <v>0.79477100000000001</v>
      </c>
      <c r="T375" s="16">
        <v>24.135000000000002</v>
      </c>
      <c r="U375" s="16">
        <v>39.525089999999999</v>
      </c>
      <c r="V375" s="16">
        <v>49.142000000000003</v>
      </c>
    </row>
    <row r="376" spans="1:22" x14ac:dyDescent="0.3">
      <c r="A376" s="22">
        <v>34759</v>
      </c>
      <c r="B376" s="16">
        <v>31.586542999999999</v>
      </c>
      <c r="C376" s="16">
        <v>8.4263999999999992</v>
      </c>
      <c r="D376" s="21">
        <v>10788.775444999999</v>
      </c>
      <c r="E376" s="16">
        <v>39.367991000000004</v>
      </c>
      <c r="F376" s="16">
        <v>7.7335000000000003</v>
      </c>
      <c r="G376" s="23"/>
      <c r="H376" s="16">
        <v>49.96</v>
      </c>
      <c r="I376" s="8">
        <v>1.4542999999999999</v>
      </c>
      <c r="J376" s="16">
        <v>2.5565000000000002</v>
      </c>
      <c r="K376" s="10">
        <v>3.673</v>
      </c>
      <c r="L376" s="11">
        <v>2217</v>
      </c>
      <c r="M376" s="13">
        <v>99.59</v>
      </c>
      <c r="N376" s="10">
        <v>25.009432</v>
      </c>
      <c r="O376" s="10"/>
      <c r="P376" s="10">
        <v>26.047000000000001</v>
      </c>
      <c r="Q376" s="11"/>
      <c r="R376" s="16">
        <v>0.61329999999999996</v>
      </c>
      <c r="S376" s="16">
        <v>0.78365700000000005</v>
      </c>
      <c r="T376" s="16">
        <v>23.302</v>
      </c>
      <c r="U376" s="16">
        <v>40.052598000000003</v>
      </c>
      <c r="V376" s="16">
        <v>51.332999999999998</v>
      </c>
    </row>
    <row r="377" spans="1:22" x14ac:dyDescent="0.3">
      <c r="A377" s="22">
        <v>34731</v>
      </c>
      <c r="B377" s="16">
        <v>31.369385000000001</v>
      </c>
      <c r="C377" s="16">
        <v>8.4311000000000007</v>
      </c>
      <c r="D377" s="21">
        <v>10943.489377</v>
      </c>
      <c r="E377" s="16">
        <v>39.932538999999998</v>
      </c>
      <c r="F377" s="16">
        <v>7.7380000000000004</v>
      </c>
      <c r="G377" s="23"/>
      <c r="H377" s="16">
        <v>49.62</v>
      </c>
      <c r="I377" s="8">
        <v>1.458</v>
      </c>
      <c r="J377" s="16">
        <v>2.5535000000000001</v>
      </c>
      <c r="K377" s="10">
        <v>3.673</v>
      </c>
      <c r="L377" s="11">
        <v>2198</v>
      </c>
      <c r="M377" s="13">
        <v>99.76</v>
      </c>
      <c r="N377" s="10">
        <v>24.958155999999999</v>
      </c>
      <c r="O377" s="10"/>
      <c r="P377" s="10">
        <v>26.15</v>
      </c>
      <c r="Q377" s="11"/>
      <c r="R377" s="16">
        <v>0.63400000000000001</v>
      </c>
      <c r="S377" s="16">
        <v>0.79916699999999996</v>
      </c>
      <c r="T377" s="16">
        <v>23.206</v>
      </c>
      <c r="U377" s="16">
        <v>39.235934999999998</v>
      </c>
      <c r="V377" s="16">
        <v>49.49</v>
      </c>
    </row>
    <row r="378" spans="1:22" x14ac:dyDescent="0.3">
      <c r="A378" s="22">
        <v>34700</v>
      </c>
      <c r="B378" s="16">
        <v>31.380106999999999</v>
      </c>
      <c r="C378" s="16">
        <v>8.4383999999999997</v>
      </c>
      <c r="D378" s="21">
        <v>10064.203858999999</v>
      </c>
      <c r="E378" s="16">
        <v>36.906022</v>
      </c>
      <c r="F378" s="16">
        <v>7.7335000000000003</v>
      </c>
      <c r="G378" s="23"/>
      <c r="H378" s="16">
        <v>49.43</v>
      </c>
      <c r="I378" s="8">
        <v>1.4644999999999999</v>
      </c>
      <c r="J378" s="16">
        <v>2.5556999999999999</v>
      </c>
      <c r="K378" s="10">
        <v>3.673</v>
      </c>
      <c r="L378" s="11">
        <v>2178.6</v>
      </c>
      <c r="M378" s="13">
        <v>98.9</v>
      </c>
      <c r="N378" s="10">
        <v>25.021304000000001</v>
      </c>
      <c r="O378" s="10"/>
      <c r="P378" s="10">
        <v>26.193999999999999</v>
      </c>
      <c r="Q378" s="11"/>
      <c r="R378" s="16">
        <v>0.65039999999999998</v>
      </c>
      <c r="S378" s="16">
        <v>0.80685799999999996</v>
      </c>
      <c r="T378" s="16">
        <v>23.3</v>
      </c>
      <c r="U378" s="16">
        <v>38.886698000000003</v>
      </c>
      <c r="V378" s="16">
        <v>48.151000000000003</v>
      </c>
    </row>
    <row r="379" spans="1:22" x14ac:dyDescent="0.3">
      <c r="A379" s="22">
        <v>34669</v>
      </c>
      <c r="B379" s="16">
        <v>31.389544999999998</v>
      </c>
      <c r="C379" s="16">
        <v>8.4461999999999993</v>
      </c>
      <c r="D379" s="21">
        <v>9838.855039</v>
      </c>
      <c r="E379" s="16">
        <v>36.079655000000002</v>
      </c>
      <c r="F379" s="16">
        <v>7.7270000000000003</v>
      </c>
      <c r="G379" s="23"/>
      <c r="H379" s="16">
        <v>48.94</v>
      </c>
      <c r="I379" s="8">
        <v>1.468</v>
      </c>
      <c r="J379" s="16">
        <v>2.5562</v>
      </c>
      <c r="K379" s="10">
        <v>3.6726999999999999</v>
      </c>
      <c r="L379" s="11">
        <v>2171.1</v>
      </c>
      <c r="M379" s="13">
        <v>96.97</v>
      </c>
      <c r="N379" s="10">
        <v>24.977058</v>
      </c>
      <c r="O379" s="10"/>
      <c r="P379" s="10">
        <v>26.582999999999998</v>
      </c>
      <c r="Q379" s="11"/>
      <c r="R379" s="16">
        <v>0.65069999999999995</v>
      </c>
      <c r="S379" s="16">
        <v>0.80804600000000004</v>
      </c>
      <c r="T379" s="16">
        <v>23.209</v>
      </c>
      <c r="U379" s="16">
        <v>38.831814000000001</v>
      </c>
      <c r="V379" s="16">
        <v>48.435000000000002</v>
      </c>
    </row>
    <row r="380" spans="1:22" x14ac:dyDescent="0.3">
      <c r="A380" s="22">
        <v>34639</v>
      </c>
      <c r="B380" s="16">
        <v>31.406704000000001</v>
      </c>
      <c r="C380" s="16">
        <v>8.5090000000000003</v>
      </c>
      <c r="D380" s="21">
        <v>9704.6528510000007</v>
      </c>
      <c r="E380" s="16">
        <v>35.587527999999999</v>
      </c>
      <c r="F380" s="16">
        <v>7.7270000000000003</v>
      </c>
      <c r="G380" s="23"/>
      <c r="H380" s="16">
        <v>49.28</v>
      </c>
      <c r="I380" s="8">
        <v>1.4832000000000001</v>
      </c>
      <c r="J380" s="16">
        <v>2.5634999999999999</v>
      </c>
      <c r="K380" s="10">
        <v>3.6728999999999998</v>
      </c>
      <c r="L380" s="11">
        <v>2176.1</v>
      </c>
      <c r="M380" s="13">
        <v>99.36</v>
      </c>
      <c r="N380" s="10">
        <v>25.136818000000002</v>
      </c>
      <c r="O380" s="10"/>
      <c r="P380" s="10">
        <v>26.818999999999999</v>
      </c>
      <c r="Q380" s="11"/>
      <c r="R380" s="16">
        <v>0.64800000000000002</v>
      </c>
      <c r="S380" s="16">
        <v>0.83617200000000003</v>
      </c>
      <c r="T380" s="16">
        <v>22.827000000000002</v>
      </c>
      <c r="U380" s="16">
        <v>37.545354000000003</v>
      </c>
      <c r="V380" s="16">
        <v>48.447000000000003</v>
      </c>
    </row>
    <row r="381" spans="1:22" x14ac:dyDescent="0.3">
      <c r="A381" s="22">
        <v>34608</v>
      </c>
      <c r="B381" s="16">
        <v>31.380856000000001</v>
      </c>
      <c r="C381" s="16">
        <v>8.5259999999999998</v>
      </c>
      <c r="D381" s="21">
        <v>9903.7006939999992</v>
      </c>
      <c r="E381" s="16">
        <v>36.317447999999999</v>
      </c>
      <c r="F381" s="16">
        <v>7.7279999999999998</v>
      </c>
      <c r="G381" s="23"/>
      <c r="H381" s="16">
        <v>49.23</v>
      </c>
      <c r="I381" s="8">
        <v>1.4995000000000001</v>
      </c>
      <c r="J381" s="16">
        <v>2.5590000000000002</v>
      </c>
      <c r="K381" s="10">
        <v>3.6728000000000001</v>
      </c>
      <c r="L381" s="11">
        <v>2173.8000000000002</v>
      </c>
      <c r="M381" s="13">
        <v>100.19</v>
      </c>
      <c r="N381" s="10">
        <v>25.210726999999999</v>
      </c>
      <c r="O381" s="10"/>
      <c r="P381" s="10">
        <v>27.055</v>
      </c>
      <c r="Q381" s="11"/>
      <c r="R381" s="16">
        <v>0.66139999999999999</v>
      </c>
      <c r="S381" s="16">
        <v>0.850217</v>
      </c>
      <c r="T381" s="16">
        <v>23.120999999999999</v>
      </c>
      <c r="U381" s="16">
        <v>36.902808</v>
      </c>
      <c r="V381" s="16">
        <v>47.401000000000003</v>
      </c>
    </row>
    <row r="382" spans="1:22" x14ac:dyDescent="0.3">
      <c r="A382" s="22">
        <v>34578</v>
      </c>
      <c r="B382" s="16">
        <v>31.354785</v>
      </c>
      <c r="C382" s="16">
        <v>8.5299999999999994</v>
      </c>
      <c r="D382" s="21">
        <v>10002.853563999999</v>
      </c>
      <c r="E382" s="16">
        <v>36.681047</v>
      </c>
      <c r="F382" s="16">
        <v>7.7248000000000001</v>
      </c>
      <c r="G382" s="23"/>
      <c r="H382" s="16">
        <v>49.1</v>
      </c>
      <c r="I382" s="8">
        <v>1.5106999999999999</v>
      </c>
      <c r="J382" s="16">
        <v>2.5937000000000001</v>
      </c>
      <c r="K382" s="10">
        <v>3.6728000000000001</v>
      </c>
      <c r="L382" s="11">
        <v>2165.4</v>
      </c>
      <c r="M382" s="13">
        <v>100.14</v>
      </c>
      <c r="N382" s="10">
        <v>25.267499999999998</v>
      </c>
      <c r="O382" s="10"/>
      <c r="P382" s="10">
        <v>26.41</v>
      </c>
      <c r="Q382" s="11"/>
      <c r="R382" s="16">
        <v>0.65939999999999999</v>
      </c>
      <c r="S382" s="16">
        <v>0.86833000000000005</v>
      </c>
      <c r="T382" s="16">
        <v>22.434999999999999</v>
      </c>
      <c r="U382" s="16">
        <v>36.154952999999999</v>
      </c>
      <c r="V382" s="16">
        <v>47.664999999999999</v>
      </c>
    </row>
    <row r="383" spans="1:22" x14ac:dyDescent="0.3">
      <c r="A383" s="22">
        <v>34547</v>
      </c>
      <c r="B383" s="16">
        <v>31.372717000000002</v>
      </c>
      <c r="C383" s="16">
        <v>8.5591000000000008</v>
      </c>
      <c r="D383" s="21">
        <v>10013.759609999999</v>
      </c>
      <c r="E383" s="16">
        <v>36.721040000000002</v>
      </c>
      <c r="F383" s="16">
        <v>7.7294999999999998</v>
      </c>
      <c r="G383" s="23"/>
      <c r="H383" s="16">
        <v>49.09</v>
      </c>
      <c r="I383" s="8">
        <v>1.5255000000000001</v>
      </c>
      <c r="J383" s="16">
        <v>2.6044999999999998</v>
      </c>
      <c r="K383" s="10">
        <v>3.6726999999999999</v>
      </c>
      <c r="L383" s="11">
        <v>2170</v>
      </c>
      <c r="M383" s="13">
        <v>98.43</v>
      </c>
      <c r="N383" s="10">
        <v>25.324783</v>
      </c>
      <c r="O383" s="10"/>
      <c r="P383" s="10">
        <v>26.32</v>
      </c>
      <c r="Q383" s="11"/>
      <c r="R383" s="16">
        <v>0.67359999999999998</v>
      </c>
      <c r="S383" s="16">
        <v>0.86789499999999997</v>
      </c>
      <c r="T383" s="16">
        <v>22.061</v>
      </c>
      <c r="U383" s="16">
        <v>36.198743</v>
      </c>
      <c r="V383" s="16">
        <v>46.552999999999997</v>
      </c>
    </row>
    <row r="384" spans="1:22" x14ac:dyDescent="0.3">
      <c r="A384" s="22">
        <v>34516</v>
      </c>
      <c r="B384" s="16">
        <v>31.372505</v>
      </c>
      <c r="C384" s="16">
        <v>8.6196999999999999</v>
      </c>
      <c r="D384" s="21">
        <v>10340.403236</v>
      </c>
      <c r="E384" s="16">
        <v>37.918861999999997</v>
      </c>
      <c r="F384" s="16">
        <v>7.7264999999999997</v>
      </c>
      <c r="G384" s="23"/>
      <c r="H384" s="16">
        <v>49.33</v>
      </c>
      <c r="I384" s="8">
        <v>1.5343</v>
      </c>
      <c r="J384" s="16">
        <v>2.5790000000000002</v>
      </c>
      <c r="K384" s="10">
        <v>3.6726999999999999</v>
      </c>
      <c r="L384" s="11">
        <v>2164.1999999999998</v>
      </c>
      <c r="M384" s="13">
        <v>104.74</v>
      </c>
      <c r="N384" s="10">
        <v>25.384162</v>
      </c>
      <c r="O384" s="10"/>
      <c r="P384" s="10">
        <v>26.484999999999999</v>
      </c>
      <c r="Q384" s="11"/>
      <c r="R384" s="16">
        <v>0.67279999999999995</v>
      </c>
      <c r="S384" s="16">
        <v>0.888127</v>
      </c>
      <c r="T384" s="16">
        <v>22.370999999999999</v>
      </c>
      <c r="U384" s="16">
        <v>35.414544999999997</v>
      </c>
      <c r="V384" s="16">
        <v>46.585000000000001</v>
      </c>
    </row>
    <row r="385" spans="1:22" x14ac:dyDescent="0.3">
      <c r="A385" s="22">
        <v>34486</v>
      </c>
      <c r="B385" s="16">
        <v>31.384544999999999</v>
      </c>
      <c r="C385" s="16">
        <v>8.6516999999999999</v>
      </c>
      <c r="D385" s="21">
        <v>10510.969241000001</v>
      </c>
      <c r="E385" s="16">
        <v>38.544336999999999</v>
      </c>
      <c r="F385" s="16">
        <v>7.7247000000000003</v>
      </c>
      <c r="G385" s="23"/>
      <c r="H385" s="16">
        <v>48.75</v>
      </c>
      <c r="I385" s="8">
        <v>1.5548999999999999</v>
      </c>
      <c r="J385" s="16">
        <v>2.6778</v>
      </c>
      <c r="K385" s="10">
        <v>3.6726999999999999</v>
      </c>
      <c r="L385" s="11">
        <v>2156.5</v>
      </c>
      <c r="M385" s="13">
        <v>101.69</v>
      </c>
      <c r="N385" s="10">
        <v>25.543727000000001</v>
      </c>
      <c r="O385" s="10"/>
      <c r="P385" s="10">
        <v>26.42</v>
      </c>
      <c r="Q385" s="11"/>
      <c r="R385" s="16">
        <v>0.66710000000000003</v>
      </c>
      <c r="S385" s="16">
        <v>0.89214499999999997</v>
      </c>
      <c r="T385" s="16">
        <v>22.227</v>
      </c>
      <c r="U385" s="16">
        <v>35.239722</v>
      </c>
      <c r="V385" s="16">
        <v>47.223999999999997</v>
      </c>
    </row>
    <row r="386" spans="1:22" x14ac:dyDescent="0.3">
      <c r="A386" s="22">
        <v>34455</v>
      </c>
      <c r="B386" s="16">
        <v>31.373698999999998</v>
      </c>
      <c r="C386" s="16">
        <v>8.6595999999999993</v>
      </c>
      <c r="D386" s="21">
        <v>10725.968437</v>
      </c>
      <c r="E386" s="16">
        <v>39.332751999999999</v>
      </c>
      <c r="F386" s="16">
        <v>7.7275</v>
      </c>
      <c r="G386" s="23"/>
      <c r="H386" s="16">
        <v>48.8</v>
      </c>
      <c r="I386" s="8">
        <v>1.5692999999999999</v>
      </c>
      <c r="J386" s="16">
        <v>2.6760000000000002</v>
      </c>
      <c r="K386" s="10">
        <v>3.6726999999999999</v>
      </c>
      <c r="L386" s="11">
        <v>2155</v>
      </c>
      <c r="M386" s="13">
        <v>102.74</v>
      </c>
      <c r="N386" s="10">
        <v>25.459565000000001</v>
      </c>
      <c r="O386" s="10"/>
      <c r="P386" s="10">
        <v>26.625</v>
      </c>
      <c r="Q386" s="11"/>
      <c r="R386" s="16">
        <v>0.67659999999999998</v>
      </c>
      <c r="S386" s="16">
        <v>0.87908399999999998</v>
      </c>
      <c r="T386" s="16">
        <v>21.300999999999998</v>
      </c>
      <c r="U386" s="16">
        <v>35.765901999999997</v>
      </c>
      <c r="V386" s="16">
        <v>46.332000000000001</v>
      </c>
    </row>
    <row r="387" spans="1:22" x14ac:dyDescent="0.3">
      <c r="A387" s="22">
        <v>34425</v>
      </c>
      <c r="B387" s="16">
        <v>31.391428999999999</v>
      </c>
      <c r="C387" s="16">
        <v>8.7072000000000003</v>
      </c>
      <c r="D387" s="21">
        <v>10714.344352</v>
      </c>
      <c r="E387" s="16">
        <v>39.290126000000001</v>
      </c>
      <c r="F387" s="16">
        <v>7.7272999999999996</v>
      </c>
      <c r="G387" s="23"/>
      <c r="H387" s="16">
        <v>48.95</v>
      </c>
      <c r="I387" s="8">
        <v>1.5818000000000001</v>
      </c>
      <c r="J387" s="16">
        <v>2.7275</v>
      </c>
      <c r="K387" s="10">
        <v>3.6726999999999999</v>
      </c>
      <c r="L387" s="11">
        <v>2145.1</v>
      </c>
      <c r="M387" s="13">
        <v>104.59</v>
      </c>
      <c r="N387" s="10">
        <v>25.382795999999999</v>
      </c>
      <c r="O387" s="10"/>
      <c r="P387" s="10">
        <v>26.93</v>
      </c>
      <c r="Q387" s="11"/>
      <c r="R387" s="16">
        <v>0.67500000000000004</v>
      </c>
      <c r="S387" s="16">
        <v>0.87842500000000001</v>
      </c>
      <c r="T387" s="16">
        <v>20.678000000000001</v>
      </c>
      <c r="U387" s="16">
        <v>35.786515000000001</v>
      </c>
      <c r="V387" s="16">
        <v>46.616999999999997</v>
      </c>
    </row>
    <row r="388" spans="1:22" x14ac:dyDescent="0.3">
      <c r="A388" s="22">
        <v>34394</v>
      </c>
      <c r="B388" s="16">
        <v>31.414674000000002</v>
      </c>
      <c r="C388" s="16">
        <v>8.7080000000000002</v>
      </c>
      <c r="D388" s="21">
        <v>10947.379864</v>
      </c>
      <c r="E388" s="16">
        <v>40.144680000000001</v>
      </c>
      <c r="F388" s="16">
        <v>7.7233000000000001</v>
      </c>
      <c r="G388" s="23"/>
      <c r="H388" s="16">
        <v>49.43</v>
      </c>
      <c r="I388" s="8">
        <v>1.5922000000000001</v>
      </c>
      <c r="J388" s="16">
        <v>2.7675000000000001</v>
      </c>
      <c r="K388" s="10">
        <v>3.6722999999999999</v>
      </c>
      <c r="L388" s="11">
        <v>2115.1999999999998</v>
      </c>
      <c r="M388" s="13">
        <v>108.49</v>
      </c>
      <c r="N388" s="10">
        <v>25.260325999999999</v>
      </c>
      <c r="O388" s="10"/>
      <c r="P388" s="10">
        <v>26.85</v>
      </c>
      <c r="Q388" s="11"/>
      <c r="R388" s="16">
        <v>0.67200000000000004</v>
      </c>
      <c r="S388" s="16">
        <v>0.85062400000000005</v>
      </c>
      <c r="T388" s="16">
        <v>20.901</v>
      </c>
      <c r="U388" s="16">
        <v>37.042222000000002</v>
      </c>
      <c r="V388" s="16">
        <v>46.383000000000003</v>
      </c>
    </row>
    <row r="389" spans="1:22" x14ac:dyDescent="0.3">
      <c r="A389" s="22">
        <v>34366</v>
      </c>
      <c r="B389" s="16">
        <v>31.450897000000001</v>
      </c>
      <c r="C389" s="16">
        <v>8.7055000000000007</v>
      </c>
      <c r="D389" s="21">
        <v>10980.755018</v>
      </c>
      <c r="E389" s="16">
        <v>40.267068999999999</v>
      </c>
      <c r="F389" s="16">
        <v>7.7275</v>
      </c>
      <c r="G389" s="23"/>
      <c r="H389" s="16">
        <v>49.3</v>
      </c>
      <c r="I389" s="8">
        <v>1.6085</v>
      </c>
      <c r="J389" s="16">
        <v>2.6939000000000002</v>
      </c>
      <c r="K389" s="10">
        <v>3.6728000000000001</v>
      </c>
      <c r="L389" s="11">
        <v>2111.1999999999998</v>
      </c>
      <c r="M389" s="13">
        <v>111.84</v>
      </c>
      <c r="N389" s="10">
        <v>25.175930000000001</v>
      </c>
      <c r="O389" s="10"/>
      <c r="P389" s="10">
        <v>26.65</v>
      </c>
      <c r="Q389" s="11"/>
      <c r="R389" s="16">
        <v>0.66749999999999998</v>
      </c>
      <c r="S389" s="16">
        <v>0.83974599999999999</v>
      </c>
      <c r="T389" s="16">
        <v>20.273</v>
      </c>
      <c r="U389" s="16">
        <v>37.582363999999998</v>
      </c>
      <c r="V389" s="16">
        <v>46.908999999999999</v>
      </c>
    </row>
    <row r="390" spans="1:22" x14ac:dyDescent="0.3">
      <c r="A390" s="22">
        <v>34335</v>
      </c>
      <c r="B390" s="16">
        <v>31.438582</v>
      </c>
      <c r="C390" s="16">
        <v>8.6999999999999993</v>
      </c>
      <c r="D390" s="21">
        <v>11414.753864</v>
      </c>
      <c r="E390" s="16">
        <v>42.444533</v>
      </c>
      <c r="F390" s="16">
        <v>7.7248000000000001</v>
      </c>
      <c r="G390" s="23"/>
      <c r="H390" s="16">
        <v>49.3</v>
      </c>
      <c r="I390" s="8">
        <v>1.6</v>
      </c>
      <c r="J390" s="16">
        <v>2.5579999999999998</v>
      </c>
      <c r="K390" s="10">
        <v>3.6722999999999999</v>
      </c>
      <c r="L390" s="11">
        <v>2103.3000000000002</v>
      </c>
      <c r="M390" s="13">
        <v>109.07</v>
      </c>
      <c r="N390" s="10">
        <v>25.194668</v>
      </c>
      <c r="O390" s="10"/>
      <c r="P390" s="10">
        <v>26.66</v>
      </c>
      <c r="Q390" s="11"/>
      <c r="R390" s="16">
        <v>0.67190000000000005</v>
      </c>
      <c r="S390" s="16">
        <v>0.87552799999999997</v>
      </c>
      <c r="T390" s="16">
        <v>21.125</v>
      </c>
      <c r="U390" s="16">
        <v>36.110442999999997</v>
      </c>
      <c r="V390" s="16">
        <v>46.795000000000002</v>
      </c>
    </row>
    <row r="391" spans="1:22" x14ac:dyDescent="0.3">
      <c r="A391" s="22">
        <v>34304</v>
      </c>
      <c r="B391" s="16">
        <v>31.44</v>
      </c>
      <c r="C391" s="16">
        <v>5.8</v>
      </c>
      <c r="D391" s="21">
        <v>11414.707904000001</v>
      </c>
      <c r="E391" s="16">
        <v>42.444361999999998</v>
      </c>
      <c r="F391" s="16">
        <v>7.7275</v>
      </c>
      <c r="G391" s="23"/>
      <c r="H391" s="16">
        <v>49.05</v>
      </c>
      <c r="I391" s="8">
        <v>1.5862000000000001</v>
      </c>
      <c r="J391" s="16">
        <v>2.556</v>
      </c>
      <c r="K391" s="10">
        <v>3.6728999999999998</v>
      </c>
      <c r="L391" s="11">
        <v>2101.6</v>
      </c>
      <c r="M391" s="13">
        <v>108.61</v>
      </c>
      <c r="N391" s="10">
        <v>25.332495999999999</v>
      </c>
      <c r="O391" s="10"/>
      <c r="P391" s="10">
        <v>26.625</v>
      </c>
      <c r="Q391" s="11"/>
      <c r="R391" s="16">
        <v>0.67520000000000002</v>
      </c>
      <c r="S391" s="16">
        <v>0.87146000000000001</v>
      </c>
      <c r="T391" s="16">
        <v>21.611999999999998</v>
      </c>
      <c r="U391" s="16">
        <v>36.267673000000002</v>
      </c>
      <c r="V391" s="16">
        <v>46.487000000000002</v>
      </c>
    </row>
    <row r="392" spans="1:22" x14ac:dyDescent="0.3">
      <c r="A392" s="22">
        <v>34274</v>
      </c>
      <c r="B392" s="16">
        <v>31.435120999999999</v>
      </c>
      <c r="C392" s="16">
        <v>5.8121999999999998</v>
      </c>
      <c r="D392" s="21">
        <v>11073.109759000001</v>
      </c>
      <c r="E392" s="16">
        <v>41.174166</v>
      </c>
      <c r="F392" s="16">
        <v>7.7329999999999997</v>
      </c>
      <c r="G392" s="23"/>
      <c r="H392" s="16">
        <v>48.93</v>
      </c>
      <c r="I392" s="8">
        <v>1.5827</v>
      </c>
      <c r="J392" s="16">
        <v>2.5459999999999998</v>
      </c>
      <c r="K392" s="10">
        <v>3.6726000000000001</v>
      </c>
      <c r="L392" s="11">
        <v>2105.5</v>
      </c>
      <c r="M392" s="13">
        <v>106.14</v>
      </c>
      <c r="N392" s="10">
        <v>25.213750000000001</v>
      </c>
      <c r="O392" s="10"/>
      <c r="P392" s="10">
        <v>26.385000000000002</v>
      </c>
      <c r="Q392" s="11"/>
      <c r="R392" s="16">
        <v>0.66639999999999999</v>
      </c>
      <c r="S392" s="16">
        <v>0.83472800000000003</v>
      </c>
      <c r="T392" s="16">
        <v>20.881</v>
      </c>
      <c r="U392" s="16">
        <v>37.960245999999998</v>
      </c>
      <c r="V392" s="16">
        <v>46.713000000000001</v>
      </c>
    </row>
    <row r="393" spans="1:22" x14ac:dyDescent="0.3">
      <c r="A393" s="22">
        <v>34243</v>
      </c>
      <c r="B393" s="16">
        <v>31.500931999999999</v>
      </c>
      <c r="C393" s="16">
        <v>5.7941000000000003</v>
      </c>
      <c r="D393" s="21">
        <v>10929.850488</v>
      </c>
      <c r="E393" s="16">
        <v>40.641472</v>
      </c>
      <c r="F393" s="16">
        <v>7.7483000000000004</v>
      </c>
      <c r="G393" s="23"/>
      <c r="H393" s="16">
        <v>48.88</v>
      </c>
      <c r="I393" s="8">
        <v>1.6051</v>
      </c>
      <c r="J393" s="16">
        <v>2.5474999999999999</v>
      </c>
      <c r="K393" s="10">
        <v>3.6728999999999998</v>
      </c>
      <c r="L393" s="11">
        <v>2102</v>
      </c>
      <c r="M393" s="13">
        <v>103.79</v>
      </c>
      <c r="N393" s="10">
        <v>25.232886000000001</v>
      </c>
      <c r="O393" s="10"/>
      <c r="P393" s="10">
        <v>26.065000000000001</v>
      </c>
      <c r="Q393" s="11"/>
      <c r="R393" s="16">
        <v>0.63959999999999995</v>
      </c>
      <c r="S393" s="16">
        <v>0.81235400000000002</v>
      </c>
      <c r="T393" s="16">
        <v>21.213000000000001</v>
      </c>
      <c r="U393" s="16">
        <v>38.925798999999998</v>
      </c>
      <c r="V393" s="16">
        <v>49.003999999999998</v>
      </c>
    </row>
    <row r="394" spans="1:22" x14ac:dyDescent="0.3">
      <c r="A394" s="22">
        <v>34213</v>
      </c>
      <c r="B394" s="16">
        <v>31.555066</v>
      </c>
      <c r="C394" s="16">
        <v>5.7868000000000004</v>
      </c>
      <c r="D394" s="21">
        <v>11370.98878</v>
      </c>
      <c r="E394" s="16">
        <v>42.281796999999997</v>
      </c>
      <c r="F394" s="16">
        <v>7.7554999999999996</v>
      </c>
      <c r="G394" s="23"/>
      <c r="H394" s="16">
        <v>48.75</v>
      </c>
      <c r="I394" s="8">
        <v>1.6173999999999999</v>
      </c>
      <c r="J394" s="16">
        <v>2.5630000000000002</v>
      </c>
      <c r="K394" s="10">
        <v>3.6728999999999998</v>
      </c>
      <c r="L394" s="11">
        <v>2096</v>
      </c>
      <c r="M394" s="13">
        <v>104.89</v>
      </c>
      <c r="N394" s="10">
        <v>25.245951000000002</v>
      </c>
      <c r="O394" s="10"/>
      <c r="P394" s="10">
        <v>25.895</v>
      </c>
      <c r="Q394" s="11"/>
      <c r="R394" s="16">
        <v>0.63759999999999994</v>
      </c>
      <c r="S394" s="16">
        <v>0.80998400000000004</v>
      </c>
      <c r="T394" s="16">
        <v>22.149000000000001</v>
      </c>
      <c r="U394" s="16">
        <v>39.028331000000001</v>
      </c>
      <c r="V394" s="16">
        <v>49.317999999999998</v>
      </c>
    </row>
    <row r="395" spans="1:22" x14ac:dyDescent="0.3">
      <c r="A395" s="22">
        <v>34182</v>
      </c>
      <c r="B395" s="16">
        <v>31.612272999999998</v>
      </c>
      <c r="C395" s="16">
        <v>5.7882999999999996</v>
      </c>
      <c r="D395" s="21">
        <v>11318.979453</v>
      </c>
      <c r="E395" s="16">
        <v>42.088405999999999</v>
      </c>
      <c r="F395" s="16">
        <v>7.7424999999999997</v>
      </c>
      <c r="G395" s="23"/>
      <c r="H395" s="16">
        <v>48.2</v>
      </c>
      <c r="I395" s="8">
        <v>1.6245000000000001</v>
      </c>
      <c r="J395" s="16">
        <v>2.5724999999999998</v>
      </c>
      <c r="K395" s="10">
        <v>3.6728999999999998</v>
      </c>
      <c r="L395" s="11">
        <v>2089</v>
      </c>
      <c r="M395" s="13">
        <v>107.19</v>
      </c>
      <c r="N395" s="10">
        <v>25.425217</v>
      </c>
      <c r="O395" s="10"/>
      <c r="P395" s="10">
        <v>26.145</v>
      </c>
      <c r="Q395" s="11"/>
      <c r="R395" s="16">
        <v>0.66390000000000005</v>
      </c>
      <c r="S395" s="16">
        <v>0.83610399999999996</v>
      </c>
      <c r="T395" s="16">
        <v>21.989000000000001</v>
      </c>
      <c r="U395" s="16">
        <v>38.202612000000002</v>
      </c>
      <c r="V395" s="16">
        <v>47.264000000000003</v>
      </c>
    </row>
    <row r="396" spans="1:22" x14ac:dyDescent="0.3">
      <c r="A396" s="22">
        <v>34151</v>
      </c>
      <c r="B396" s="16">
        <v>31.602547999999999</v>
      </c>
      <c r="C396" s="16">
        <v>5.7611999999999997</v>
      </c>
      <c r="D396" s="21">
        <v>10879.571049</v>
      </c>
      <c r="E396" s="16">
        <v>40.454512999999999</v>
      </c>
      <c r="F396" s="16">
        <v>7.7247000000000003</v>
      </c>
      <c r="G396" s="23"/>
      <c r="H396" s="16">
        <v>47.92</v>
      </c>
      <c r="I396" s="8">
        <v>1.6040000000000001</v>
      </c>
      <c r="J396" s="16">
        <v>2.5547</v>
      </c>
      <c r="K396" s="10">
        <v>3.6728000000000001</v>
      </c>
      <c r="L396" s="11">
        <v>2081.4</v>
      </c>
      <c r="M396" s="13">
        <v>107.04</v>
      </c>
      <c r="N396" s="10">
        <v>25.517522</v>
      </c>
      <c r="O396" s="10"/>
      <c r="P396" s="10">
        <v>25.745000000000001</v>
      </c>
      <c r="Q396" s="11"/>
      <c r="R396" s="16">
        <v>0.70399999999999996</v>
      </c>
      <c r="S396" s="16">
        <v>0.83185799999999999</v>
      </c>
      <c r="T396" s="16">
        <v>22.864000000000001</v>
      </c>
      <c r="U396" s="16">
        <v>36.150424000000001</v>
      </c>
      <c r="V396" s="16">
        <v>46.82</v>
      </c>
    </row>
    <row r="397" spans="1:22" x14ac:dyDescent="0.3">
      <c r="A397" s="22">
        <v>34121</v>
      </c>
      <c r="B397" s="16">
        <v>31.668182000000002</v>
      </c>
      <c r="C397" s="16">
        <v>5.7611999999999997</v>
      </c>
      <c r="D397" s="21">
        <v>10590.621311000001</v>
      </c>
      <c r="E397" s="16">
        <v>39.380085000000001</v>
      </c>
      <c r="F397" s="16">
        <v>7.7294999999999998</v>
      </c>
      <c r="G397" s="23"/>
      <c r="H397" s="16">
        <v>47.81</v>
      </c>
      <c r="I397" s="8">
        <v>1.613</v>
      </c>
      <c r="J397" s="16">
        <v>2.5659999999999998</v>
      </c>
      <c r="K397" s="10">
        <v>3.6728000000000001</v>
      </c>
      <c r="L397" s="11">
        <v>2079.5</v>
      </c>
      <c r="M397" s="13">
        <v>111.14</v>
      </c>
      <c r="N397" s="10">
        <v>25.525072999999999</v>
      </c>
      <c r="O397" s="10"/>
      <c r="P397" s="10">
        <v>25.49</v>
      </c>
      <c r="Q397" s="11"/>
      <c r="R397" s="16">
        <v>0.67179999999999995</v>
      </c>
      <c r="S397" s="16">
        <v>0.81497399999999998</v>
      </c>
      <c r="T397" s="16">
        <v>21.329000000000001</v>
      </c>
      <c r="U397" s="16">
        <v>35.638592000000003</v>
      </c>
      <c r="V397" s="16">
        <v>46.642000000000003</v>
      </c>
    </row>
    <row r="398" spans="1:22" x14ac:dyDescent="0.3">
      <c r="A398" s="22">
        <v>34090</v>
      </c>
      <c r="B398" s="16">
        <v>31.616667</v>
      </c>
      <c r="C398" s="16">
        <v>5.7290000000000001</v>
      </c>
      <c r="D398" s="21">
        <v>10565.898316000001</v>
      </c>
      <c r="E398" s="16">
        <v>39.288155000000003</v>
      </c>
      <c r="F398" s="16">
        <v>7.7309999999999999</v>
      </c>
      <c r="G398" s="23"/>
      <c r="H398" s="16">
        <v>47.45</v>
      </c>
      <c r="I398" s="8">
        <v>1.6385000000000001</v>
      </c>
      <c r="J398" s="16">
        <v>2.5914999999999999</v>
      </c>
      <c r="K398" s="10">
        <v>3.6728999999999998</v>
      </c>
      <c r="L398" s="11">
        <v>2071</v>
      </c>
      <c r="M398" s="13">
        <v>114.69</v>
      </c>
      <c r="N398" s="10">
        <v>25.488043000000001</v>
      </c>
      <c r="O398" s="10"/>
      <c r="P398" s="10">
        <v>25.4</v>
      </c>
      <c r="Q398" s="11"/>
      <c r="R398" s="16">
        <v>0.66010000000000002</v>
      </c>
      <c r="S398" s="16">
        <v>0.79674999999999996</v>
      </c>
      <c r="T398" s="16">
        <v>21.262</v>
      </c>
      <c r="U398" s="16">
        <v>36.377645999999999</v>
      </c>
      <c r="V398" s="16">
        <v>46.57</v>
      </c>
    </row>
    <row r="399" spans="1:22" x14ac:dyDescent="0.3">
      <c r="A399" s="22">
        <v>34060</v>
      </c>
      <c r="B399" s="16">
        <v>31.609090999999999</v>
      </c>
      <c r="C399" s="16">
        <v>5.7084000000000001</v>
      </c>
      <c r="D399" s="21">
        <v>10932.217404000001</v>
      </c>
      <c r="E399" s="16">
        <v>40.650272999999999</v>
      </c>
      <c r="F399" s="16">
        <v>7.7332000000000001</v>
      </c>
      <c r="G399" s="23"/>
      <c r="H399" s="16">
        <v>46.52</v>
      </c>
      <c r="I399" s="8">
        <v>1.6435</v>
      </c>
      <c r="J399" s="16">
        <v>2.6284999999999998</v>
      </c>
      <c r="K399" s="10">
        <v>3.6724999999999999</v>
      </c>
      <c r="L399" s="11">
        <v>2067</v>
      </c>
      <c r="M399" s="13">
        <v>118.14</v>
      </c>
      <c r="N399" s="10">
        <v>25.464048999999999</v>
      </c>
      <c r="O399" s="10"/>
      <c r="P399" s="10">
        <v>25.445</v>
      </c>
      <c r="Q399" s="11"/>
      <c r="R399" s="16">
        <v>0.66</v>
      </c>
      <c r="S399" s="16">
        <v>0.79517599999999999</v>
      </c>
      <c r="T399" s="16">
        <v>20.670999999999999</v>
      </c>
      <c r="U399" s="16">
        <v>35.815027999999998</v>
      </c>
      <c r="V399" s="16">
        <v>45.918999999999997</v>
      </c>
    </row>
    <row r="400" spans="1:22" x14ac:dyDescent="0.3">
      <c r="A400" s="22">
        <v>34029</v>
      </c>
      <c r="B400" s="16">
        <v>31.939129999999999</v>
      </c>
      <c r="C400" s="16">
        <v>5.7190000000000003</v>
      </c>
      <c r="D400" s="21">
        <v>10898.883873999999</v>
      </c>
      <c r="E400" s="16">
        <v>40.526325999999997</v>
      </c>
      <c r="F400" s="16">
        <v>7.7324999999999999</v>
      </c>
      <c r="G400" s="23"/>
      <c r="H400" s="16">
        <v>46.2</v>
      </c>
      <c r="I400" s="8">
        <v>1.6455</v>
      </c>
      <c r="J400" s="16">
        <v>2.625</v>
      </c>
      <c r="K400" s="10">
        <v>3.6728999999999998</v>
      </c>
      <c r="L400" s="11">
        <v>2065</v>
      </c>
      <c r="M400" s="13">
        <v>124.74</v>
      </c>
      <c r="N400" s="10">
        <v>25.25874</v>
      </c>
      <c r="O400" s="10"/>
      <c r="P400" s="10">
        <v>25.364999999999998</v>
      </c>
      <c r="Q400" s="11"/>
      <c r="R400" s="16">
        <v>0.63970000000000005</v>
      </c>
      <c r="S400" s="16">
        <v>0.74502199999999996</v>
      </c>
      <c r="T400" s="16">
        <v>20.9</v>
      </c>
      <c r="U400" s="16">
        <v>38.249144000000001</v>
      </c>
      <c r="V400" s="16">
        <v>46.820999999999998</v>
      </c>
    </row>
    <row r="401" spans="1:22" x14ac:dyDescent="0.3">
      <c r="A401" s="22">
        <v>34001</v>
      </c>
      <c r="B401" s="16">
        <v>30.071645</v>
      </c>
      <c r="C401" s="16">
        <v>5.7401999999999997</v>
      </c>
      <c r="D401" s="21">
        <v>10631.971842000001</v>
      </c>
      <c r="E401" s="16">
        <v>39.533842</v>
      </c>
      <c r="F401" s="16">
        <v>7.742</v>
      </c>
      <c r="G401" s="23"/>
      <c r="H401" s="16">
        <v>46.1</v>
      </c>
      <c r="I401" s="8">
        <v>1.6402000000000001</v>
      </c>
      <c r="J401" s="16">
        <v>2.6150000000000002</v>
      </c>
      <c r="K401" s="10">
        <v>3.6726999999999999</v>
      </c>
      <c r="L401" s="11">
        <v>2067.5</v>
      </c>
      <c r="M401" s="13">
        <v>124.85</v>
      </c>
      <c r="N401" s="10">
        <v>25.187725</v>
      </c>
      <c r="O401" s="10"/>
      <c r="P401" s="10">
        <v>25.2</v>
      </c>
      <c r="Q401" s="11"/>
      <c r="R401" s="16">
        <v>0.56269999999999998</v>
      </c>
      <c r="S401" s="16">
        <v>0.71789599999999998</v>
      </c>
      <c r="T401" s="16">
        <v>21.459</v>
      </c>
      <c r="U401" s="16">
        <v>39.679074</v>
      </c>
      <c r="V401" s="16">
        <v>53.615000000000002</v>
      </c>
    </row>
    <row r="402" spans="1:22" x14ac:dyDescent="0.3">
      <c r="A402" s="22">
        <v>33970</v>
      </c>
      <c r="B402" s="16">
        <v>29.038591</v>
      </c>
      <c r="C402" s="16">
        <v>5.7750000000000004</v>
      </c>
      <c r="D402" s="21">
        <v>12129.761802000001</v>
      </c>
      <c r="E402" s="16">
        <v>42.175981</v>
      </c>
      <c r="F402" s="16">
        <v>7.7408999999999999</v>
      </c>
      <c r="G402" s="23"/>
      <c r="H402" s="16">
        <v>44.45</v>
      </c>
      <c r="I402" s="8">
        <v>1.635</v>
      </c>
      <c r="J402" s="16">
        <v>2.5337000000000001</v>
      </c>
      <c r="K402" s="10">
        <v>3.6728000000000001</v>
      </c>
      <c r="L402" s="11">
        <v>2064</v>
      </c>
      <c r="M402" s="13">
        <v>124.54</v>
      </c>
      <c r="N402" s="10">
        <v>25.265000000000001</v>
      </c>
      <c r="O402" s="10"/>
      <c r="P402" s="10">
        <v>25.125</v>
      </c>
      <c r="Q402" s="11"/>
      <c r="R402" s="16">
        <v>0.50390000000000001</v>
      </c>
      <c r="S402" s="16">
        <v>0.71241200000000005</v>
      </c>
      <c r="T402" s="16">
        <v>21.692</v>
      </c>
      <c r="U402" s="16">
        <v>39.980307000000003</v>
      </c>
      <c r="V402" s="16">
        <v>60.334000000000003</v>
      </c>
    </row>
    <row r="403" spans="1:22" x14ac:dyDescent="0.3">
      <c r="A403" s="22">
        <v>33939</v>
      </c>
      <c r="B403" s="16">
        <v>28.979565000000001</v>
      </c>
      <c r="C403" s="16">
        <v>5.7518000000000002</v>
      </c>
      <c r="D403" s="21">
        <v>12126.21284</v>
      </c>
      <c r="E403" s="16">
        <v>42.163640999999998</v>
      </c>
      <c r="F403" s="16">
        <v>7.73</v>
      </c>
      <c r="G403" s="23"/>
      <c r="H403" s="16">
        <v>44.34</v>
      </c>
      <c r="I403" s="8">
        <v>1.621</v>
      </c>
      <c r="J403" s="16">
        <v>2.5089999999999999</v>
      </c>
      <c r="K403" s="10">
        <v>3.6728000000000001</v>
      </c>
      <c r="L403" s="11">
        <v>2045.5</v>
      </c>
      <c r="M403" s="13">
        <v>123.39</v>
      </c>
      <c r="N403" s="10">
        <v>25.286055000000001</v>
      </c>
      <c r="O403" s="10"/>
      <c r="P403" s="10">
        <v>24.99</v>
      </c>
      <c r="Q403" s="11"/>
      <c r="R403" s="16">
        <v>0.51910000000000001</v>
      </c>
      <c r="S403" s="16">
        <v>0.72956799999999999</v>
      </c>
      <c r="T403" s="16">
        <v>22.393999999999998</v>
      </c>
      <c r="U403" s="16">
        <v>39.155557000000002</v>
      </c>
      <c r="V403" s="16">
        <v>57.963000000000001</v>
      </c>
    </row>
    <row r="404" spans="1:22" x14ac:dyDescent="0.3">
      <c r="A404" s="22">
        <v>33909</v>
      </c>
      <c r="B404" s="16">
        <v>28.47663</v>
      </c>
      <c r="C404" s="16">
        <v>5.7198000000000002</v>
      </c>
      <c r="D404" s="21">
        <v>11344.277527</v>
      </c>
      <c r="E404" s="16">
        <v>39.444800000000001</v>
      </c>
      <c r="F404" s="16">
        <v>7.7240000000000002</v>
      </c>
      <c r="G404" s="23"/>
      <c r="H404" s="16">
        <v>44.2</v>
      </c>
      <c r="I404" s="8">
        <v>1.591</v>
      </c>
      <c r="J404" s="16">
        <v>2.4940000000000002</v>
      </c>
      <c r="K404" s="10">
        <v>3.6728000000000001</v>
      </c>
      <c r="L404" s="11">
        <v>2038</v>
      </c>
      <c r="M404" s="13">
        <v>119.86</v>
      </c>
      <c r="N404" s="10">
        <v>25.399545</v>
      </c>
      <c r="O404" s="10"/>
      <c r="P404" s="10">
        <v>24.645</v>
      </c>
      <c r="Q404" s="11"/>
      <c r="R404" s="16">
        <v>0.52549999999999997</v>
      </c>
      <c r="S404" s="16">
        <v>0.76937800000000001</v>
      </c>
      <c r="T404" s="16">
        <v>23.076000000000001</v>
      </c>
      <c r="U404" s="16">
        <v>37.075752000000001</v>
      </c>
      <c r="V404" s="16">
        <v>58.713999999999999</v>
      </c>
    </row>
    <row r="405" spans="1:22" x14ac:dyDescent="0.3">
      <c r="A405" s="22">
        <v>33878</v>
      </c>
      <c r="B405" s="16">
        <v>28.473904000000001</v>
      </c>
      <c r="C405" s="16">
        <v>5.5525000000000002</v>
      </c>
      <c r="D405" s="21">
        <v>10845.990946</v>
      </c>
      <c r="E405" s="16">
        <v>37.712224999999997</v>
      </c>
      <c r="F405" s="16">
        <v>7.7283999999999997</v>
      </c>
      <c r="G405" s="23"/>
      <c r="H405" s="16">
        <v>44</v>
      </c>
      <c r="I405" s="8">
        <v>1.5983000000000001</v>
      </c>
      <c r="J405" s="16">
        <v>2.4929999999999999</v>
      </c>
      <c r="K405" s="10">
        <v>3.6728999999999998</v>
      </c>
      <c r="L405" s="11">
        <v>2031.5</v>
      </c>
      <c r="M405" s="13">
        <v>123.09</v>
      </c>
      <c r="N405" s="10">
        <v>25.547573</v>
      </c>
      <c r="O405" s="10"/>
      <c r="P405" s="10">
        <v>24.895</v>
      </c>
      <c r="Q405" s="11"/>
      <c r="R405" s="16">
        <v>0.54610000000000003</v>
      </c>
      <c r="S405" s="16">
        <v>0.79185899999999998</v>
      </c>
      <c r="T405" s="16">
        <v>23.16</v>
      </c>
      <c r="U405" s="16">
        <v>36.047083999999998</v>
      </c>
      <c r="V405" s="16">
        <v>55.945</v>
      </c>
    </row>
    <row r="406" spans="1:22" x14ac:dyDescent="0.3">
      <c r="A406" s="22">
        <v>33848</v>
      </c>
      <c r="B406" s="16">
        <v>28.454554000000002</v>
      </c>
      <c r="C406" s="16">
        <v>5.5002000000000004</v>
      </c>
      <c r="D406" s="21">
        <v>10718.349732000001</v>
      </c>
      <c r="E406" s="16">
        <v>37.268408000000001</v>
      </c>
      <c r="F406" s="16">
        <v>7.734</v>
      </c>
      <c r="G406" s="23"/>
      <c r="H406" s="16">
        <v>44.2</v>
      </c>
      <c r="I406" s="8">
        <v>1.613</v>
      </c>
      <c r="J406" s="16">
        <v>2.5005000000000002</v>
      </c>
      <c r="K406" s="10">
        <v>3.6728999999999998</v>
      </c>
      <c r="L406" s="11">
        <v>2031</v>
      </c>
      <c r="M406" s="13">
        <v>127.09</v>
      </c>
      <c r="N406" s="10">
        <v>25.644091</v>
      </c>
      <c r="O406" s="10"/>
      <c r="P406" s="10">
        <v>25.225000000000001</v>
      </c>
      <c r="Q406" s="11"/>
      <c r="R406" s="16">
        <v>0.56410000000000005</v>
      </c>
      <c r="S406" s="16">
        <v>0.80641700000000005</v>
      </c>
      <c r="T406" s="16">
        <v>23.123000000000001</v>
      </c>
      <c r="U406" s="16">
        <v>35.840606999999999</v>
      </c>
      <c r="V406" s="16">
        <v>54.41</v>
      </c>
    </row>
    <row r="407" spans="1:22" x14ac:dyDescent="0.3">
      <c r="A407" s="22">
        <v>33817</v>
      </c>
      <c r="B407" s="16">
        <v>28.473305</v>
      </c>
      <c r="C407" s="16">
        <v>5.4063999999999997</v>
      </c>
      <c r="D407" s="21">
        <v>10960.542543</v>
      </c>
      <c r="E407" s="16">
        <v>38.110528000000002</v>
      </c>
      <c r="F407" s="16">
        <v>7.7297000000000002</v>
      </c>
      <c r="G407" s="23"/>
      <c r="H407" s="16">
        <v>44.17</v>
      </c>
      <c r="I407" s="8">
        <v>1.617</v>
      </c>
      <c r="J407" s="16">
        <v>2.5049999999999999</v>
      </c>
      <c r="K407" s="10">
        <v>3.6726999999999999</v>
      </c>
      <c r="L407" s="11">
        <v>2033</v>
      </c>
      <c r="M407" s="13">
        <v>125.6</v>
      </c>
      <c r="N407" s="10">
        <v>25.628672999999999</v>
      </c>
      <c r="O407" s="10"/>
      <c r="P407" s="10">
        <v>25.5</v>
      </c>
      <c r="Q407" s="11"/>
      <c r="R407" s="16">
        <v>0.57640000000000002</v>
      </c>
      <c r="S407" s="16">
        <v>0.81301699999999999</v>
      </c>
      <c r="T407" s="16">
        <v>24.120999999999999</v>
      </c>
      <c r="U407" s="16">
        <v>34.904645000000002</v>
      </c>
      <c r="V407" s="16">
        <v>54.436</v>
      </c>
    </row>
    <row r="408" spans="1:22" x14ac:dyDescent="0.3">
      <c r="A408" s="22">
        <v>33786</v>
      </c>
      <c r="B408" s="16">
        <v>28.563912999999999</v>
      </c>
      <c r="C408" s="16">
        <v>5.42</v>
      </c>
      <c r="D408" s="21">
        <v>11535.451734</v>
      </c>
      <c r="E408" s="16">
        <v>40.109526000000002</v>
      </c>
      <c r="F408" s="16">
        <v>7.7435</v>
      </c>
      <c r="G408" s="23"/>
      <c r="H408" s="16">
        <v>43.47</v>
      </c>
      <c r="I408" s="8">
        <v>1.6279999999999999</v>
      </c>
      <c r="J408" s="16">
        <v>2.5099999999999998</v>
      </c>
      <c r="K408" s="10">
        <v>3.673</v>
      </c>
      <c r="L408" s="11">
        <v>2031</v>
      </c>
      <c r="M408" s="13">
        <v>127.69</v>
      </c>
      <c r="N408" s="10">
        <v>25.405781000000001</v>
      </c>
      <c r="O408" s="10"/>
      <c r="P408" s="10">
        <v>25.155000000000001</v>
      </c>
      <c r="Q408" s="11"/>
      <c r="R408" s="16">
        <v>0.56879999999999997</v>
      </c>
      <c r="S408" s="16">
        <v>0.79276400000000002</v>
      </c>
      <c r="T408" s="16">
        <v>19.78</v>
      </c>
      <c r="U408" s="16">
        <v>32.787132</v>
      </c>
      <c r="V408" s="16">
        <v>46.191000000000003</v>
      </c>
    </row>
    <row r="409" spans="1:22" x14ac:dyDescent="0.3">
      <c r="A409" s="22">
        <v>33756</v>
      </c>
      <c r="B409" s="16">
        <v>28.518636000000001</v>
      </c>
      <c r="C409" s="16">
        <v>5.4621000000000004</v>
      </c>
      <c r="D409" s="21">
        <v>11864.746911</v>
      </c>
      <c r="E409" s="16">
        <v>41.254506999999997</v>
      </c>
      <c r="F409" s="16">
        <v>7.7572000000000001</v>
      </c>
      <c r="G409" s="23"/>
      <c r="H409" s="16">
        <v>43.37</v>
      </c>
      <c r="I409" s="8">
        <v>1.6563000000000001</v>
      </c>
      <c r="J409" s="16">
        <v>2.5222000000000002</v>
      </c>
      <c r="K409" s="10">
        <v>3.673</v>
      </c>
      <c r="L409" s="11">
        <v>2022</v>
      </c>
      <c r="M409" s="13">
        <v>133.13999999999999</v>
      </c>
      <c r="N409" s="10">
        <v>25.274961000000001</v>
      </c>
      <c r="O409" s="10"/>
      <c r="P409" s="10">
        <v>25.04</v>
      </c>
      <c r="Q409" s="11"/>
      <c r="R409" s="16">
        <v>0.55789999999999995</v>
      </c>
      <c r="S409" s="16">
        <v>0.77185099999999995</v>
      </c>
      <c r="T409" s="16">
        <v>19.518000000000001</v>
      </c>
      <c r="U409" s="16">
        <v>33.490299</v>
      </c>
      <c r="V409" s="16">
        <v>46.424999999999997</v>
      </c>
    </row>
    <row r="410" spans="1:22" x14ac:dyDescent="0.3">
      <c r="A410" s="22">
        <v>33725</v>
      </c>
      <c r="B410" s="16">
        <v>28.541533999999999</v>
      </c>
      <c r="C410" s="16">
        <v>5.4911000000000003</v>
      </c>
      <c r="D410" s="21">
        <v>12096.637983000001</v>
      </c>
      <c r="E410" s="16">
        <v>42.060806999999997</v>
      </c>
      <c r="F410" s="16">
        <v>7.7385999999999999</v>
      </c>
      <c r="G410" s="23"/>
      <c r="H410" s="16">
        <v>43.07</v>
      </c>
      <c r="I410" s="8">
        <v>1.6555</v>
      </c>
      <c r="J410" s="16">
        <v>2.5825</v>
      </c>
      <c r="K410" s="10">
        <v>3.6726999999999999</v>
      </c>
      <c r="L410" s="11">
        <v>2017</v>
      </c>
      <c r="M410" s="13">
        <v>132.74</v>
      </c>
      <c r="N410" s="10">
        <v>25.121084</v>
      </c>
      <c r="O410" s="10"/>
      <c r="P410" s="10">
        <v>25.754999999999999</v>
      </c>
      <c r="Q410" s="11"/>
      <c r="R410" s="16">
        <v>0.53539999999999999</v>
      </c>
      <c r="S410" s="16">
        <v>0.76750200000000002</v>
      </c>
      <c r="T410" s="16">
        <v>19.565000000000001</v>
      </c>
      <c r="U410" s="16">
        <v>33.657885</v>
      </c>
      <c r="V410" s="16">
        <v>48.171999999999997</v>
      </c>
    </row>
    <row r="411" spans="1:22" x14ac:dyDescent="0.3">
      <c r="A411" s="22">
        <v>33695</v>
      </c>
      <c r="B411" s="16">
        <v>28.900455000000001</v>
      </c>
      <c r="C411" s="16">
        <v>5.5101000000000004</v>
      </c>
      <c r="D411" s="21">
        <v>12208.591038</v>
      </c>
      <c r="E411" s="16">
        <v>42.450074999999998</v>
      </c>
      <c r="F411" s="16">
        <v>7.7554999999999996</v>
      </c>
      <c r="G411" s="23"/>
      <c r="H411" s="16">
        <v>43.05</v>
      </c>
      <c r="I411" s="8">
        <v>1.6435</v>
      </c>
      <c r="J411" s="16">
        <v>2.5853999999999999</v>
      </c>
      <c r="K411" s="10">
        <v>3.6728000000000001</v>
      </c>
      <c r="L411" s="11">
        <v>2009</v>
      </c>
      <c r="M411" s="13">
        <v>129.59</v>
      </c>
      <c r="N411" s="10">
        <v>25.500762999999999</v>
      </c>
      <c r="O411" s="10"/>
      <c r="P411" s="10">
        <v>25.75</v>
      </c>
      <c r="Q411" s="11"/>
      <c r="R411" s="16">
        <v>0.56720000000000004</v>
      </c>
      <c r="S411" s="16">
        <v>0.79626699999999995</v>
      </c>
      <c r="T411" s="16">
        <v>20.244</v>
      </c>
      <c r="U411" s="16">
        <v>32.416029000000002</v>
      </c>
      <c r="V411" s="16">
        <v>45.631999999999998</v>
      </c>
    </row>
    <row r="412" spans="1:22" x14ac:dyDescent="0.3">
      <c r="A412" s="22">
        <v>33664</v>
      </c>
      <c r="B412" s="16">
        <v>28.377727</v>
      </c>
      <c r="C412" s="16">
        <v>5.4675000000000002</v>
      </c>
      <c r="D412" s="21">
        <v>11898.343799</v>
      </c>
      <c r="E412" s="16">
        <v>41.371324999999999</v>
      </c>
      <c r="F412" s="16">
        <v>7.7611999999999997</v>
      </c>
      <c r="G412" s="23"/>
      <c r="H412" s="16">
        <v>42.68</v>
      </c>
      <c r="I412" s="8">
        <v>1.6355</v>
      </c>
      <c r="J412" s="16">
        <v>2.625</v>
      </c>
      <c r="K412" s="10">
        <v>3.673</v>
      </c>
      <c r="L412" s="11">
        <v>2004</v>
      </c>
      <c r="M412" s="13">
        <v>125.89</v>
      </c>
      <c r="N412" s="10">
        <v>25.546519</v>
      </c>
      <c r="O412" s="10"/>
      <c r="P412" s="10">
        <v>26.28</v>
      </c>
      <c r="Q412" s="11"/>
      <c r="R412" s="16">
        <v>0.57540000000000002</v>
      </c>
      <c r="S412" s="16">
        <v>0.82745100000000005</v>
      </c>
      <c r="T412" s="16">
        <v>20.12</v>
      </c>
      <c r="U412" s="16">
        <v>31.172650999999998</v>
      </c>
      <c r="V412" s="16">
        <v>44.866</v>
      </c>
    </row>
    <row r="413" spans="1:22" x14ac:dyDescent="0.3">
      <c r="A413" s="22">
        <v>33635</v>
      </c>
      <c r="B413" s="16">
        <v>25.986719000000001</v>
      </c>
      <c r="C413" s="16">
        <v>5.4692999999999996</v>
      </c>
      <c r="D413" s="21">
        <v>11591.703221</v>
      </c>
      <c r="E413" s="16">
        <v>40.305115999999998</v>
      </c>
      <c r="F413" s="16">
        <v>7.7774999999999999</v>
      </c>
      <c r="G413" s="23"/>
      <c r="H413" s="16">
        <v>42.53</v>
      </c>
      <c r="I413" s="8">
        <v>1.6220000000000001</v>
      </c>
      <c r="J413" s="16">
        <v>2.7250000000000001</v>
      </c>
      <c r="K413" s="10">
        <v>3.6728999999999998</v>
      </c>
      <c r="L413" s="11">
        <v>1992</v>
      </c>
      <c r="M413" s="13">
        <v>124.85</v>
      </c>
      <c r="N413" s="10">
        <v>25.609179000000001</v>
      </c>
      <c r="O413" s="10"/>
      <c r="P413" s="10">
        <v>26.484999999999999</v>
      </c>
      <c r="Q413" s="11"/>
      <c r="R413" s="16">
        <v>0.57130000000000003</v>
      </c>
      <c r="S413" s="16">
        <v>0.83043900000000004</v>
      </c>
      <c r="T413" s="16">
        <v>20.611000000000001</v>
      </c>
      <c r="U413" s="16">
        <v>31.116501</v>
      </c>
      <c r="V413" s="16">
        <v>45.13</v>
      </c>
    </row>
    <row r="414" spans="1:22" x14ac:dyDescent="0.3">
      <c r="A414" s="22">
        <v>33604</v>
      </c>
      <c r="B414" s="16">
        <v>25.836255000000001</v>
      </c>
      <c r="C414" s="16">
        <v>5.4686000000000003</v>
      </c>
      <c r="D414" s="21">
        <v>10497.328791</v>
      </c>
      <c r="E414" s="16">
        <v>38.274467999999999</v>
      </c>
      <c r="F414" s="16">
        <v>7.7619999999999996</v>
      </c>
      <c r="G414" s="23"/>
      <c r="H414" s="16">
        <v>42.43</v>
      </c>
      <c r="I414" s="8">
        <v>1.6639999999999999</v>
      </c>
      <c r="J414" s="16">
        <v>2.7509999999999999</v>
      </c>
      <c r="K414" s="10">
        <v>3.6728000000000001</v>
      </c>
      <c r="L414" s="11">
        <v>1984</v>
      </c>
      <c r="M414" s="13">
        <v>129.9</v>
      </c>
      <c r="N414" s="10">
        <v>25.719605000000001</v>
      </c>
      <c r="O414" s="10"/>
      <c r="P414" s="10">
        <v>26.7</v>
      </c>
      <c r="Q414" s="11"/>
      <c r="R414" s="16">
        <v>0.59670000000000001</v>
      </c>
      <c r="S414" s="16">
        <v>0.85292299999999999</v>
      </c>
      <c r="T414" s="16">
        <v>20.260000000000002</v>
      </c>
      <c r="U414" s="16">
        <v>30.326771000000001</v>
      </c>
      <c r="V414" s="16">
        <v>43.37</v>
      </c>
    </row>
    <row r="415" spans="1:22" x14ac:dyDescent="0.3">
      <c r="A415" s="22">
        <v>33573</v>
      </c>
      <c r="B415" s="16">
        <v>25.820909</v>
      </c>
      <c r="C415" s="16">
        <v>5.4478</v>
      </c>
      <c r="D415" s="21">
        <v>10879.571234999999</v>
      </c>
      <c r="E415" s="16">
        <v>39.668168000000001</v>
      </c>
      <c r="F415" s="16">
        <v>7.7736999999999998</v>
      </c>
      <c r="G415" s="23"/>
      <c r="H415" s="16">
        <v>42.26</v>
      </c>
      <c r="I415" s="8">
        <v>1.6884999999999999</v>
      </c>
      <c r="J415" s="16">
        <v>2.7475000000000001</v>
      </c>
      <c r="K415" s="10">
        <v>3.6726000000000001</v>
      </c>
      <c r="L415" s="11">
        <v>1979.8</v>
      </c>
      <c r="M415" s="13">
        <v>130.76</v>
      </c>
      <c r="N415" s="10">
        <v>25.752538000000001</v>
      </c>
      <c r="O415" s="10"/>
      <c r="P415" s="10">
        <v>26.905000000000001</v>
      </c>
      <c r="Q415" s="11"/>
      <c r="R415" s="16">
        <v>0.59379999999999999</v>
      </c>
      <c r="S415" s="16">
        <v>0.87378299999999998</v>
      </c>
      <c r="T415" s="16">
        <v>20.123000000000001</v>
      </c>
      <c r="U415" s="16">
        <v>29.358315999999999</v>
      </c>
      <c r="V415" s="16">
        <v>43.607999999999997</v>
      </c>
    </row>
    <row r="416" spans="1:22" x14ac:dyDescent="0.3">
      <c r="A416" s="22">
        <v>33543</v>
      </c>
      <c r="B416" s="16">
        <v>25.807542999999999</v>
      </c>
      <c r="C416" s="16">
        <v>5.4115000000000002</v>
      </c>
      <c r="D416" s="21">
        <v>11296.523184</v>
      </c>
      <c r="E416" s="16">
        <v>41.188423</v>
      </c>
      <c r="F416" s="16">
        <v>7.7412999999999998</v>
      </c>
      <c r="G416" s="23"/>
      <c r="H416" s="16">
        <v>42.01</v>
      </c>
      <c r="I416" s="8">
        <v>1.6855</v>
      </c>
      <c r="J416" s="16">
        <v>2.738</v>
      </c>
      <c r="K416" s="10">
        <v>3.6728999999999998</v>
      </c>
      <c r="L416" s="11">
        <v>1968</v>
      </c>
      <c r="M416" s="13">
        <v>133.11000000000001</v>
      </c>
      <c r="N416" s="10">
        <v>25.765499999999999</v>
      </c>
      <c r="O416" s="10"/>
      <c r="P416" s="10">
        <v>27.125</v>
      </c>
      <c r="Q416" s="11"/>
      <c r="R416" s="16">
        <v>0.61670000000000003</v>
      </c>
      <c r="S416" s="16">
        <v>0.87149600000000005</v>
      </c>
      <c r="T416" s="16">
        <v>16.256</v>
      </c>
      <c r="U416" s="16">
        <v>24.171168000000002</v>
      </c>
      <c r="V416" s="16">
        <v>34.380000000000003</v>
      </c>
    </row>
    <row r="417" spans="1:22" x14ac:dyDescent="0.3">
      <c r="A417" s="22">
        <v>33512</v>
      </c>
      <c r="B417" s="16">
        <v>25.791886999999999</v>
      </c>
      <c r="C417" s="16">
        <v>5.3944000000000001</v>
      </c>
      <c r="D417" s="21">
        <v>11331.134368999999</v>
      </c>
      <c r="E417" s="16">
        <v>41.314619</v>
      </c>
      <c r="F417" s="16">
        <v>7.7598000000000003</v>
      </c>
      <c r="G417" s="23"/>
      <c r="H417" s="16">
        <v>41.88</v>
      </c>
      <c r="I417" s="8">
        <v>1.7224999999999999</v>
      </c>
      <c r="J417" s="16">
        <v>2.7862</v>
      </c>
      <c r="K417" s="10">
        <v>3.6726999999999999</v>
      </c>
      <c r="L417" s="11">
        <v>1964</v>
      </c>
      <c r="M417" s="13">
        <v>136.85</v>
      </c>
      <c r="N417" s="10">
        <v>25.667573999999998</v>
      </c>
      <c r="O417" s="10"/>
      <c r="P417" s="10">
        <v>27.19</v>
      </c>
      <c r="Q417" s="11"/>
      <c r="R417" s="16">
        <v>0.58720000000000006</v>
      </c>
      <c r="S417" s="16">
        <v>0.83725799999999995</v>
      </c>
      <c r="T417" s="16">
        <v>15.909000000000001</v>
      </c>
      <c r="U417" s="16">
        <v>24.516843999999999</v>
      </c>
      <c r="V417" s="16">
        <v>35.494</v>
      </c>
    </row>
    <row r="418" spans="1:22" x14ac:dyDescent="0.3">
      <c r="A418" s="22">
        <v>33482</v>
      </c>
      <c r="B418" s="16">
        <v>25.835156999999999</v>
      </c>
      <c r="C418" s="16">
        <v>5.3898999999999999</v>
      </c>
      <c r="D418" s="21">
        <v>11634.427086</v>
      </c>
      <c r="E418" s="16">
        <v>42.420459000000001</v>
      </c>
      <c r="F418" s="16">
        <v>7.7595000000000001</v>
      </c>
      <c r="G418" s="23"/>
      <c r="H418" s="16">
        <v>41.42</v>
      </c>
      <c r="I418" s="8">
        <v>1.7430000000000001</v>
      </c>
      <c r="J418" s="16">
        <v>2.7862</v>
      </c>
      <c r="K418" s="10">
        <v>3.673</v>
      </c>
      <c r="L418" s="11">
        <v>1959</v>
      </c>
      <c r="M418" s="13">
        <v>137.37</v>
      </c>
      <c r="N418" s="10">
        <v>25.582843</v>
      </c>
      <c r="O418" s="10"/>
      <c r="P418" s="10">
        <v>27.35</v>
      </c>
      <c r="Q418" s="11"/>
      <c r="R418" s="16">
        <v>0.58120000000000005</v>
      </c>
      <c r="S418" s="16">
        <v>0.83043699999999998</v>
      </c>
      <c r="T418" s="16">
        <v>15.821</v>
      </c>
      <c r="U418" s="16">
        <v>23.975754999999999</v>
      </c>
      <c r="V418" s="16">
        <v>35.048000000000002</v>
      </c>
    </row>
    <row r="419" spans="1:22" x14ac:dyDescent="0.3">
      <c r="A419" s="22">
        <v>33451</v>
      </c>
      <c r="B419" s="16">
        <v>25.862393000000001</v>
      </c>
      <c r="C419" s="16">
        <v>5.3861999999999997</v>
      </c>
      <c r="D419" s="21">
        <v>11914.402915000001</v>
      </c>
      <c r="E419" s="16">
        <v>43.441282999999999</v>
      </c>
      <c r="F419" s="16">
        <v>7.7649999999999997</v>
      </c>
      <c r="G419" s="23"/>
      <c r="H419" s="16">
        <v>41.19</v>
      </c>
      <c r="I419" s="8">
        <v>1.7669999999999999</v>
      </c>
      <c r="J419" s="16">
        <v>2.7850000000000001</v>
      </c>
      <c r="K419" s="10">
        <v>3.6728000000000001</v>
      </c>
      <c r="L419" s="11">
        <v>1954</v>
      </c>
      <c r="M419" s="13">
        <v>137.47</v>
      </c>
      <c r="N419" s="10">
        <v>25.474039000000001</v>
      </c>
      <c r="O419" s="10"/>
      <c r="P419" s="10">
        <v>27.48</v>
      </c>
      <c r="Q419" s="11"/>
      <c r="R419" s="16">
        <v>0.57520000000000004</v>
      </c>
      <c r="S419" s="16">
        <v>0.78680099999999997</v>
      </c>
      <c r="T419" s="16">
        <v>15.164999999999999</v>
      </c>
      <c r="U419" s="16">
        <v>24.483177000000001</v>
      </c>
      <c r="V419" s="16">
        <v>34.276000000000003</v>
      </c>
    </row>
    <row r="420" spans="1:22" x14ac:dyDescent="0.3">
      <c r="A420" s="22">
        <v>33420</v>
      </c>
      <c r="B420" s="16">
        <v>25.642340999999998</v>
      </c>
      <c r="C420" s="16">
        <v>5.3605</v>
      </c>
      <c r="D420" s="21">
        <v>11887.022365000001</v>
      </c>
      <c r="E420" s="16">
        <v>43.341450999999999</v>
      </c>
      <c r="F420" s="16">
        <v>7.7370000000000001</v>
      </c>
      <c r="G420" s="23"/>
      <c r="H420" s="16">
        <v>41.12</v>
      </c>
      <c r="I420" s="8">
        <v>1.7675000000000001</v>
      </c>
      <c r="J420" s="16">
        <v>2.7597</v>
      </c>
      <c r="K420" s="10">
        <v>3.673</v>
      </c>
      <c r="L420" s="11">
        <v>1947</v>
      </c>
      <c r="M420" s="13">
        <v>138.41999999999999</v>
      </c>
      <c r="N420" s="10">
        <v>25.171372000000002</v>
      </c>
      <c r="O420" s="10"/>
      <c r="P420" s="10">
        <v>27.164999999999999</v>
      </c>
      <c r="Q420" s="11"/>
      <c r="R420" s="16">
        <v>0.52259999999999995</v>
      </c>
      <c r="S420" s="16">
        <v>0.72440300000000002</v>
      </c>
      <c r="T420" s="16">
        <v>14.997999999999999</v>
      </c>
      <c r="U420" s="16">
        <v>26.047778000000001</v>
      </c>
      <c r="V420" s="16">
        <v>36.470999999999997</v>
      </c>
    </row>
    <row r="421" spans="1:22" x14ac:dyDescent="0.3">
      <c r="A421" s="22">
        <v>33390</v>
      </c>
      <c r="B421" s="16">
        <v>21.062000000000001</v>
      </c>
      <c r="C421" s="16">
        <v>5.3689999999999998</v>
      </c>
      <c r="D421" s="21">
        <v>11411.670814999999</v>
      </c>
      <c r="E421" s="16">
        <v>41.608263999999998</v>
      </c>
      <c r="F421" s="16">
        <v>7.7930000000000001</v>
      </c>
      <c r="G421" s="23"/>
      <c r="H421" s="16">
        <v>40.94</v>
      </c>
      <c r="I421" s="8">
        <v>1.7615000000000001</v>
      </c>
      <c r="J421" s="16">
        <v>2.7509999999999999</v>
      </c>
      <c r="K421" s="10">
        <v>3.673</v>
      </c>
      <c r="L421" s="11">
        <v>1939</v>
      </c>
      <c r="M421" s="13">
        <v>136.24</v>
      </c>
      <c r="N421" s="10">
        <v>25.245521</v>
      </c>
      <c r="O421" s="10"/>
      <c r="P421" s="10">
        <v>27.1</v>
      </c>
      <c r="Q421" s="11"/>
      <c r="R421" s="16">
        <v>0.51049999999999995</v>
      </c>
      <c r="S421" s="16">
        <v>0.73877000000000004</v>
      </c>
      <c r="T421" s="16">
        <v>14.598000000000001</v>
      </c>
      <c r="U421" s="16">
        <v>24.808942999999999</v>
      </c>
      <c r="V421" s="16">
        <v>36.674999999999997</v>
      </c>
    </row>
    <row r="422" spans="1:22" x14ac:dyDescent="0.3">
      <c r="A422" s="22">
        <v>33359</v>
      </c>
      <c r="B422" s="16">
        <v>20.525188</v>
      </c>
      <c r="C422" s="16">
        <v>5.3490000000000002</v>
      </c>
      <c r="D422" s="21">
        <v>11312.524977999999</v>
      </c>
      <c r="E422" s="16">
        <v>41.246766999999998</v>
      </c>
      <c r="F422" s="16">
        <v>7.7945000000000002</v>
      </c>
      <c r="G422" s="23"/>
      <c r="H422" s="16">
        <v>40.78</v>
      </c>
      <c r="I422" s="8">
        <v>1.788</v>
      </c>
      <c r="J422" s="16">
        <v>2.7665000000000002</v>
      </c>
      <c r="K422" s="10">
        <v>3.673</v>
      </c>
      <c r="L422" s="11">
        <v>1932</v>
      </c>
      <c r="M422" s="13">
        <v>141.13</v>
      </c>
      <c r="N422" s="10">
        <v>25.210951999999999</v>
      </c>
      <c r="O422" s="10"/>
      <c r="P422" s="10">
        <v>27.114999999999998</v>
      </c>
      <c r="Q422" s="11"/>
      <c r="R422" s="16">
        <v>0.51829999999999998</v>
      </c>
      <c r="S422" s="16">
        <v>0.73478500000000002</v>
      </c>
      <c r="T422" s="16">
        <v>14.006</v>
      </c>
      <c r="U422" s="16">
        <v>24.684294999999999</v>
      </c>
      <c r="V422" s="16">
        <v>35.066000000000003</v>
      </c>
    </row>
    <row r="423" spans="1:22" x14ac:dyDescent="0.3">
      <c r="A423" s="22">
        <v>33329</v>
      </c>
      <c r="B423" s="16">
        <v>19.906364</v>
      </c>
      <c r="C423" s="16">
        <v>5.3036000000000003</v>
      </c>
      <c r="D423" s="21">
        <v>10732.294329</v>
      </c>
      <c r="E423" s="16">
        <v>39.131179000000003</v>
      </c>
      <c r="F423" s="16">
        <v>7.7915000000000001</v>
      </c>
      <c r="G423" s="23"/>
      <c r="H423" s="16">
        <v>40.72</v>
      </c>
      <c r="I423" s="8">
        <v>1.7282999999999999</v>
      </c>
      <c r="J423" s="16">
        <v>2.7198000000000002</v>
      </c>
      <c r="K423" s="10">
        <v>3.673</v>
      </c>
      <c r="L423" s="11">
        <v>1920</v>
      </c>
      <c r="M423" s="13">
        <v>132.86000000000001</v>
      </c>
      <c r="N423" s="10">
        <v>25.073250999999999</v>
      </c>
      <c r="O423" s="10"/>
      <c r="P423" s="10">
        <v>27.265000000000001</v>
      </c>
      <c r="Q423" s="11"/>
      <c r="R423" s="16">
        <v>0.51629999999999998</v>
      </c>
      <c r="S423" s="16">
        <v>0.72627699999999995</v>
      </c>
      <c r="T423" s="16">
        <v>14.077999999999999</v>
      </c>
      <c r="U423" s="16">
        <v>24.910502999999999</v>
      </c>
      <c r="V423" s="16">
        <v>35.345999999999997</v>
      </c>
    </row>
    <row r="424" spans="1:22" x14ac:dyDescent="0.3">
      <c r="A424" s="22">
        <v>33298</v>
      </c>
      <c r="B424" s="16">
        <v>19.242857000000001</v>
      </c>
      <c r="C424" s="16">
        <v>5.2351999999999999</v>
      </c>
      <c r="D424" s="21">
        <v>9888.426727</v>
      </c>
      <c r="E424" s="16">
        <v>36.054341000000001</v>
      </c>
      <c r="F424" s="16">
        <v>7.7934999999999999</v>
      </c>
      <c r="G424" s="23"/>
      <c r="H424" s="16">
        <v>40.4</v>
      </c>
      <c r="I424" s="8">
        <v>1.7284999999999999</v>
      </c>
      <c r="J424" s="16">
        <v>2.6974999999999998</v>
      </c>
      <c r="K424" s="10">
        <v>3.6722999999999999</v>
      </c>
      <c r="L424" s="11">
        <v>1912</v>
      </c>
      <c r="M424" s="13">
        <v>131.29</v>
      </c>
      <c r="N424" s="10">
        <v>25.128039000000001</v>
      </c>
      <c r="O424" s="10"/>
      <c r="P424" s="10">
        <v>27.274999999999999</v>
      </c>
      <c r="Q424" s="11"/>
      <c r="R424" s="16">
        <v>0.51429999999999998</v>
      </c>
      <c r="S424" s="16">
        <v>0.74286399999999997</v>
      </c>
      <c r="T424" s="16">
        <v>14.227</v>
      </c>
      <c r="U424" s="16">
        <v>24.328129000000001</v>
      </c>
      <c r="V424" s="16">
        <v>35.279000000000003</v>
      </c>
    </row>
    <row r="425" spans="1:22" x14ac:dyDescent="0.3">
      <c r="A425" s="22">
        <v>33270</v>
      </c>
      <c r="B425" s="16">
        <v>18.866979000000001</v>
      </c>
      <c r="C425" s="16">
        <v>5.2351999999999999</v>
      </c>
      <c r="D425" s="21">
        <v>10079.977857</v>
      </c>
      <c r="E425" s="16">
        <v>36.752758999999998</v>
      </c>
      <c r="F425" s="16">
        <v>7.7984</v>
      </c>
      <c r="G425" s="23"/>
      <c r="H425" s="16">
        <v>40.24</v>
      </c>
      <c r="I425" s="8">
        <v>1.7355</v>
      </c>
      <c r="J425" s="16">
        <v>2.7004999999999999</v>
      </c>
      <c r="K425" s="10">
        <v>3.6722999999999999</v>
      </c>
      <c r="L425" s="11">
        <v>1901</v>
      </c>
      <c r="M425" s="13">
        <v>135.44</v>
      </c>
      <c r="N425" s="10">
        <v>25.396571999999999</v>
      </c>
      <c r="O425" s="10"/>
      <c r="P425" s="10">
        <v>27.295000000000002</v>
      </c>
      <c r="Q425" s="11"/>
      <c r="R425" s="16">
        <v>0.53459999999999996</v>
      </c>
      <c r="S425" s="16">
        <v>0.76453499999999996</v>
      </c>
      <c r="T425" s="16">
        <v>14.925000000000001</v>
      </c>
      <c r="U425" s="16">
        <v>23.3522</v>
      </c>
      <c r="V425" s="16">
        <v>33.908999999999999</v>
      </c>
    </row>
    <row r="426" spans="1:22" x14ac:dyDescent="0.3">
      <c r="A426" s="22">
        <v>33239</v>
      </c>
      <c r="B426" s="16">
        <v>18.323529000000001</v>
      </c>
      <c r="C426" s="16">
        <v>5.2351999999999999</v>
      </c>
      <c r="D426" s="21">
        <v>5684.9312659999996</v>
      </c>
      <c r="E426" s="16">
        <v>30.314281999999999</v>
      </c>
      <c r="F426" s="16">
        <v>7.8005000000000004</v>
      </c>
      <c r="G426" s="23"/>
      <c r="H426" s="16">
        <v>40.31</v>
      </c>
      <c r="I426" s="8">
        <v>1.7230000000000001</v>
      </c>
      <c r="J426" s="16">
        <v>2.7025000000000001</v>
      </c>
      <c r="K426" s="10">
        <v>3.673</v>
      </c>
      <c r="L426" s="11">
        <v>1884</v>
      </c>
      <c r="M426" s="13">
        <v>132.54</v>
      </c>
      <c r="N426" s="10">
        <v>25.579129999999999</v>
      </c>
      <c r="O426" s="10"/>
      <c r="P426" s="10">
        <v>27.295000000000002</v>
      </c>
      <c r="Q426" s="11"/>
      <c r="R426" s="16">
        <v>0.52890000000000004</v>
      </c>
      <c r="S426" s="16">
        <v>0.76377200000000001</v>
      </c>
      <c r="T426" s="16">
        <v>14.288</v>
      </c>
      <c r="U426" s="16">
        <v>22.714417999999998</v>
      </c>
      <c r="V426" s="16">
        <v>33.19</v>
      </c>
    </row>
    <row r="427" spans="1:22" x14ac:dyDescent="0.3">
      <c r="A427" s="22">
        <v>33208</v>
      </c>
      <c r="B427" s="16">
        <v>18.134364000000001</v>
      </c>
      <c r="C427" s="16">
        <v>5.2351999999999999</v>
      </c>
      <c r="D427" s="21">
        <v>5612.4808169999997</v>
      </c>
      <c r="E427" s="16">
        <v>29.927948000000001</v>
      </c>
      <c r="F427" s="16">
        <v>7.7965</v>
      </c>
      <c r="G427" s="23"/>
      <c r="H427" s="16">
        <v>40.4</v>
      </c>
      <c r="I427" s="8">
        <v>1.7062999999999999</v>
      </c>
      <c r="J427" s="16">
        <v>2.7002999999999999</v>
      </c>
      <c r="K427" s="10">
        <v>3.6726999999999999</v>
      </c>
      <c r="L427" s="11">
        <v>1629.3473349999999</v>
      </c>
      <c r="M427" s="13">
        <v>130.04</v>
      </c>
      <c r="N427" s="10">
        <v>25.702176999999999</v>
      </c>
      <c r="O427" s="10"/>
      <c r="P427" s="10">
        <v>27.184999999999999</v>
      </c>
      <c r="Q427" s="11"/>
      <c r="R427" s="16">
        <v>0.53790000000000004</v>
      </c>
      <c r="S427" s="16">
        <v>0.79594699999999996</v>
      </c>
      <c r="T427" s="16">
        <v>13.82</v>
      </c>
      <c r="U427" s="16">
        <v>21.873688000000001</v>
      </c>
      <c r="V427" s="16">
        <v>32.417999999999999</v>
      </c>
    </row>
    <row r="428" spans="1:22" x14ac:dyDescent="0.3">
      <c r="A428" s="22">
        <v>33178</v>
      </c>
      <c r="B428" s="16">
        <v>18.091237</v>
      </c>
      <c r="C428" s="16">
        <v>5.2351999999999999</v>
      </c>
      <c r="D428" s="21">
        <v>5731.847992</v>
      </c>
      <c r="E428" s="16">
        <v>30.564461000000001</v>
      </c>
      <c r="F428" s="16">
        <v>7.7614999999999998</v>
      </c>
      <c r="G428" s="23"/>
      <c r="H428" s="16">
        <v>40.01</v>
      </c>
      <c r="I428" s="8">
        <v>1.7645</v>
      </c>
      <c r="J428" s="16">
        <v>2.6995</v>
      </c>
      <c r="K428" s="10">
        <v>3.673</v>
      </c>
      <c r="L428" s="11">
        <v>1677.650202</v>
      </c>
      <c r="M428" s="13">
        <v>138.49</v>
      </c>
      <c r="N428" s="10">
        <v>25.875713999999999</v>
      </c>
      <c r="O428" s="10"/>
      <c r="P428" s="10">
        <v>27.175000000000001</v>
      </c>
      <c r="Q428" s="11"/>
      <c r="R428" s="16">
        <v>0.57340000000000002</v>
      </c>
      <c r="S428" s="16">
        <v>0.81898499999999996</v>
      </c>
      <c r="T428" s="16">
        <v>13.875999999999999</v>
      </c>
      <c r="U428" s="16">
        <v>21.272331999999999</v>
      </c>
      <c r="V428" s="16">
        <v>30.588999999999999</v>
      </c>
    </row>
    <row r="429" spans="1:22" x14ac:dyDescent="0.3">
      <c r="A429" s="22">
        <v>33147</v>
      </c>
      <c r="B429" s="16">
        <v>18.070754999999998</v>
      </c>
      <c r="C429" s="16">
        <v>4.7339000000000002</v>
      </c>
      <c r="D429" s="21">
        <v>5901.7716680000003</v>
      </c>
      <c r="E429" s="16">
        <v>31.470559999999999</v>
      </c>
      <c r="F429" s="16">
        <v>7.7610000000000001</v>
      </c>
      <c r="G429" s="23"/>
      <c r="H429" s="16">
        <v>39.94</v>
      </c>
      <c r="I429" s="8">
        <v>1.764</v>
      </c>
      <c r="J429" s="16">
        <v>2.6867999999999999</v>
      </c>
      <c r="K429" s="10">
        <v>3.6728000000000001</v>
      </c>
      <c r="L429" s="11">
        <v>1674.3580260000001</v>
      </c>
      <c r="M429" s="13">
        <v>143.76</v>
      </c>
      <c r="N429" s="10">
        <v>25.925850000000001</v>
      </c>
      <c r="O429" s="10"/>
      <c r="P429" s="10">
        <v>27.45</v>
      </c>
      <c r="Q429" s="11"/>
      <c r="R429" s="16">
        <v>0.59609999999999996</v>
      </c>
      <c r="S429" s="16">
        <v>0.81040199999999996</v>
      </c>
      <c r="T429" s="16">
        <v>13.340999999999999</v>
      </c>
      <c r="U429" s="16">
        <v>21.377109999999998</v>
      </c>
      <c r="V429" s="16">
        <v>29.163</v>
      </c>
    </row>
    <row r="430" spans="1:22" x14ac:dyDescent="0.3">
      <c r="A430" s="22">
        <v>33117</v>
      </c>
      <c r="B430" s="16">
        <v>17.852516000000001</v>
      </c>
      <c r="C430" s="16">
        <v>4.7339000000000002</v>
      </c>
      <c r="D430" s="21">
        <v>5890.1901879999996</v>
      </c>
      <c r="E430" s="16">
        <v>31.408802999999999</v>
      </c>
      <c r="F430" s="16">
        <v>7.7636000000000003</v>
      </c>
      <c r="G430" s="23"/>
      <c r="H430" s="16">
        <v>40.020000000000003</v>
      </c>
      <c r="I430" s="8">
        <v>1.806</v>
      </c>
      <c r="J430" s="16">
        <v>2.6960000000000002</v>
      </c>
      <c r="K430" s="10">
        <v>3.6728999999999998</v>
      </c>
      <c r="L430" s="11">
        <v>1746.4614650000001</v>
      </c>
      <c r="M430" s="13">
        <v>145.63999999999999</v>
      </c>
      <c r="N430" s="10">
        <v>26.021560000000001</v>
      </c>
      <c r="O430" s="10"/>
      <c r="P430" s="10">
        <v>26.18</v>
      </c>
      <c r="Q430" s="11"/>
      <c r="R430" s="16">
        <v>0.61160000000000003</v>
      </c>
      <c r="S430" s="16">
        <v>0.82240599999999997</v>
      </c>
      <c r="T430" s="16">
        <v>12.98</v>
      </c>
      <c r="U430" s="16">
        <v>21.029765999999999</v>
      </c>
      <c r="V430" s="16">
        <v>28.225000000000001</v>
      </c>
    </row>
    <row r="431" spans="1:22" x14ac:dyDescent="0.3">
      <c r="A431" s="22">
        <v>33086</v>
      </c>
      <c r="B431" s="16">
        <v>17.346522</v>
      </c>
      <c r="C431" s="16">
        <v>4.7339000000000002</v>
      </c>
      <c r="D431" s="21">
        <v>6143.8414160000002</v>
      </c>
      <c r="E431" s="16">
        <v>32.761370999999997</v>
      </c>
      <c r="F431" s="16">
        <v>7.7869999999999999</v>
      </c>
      <c r="G431" s="23"/>
      <c r="H431" s="16">
        <v>40.020000000000003</v>
      </c>
      <c r="I431" s="8">
        <v>1.8385</v>
      </c>
      <c r="J431" s="16">
        <v>2.7103999999999999</v>
      </c>
      <c r="K431" s="10"/>
      <c r="L431" s="11">
        <v>1802.382623</v>
      </c>
      <c r="M431" s="13">
        <v>152.19</v>
      </c>
      <c r="N431" s="10">
        <v>25.925454999999999</v>
      </c>
      <c r="O431" s="10"/>
      <c r="P431" s="10">
        <v>26.21</v>
      </c>
      <c r="Q431" s="11"/>
      <c r="R431" s="16">
        <v>0.60770000000000002</v>
      </c>
      <c r="S431" s="16">
        <v>0.83334600000000003</v>
      </c>
      <c r="T431" s="16">
        <v>12.967000000000001</v>
      </c>
      <c r="U431" s="16">
        <v>20.539822999999998</v>
      </c>
      <c r="V431" s="16">
        <v>28.253</v>
      </c>
    </row>
    <row r="432" spans="1:22" x14ac:dyDescent="0.3">
      <c r="A432" s="22">
        <v>33055</v>
      </c>
      <c r="B432" s="16">
        <v>17.408739000000001</v>
      </c>
      <c r="C432" s="16">
        <v>4.7339000000000002</v>
      </c>
      <c r="D432" s="21">
        <v>6340.5653240000001</v>
      </c>
      <c r="E432" s="16">
        <v>33.810380000000002</v>
      </c>
      <c r="F432" s="16">
        <v>7.7815000000000003</v>
      </c>
      <c r="G432" s="23"/>
      <c r="H432" s="16">
        <v>40.119999999999997</v>
      </c>
      <c r="I432" s="8">
        <v>1.8525</v>
      </c>
      <c r="J432" s="16">
        <v>2.7014999999999998</v>
      </c>
      <c r="K432" s="10"/>
      <c r="L432" s="11">
        <v>1789.038413</v>
      </c>
      <c r="M432" s="13">
        <v>152.16999999999999</v>
      </c>
      <c r="N432" s="10">
        <v>25.718692000000001</v>
      </c>
      <c r="O432" s="10"/>
      <c r="P432" s="10">
        <v>25.95</v>
      </c>
      <c r="Q432" s="11"/>
      <c r="R432" s="16">
        <v>0.59150000000000003</v>
      </c>
      <c r="S432" s="16">
        <v>0.82155299999999998</v>
      </c>
      <c r="T432" s="16">
        <v>12.885999999999999</v>
      </c>
      <c r="U432" s="16">
        <v>20.667411999999999</v>
      </c>
      <c r="V432" s="16">
        <v>28.422000000000001</v>
      </c>
    </row>
    <row r="433" spans="1:22" x14ac:dyDescent="0.3">
      <c r="A433" s="22">
        <v>33025</v>
      </c>
      <c r="B433" s="16">
        <v>17.420952</v>
      </c>
      <c r="C433" s="16">
        <v>4.7339000000000002</v>
      </c>
      <c r="D433" s="21">
        <v>6293.6220000000003</v>
      </c>
      <c r="E433" s="16">
        <v>33.56006</v>
      </c>
      <c r="F433" s="16">
        <v>7.7930000000000001</v>
      </c>
      <c r="G433" s="23"/>
      <c r="H433" s="16">
        <v>40.020000000000003</v>
      </c>
      <c r="I433" s="8">
        <v>1.8745000000000001</v>
      </c>
      <c r="J433" s="16">
        <v>2.7149999999999999</v>
      </c>
      <c r="K433" s="10"/>
      <c r="L433" s="11">
        <v>1817.2675079999999</v>
      </c>
      <c r="M433" s="13">
        <v>158.96</v>
      </c>
      <c r="N433" s="10">
        <v>25.753888</v>
      </c>
      <c r="O433" s="10"/>
      <c r="P433" s="10">
        <v>25.93</v>
      </c>
      <c r="Q433" s="11"/>
      <c r="R433" s="16">
        <v>0.59519999999999995</v>
      </c>
      <c r="S433" s="16">
        <v>0.83155699999999999</v>
      </c>
      <c r="T433" s="16">
        <v>13.013</v>
      </c>
      <c r="U433" s="16">
        <v>20.398515</v>
      </c>
      <c r="V433" s="16">
        <v>28.315999999999999</v>
      </c>
    </row>
    <row r="434" spans="1:22" x14ac:dyDescent="0.3">
      <c r="A434" s="22">
        <v>32994</v>
      </c>
      <c r="B434" s="16">
        <v>17.322592</v>
      </c>
      <c r="C434" s="16">
        <v>4.7339000000000002</v>
      </c>
      <c r="D434" s="21">
        <v>6392.9285609999997</v>
      </c>
      <c r="E434" s="16">
        <v>34.089601000000002</v>
      </c>
      <c r="F434" s="16">
        <v>7.8070000000000004</v>
      </c>
      <c r="G434" s="23"/>
      <c r="H434" s="16">
        <v>40.020000000000003</v>
      </c>
      <c r="I434" s="8">
        <v>1.885</v>
      </c>
      <c r="J434" s="16">
        <v>2.7275</v>
      </c>
      <c r="K434" s="24"/>
      <c r="L434" s="11">
        <v>1840.1373329999999</v>
      </c>
      <c r="M434" s="13">
        <v>158.44999999999999</v>
      </c>
      <c r="N434" s="24"/>
      <c r="O434" s="24"/>
      <c r="P434" s="24"/>
      <c r="Q434" s="25"/>
      <c r="R434" s="24"/>
      <c r="S434" s="24"/>
      <c r="T434" s="24"/>
      <c r="U434" s="24"/>
      <c r="V434" s="24"/>
    </row>
    <row r="435" spans="1:22" x14ac:dyDescent="0.3">
      <c r="A435" s="22">
        <v>32964</v>
      </c>
      <c r="B435" s="16">
        <v>17.294286</v>
      </c>
      <c r="C435" s="16">
        <v>4.7339000000000002</v>
      </c>
      <c r="D435" s="21">
        <v>6473.3818549999996</v>
      </c>
      <c r="E435" s="16">
        <v>34.518610000000002</v>
      </c>
      <c r="F435" s="16">
        <v>7.8085000000000004</v>
      </c>
      <c r="G435" s="23"/>
      <c r="H435" s="16">
        <v>40.020000000000003</v>
      </c>
      <c r="I435" s="8">
        <v>1.867</v>
      </c>
      <c r="J435" s="16">
        <v>2.7058</v>
      </c>
      <c r="K435" s="24"/>
      <c r="L435" s="11">
        <v>1808.3437699999999</v>
      </c>
      <c r="M435" s="13">
        <v>149.07</v>
      </c>
      <c r="N435" s="24"/>
      <c r="O435" s="24"/>
      <c r="P435" s="24"/>
      <c r="Q435" s="25"/>
      <c r="R435" s="24"/>
      <c r="S435" s="24"/>
      <c r="T435" s="24"/>
      <c r="U435" s="24"/>
      <c r="V435" s="24"/>
    </row>
    <row r="436" spans="1:22" x14ac:dyDescent="0.3">
      <c r="A436" s="22">
        <v>32933</v>
      </c>
      <c r="B436" s="16">
        <v>17.116364000000001</v>
      </c>
      <c r="C436" s="16">
        <v>4.7339000000000002</v>
      </c>
      <c r="D436" s="21">
        <v>6361.535922</v>
      </c>
      <c r="E436" s="16">
        <v>33.922204000000001</v>
      </c>
      <c r="F436" s="16">
        <v>7.8114999999999997</v>
      </c>
      <c r="G436" s="23"/>
      <c r="H436" s="16">
        <v>40.020000000000003</v>
      </c>
      <c r="I436" s="8">
        <v>1.8645</v>
      </c>
      <c r="J436" s="16">
        <v>2.6974999999999998</v>
      </c>
      <c r="K436" s="24"/>
      <c r="L436" s="11">
        <v>1833.14517</v>
      </c>
      <c r="M436" s="13">
        <v>144.44999999999999</v>
      </c>
      <c r="N436" s="24"/>
      <c r="O436" s="24"/>
      <c r="P436" s="24"/>
      <c r="Q436" s="25"/>
      <c r="R436" s="24"/>
      <c r="S436" s="24"/>
      <c r="T436" s="24"/>
      <c r="U436" s="24"/>
      <c r="V436" s="24"/>
    </row>
    <row r="437" spans="1:22" x14ac:dyDescent="0.3">
      <c r="A437" s="22">
        <v>32905</v>
      </c>
      <c r="B437" s="16">
        <v>16.978898000000001</v>
      </c>
      <c r="C437" s="16">
        <v>4.7339000000000002</v>
      </c>
      <c r="D437" s="21">
        <v>6448.7842680000003</v>
      </c>
      <c r="E437" s="16">
        <v>34.387445999999997</v>
      </c>
      <c r="F437" s="24"/>
      <c r="G437" s="24"/>
      <c r="H437" s="24"/>
      <c r="I437" s="24"/>
      <c r="J437" s="24"/>
      <c r="K437" s="24"/>
      <c r="L437" s="25"/>
      <c r="M437" s="26"/>
      <c r="N437" s="24"/>
      <c r="O437" s="24"/>
      <c r="P437" s="24"/>
      <c r="Q437" s="25"/>
      <c r="R437" s="24"/>
      <c r="S437" s="24"/>
      <c r="T437" s="24"/>
      <c r="U437" s="24"/>
      <c r="V437" s="24"/>
    </row>
    <row r="438" spans="1:22" x14ac:dyDescent="0.3">
      <c r="A438" s="22">
        <v>32874</v>
      </c>
      <c r="B438" s="16">
        <v>16.961559000000001</v>
      </c>
      <c r="C438" s="16">
        <v>4.7339000000000002</v>
      </c>
      <c r="D438" s="24"/>
      <c r="E438" s="24"/>
      <c r="F438" s="24"/>
      <c r="G438" s="24"/>
      <c r="H438" s="24"/>
      <c r="I438" s="24"/>
      <c r="J438" s="24"/>
      <c r="K438" s="24"/>
      <c r="L438" s="25"/>
      <c r="M438" s="26"/>
      <c r="N438" s="24"/>
      <c r="O438" s="24"/>
      <c r="P438" s="24"/>
      <c r="Q438" s="25"/>
      <c r="R438" s="24"/>
      <c r="S438" s="24"/>
      <c r="T438" s="24"/>
      <c r="U438" s="24"/>
      <c r="V438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3D09-3916-4A3D-8BB7-DFADD8F9CB73}">
  <dimension ref="A1:C209"/>
  <sheetViews>
    <sheetView workbookViewId="0">
      <selection activeCell="H20" sqref="H20"/>
    </sheetView>
  </sheetViews>
  <sheetFormatPr defaultRowHeight="14.4" x14ac:dyDescent="0.3"/>
  <cols>
    <col min="1" max="1" width="14.88671875" customWidth="1"/>
  </cols>
  <sheetData>
    <row r="1" spans="1:3" x14ac:dyDescent="0.3">
      <c r="A1" s="33" t="s">
        <v>0</v>
      </c>
      <c r="B1" s="33" t="s">
        <v>82</v>
      </c>
      <c r="C1" s="33" t="s">
        <v>83</v>
      </c>
    </row>
    <row r="2" spans="1:3" x14ac:dyDescent="0.3">
      <c r="A2" s="34">
        <v>45992</v>
      </c>
      <c r="B2" s="35">
        <v>13720</v>
      </c>
      <c r="C2" s="36">
        <v>-2.8999999999999998E-3</v>
      </c>
    </row>
    <row r="3" spans="1:3" x14ac:dyDescent="0.3">
      <c r="A3" s="34">
        <v>45962</v>
      </c>
      <c r="B3" s="35">
        <v>13760</v>
      </c>
      <c r="C3" s="36">
        <v>1.2500000000000001E-2</v>
      </c>
    </row>
    <row r="4" spans="1:3" x14ac:dyDescent="0.3">
      <c r="A4" s="34">
        <v>45931</v>
      </c>
      <c r="B4" s="35">
        <v>13590</v>
      </c>
      <c r="C4" s="36">
        <v>2.5999999999999999E-2</v>
      </c>
    </row>
    <row r="5" spans="1:3" x14ac:dyDescent="0.3">
      <c r="A5" s="34">
        <v>45901</v>
      </c>
      <c r="B5" s="35">
        <v>13245</v>
      </c>
      <c r="C5" s="36">
        <v>-5.5300000000000002E-2</v>
      </c>
    </row>
    <row r="6" spans="1:3" x14ac:dyDescent="0.3">
      <c r="A6" s="34">
        <v>45870</v>
      </c>
      <c r="B6" s="35">
        <v>14020</v>
      </c>
      <c r="C6" s="36">
        <v>2.9700000000000001E-2</v>
      </c>
    </row>
    <row r="7" spans="1:3" x14ac:dyDescent="0.3">
      <c r="A7" s="34">
        <v>45839</v>
      </c>
      <c r="B7" s="35">
        <v>13615</v>
      </c>
      <c r="C7" s="36">
        <v>-8.6999999999999994E-3</v>
      </c>
    </row>
    <row r="8" spans="1:3" x14ac:dyDescent="0.3">
      <c r="A8" s="34">
        <v>45809</v>
      </c>
      <c r="B8" s="35">
        <v>13735</v>
      </c>
      <c r="C8" s="36">
        <v>3.5000000000000003E-2</v>
      </c>
    </row>
    <row r="9" spans="1:3" x14ac:dyDescent="0.3">
      <c r="A9" s="34">
        <v>45778</v>
      </c>
      <c r="B9" s="35">
        <v>13270</v>
      </c>
      <c r="C9" s="36">
        <v>3.8699999999999998E-2</v>
      </c>
    </row>
    <row r="10" spans="1:3" x14ac:dyDescent="0.3">
      <c r="A10" s="34">
        <v>45748</v>
      </c>
      <c r="B10" s="35">
        <v>12775</v>
      </c>
      <c r="C10" s="36">
        <v>-5.9299999999999999E-2</v>
      </c>
    </row>
    <row r="11" spans="1:3" x14ac:dyDescent="0.3">
      <c r="A11" s="34">
        <v>45717</v>
      </c>
      <c r="B11" s="35">
        <v>13580</v>
      </c>
      <c r="C11" s="36">
        <v>-1.5E-3</v>
      </c>
    </row>
    <row r="12" spans="1:3" x14ac:dyDescent="0.3">
      <c r="A12" s="34">
        <v>45689</v>
      </c>
      <c r="B12" s="35">
        <v>13600</v>
      </c>
      <c r="C12" s="36">
        <v>-2.8999999999999998E-3</v>
      </c>
    </row>
    <row r="13" spans="1:3" x14ac:dyDescent="0.3">
      <c r="A13" s="34">
        <v>45658</v>
      </c>
      <c r="B13" s="35">
        <v>13640</v>
      </c>
      <c r="C13" s="36">
        <v>1.34E-2</v>
      </c>
    </row>
    <row r="14" spans="1:3" x14ac:dyDescent="0.3">
      <c r="A14" s="34">
        <v>45627</v>
      </c>
      <c r="B14" s="35">
        <v>13460</v>
      </c>
      <c r="C14" s="36">
        <v>-3.9300000000000002E-2</v>
      </c>
    </row>
    <row r="15" spans="1:3" x14ac:dyDescent="0.3">
      <c r="A15" s="34">
        <v>45597</v>
      </c>
      <c r="B15" s="35">
        <v>14010</v>
      </c>
      <c r="C15" s="36">
        <v>4.1200000000000001E-2</v>
      </c>
    </row>
    <row r="16" spans="1:3" x14ac:dyDescent="0.3">
      <c r="A16" s="34">
        <v>45566</v>
      </c>
      <c r="B16" s="35">
        <v>13455</v>
      </c>
      <c r="C16" s="36">
        <v>-6.0699999999999997E-2</v>
      </c>
    </row>
    <row r="17" spans="1:3" x14ac:dyDescent="0.3">
      <c r="A17" s="34">
        <v>45536</v>
      </c>
      <c r="B17" s="35">
        <v>14325</v>
      </c>
      <c r="C17" s="36">
        <v>5.5199999999999999E-2</v>
      </c>
    </row>
    <row r="18" spans="1:3" x14ac:dyDescent="0.3">
      <c r="A18" s="34">
        <v>45505</v>
      </c>
      <c r="B18" s="35">
        <v>13575</v>
      </c>
      <c r="C18" s="36">
        <v>-3.8300000000000001E-2</v>
      </c>
    </row>
    <row r="19" spans="1:3" x14ac:dyDescent="0.3">
      <c r="A19" s="34">
        <v>45474</v>
      </c>
      <c r="B19" s="35">
        <v>14115</v>
      </c>
      <c r="C19" s="36">
        <v>-2.01E-2</v>
      </c>
    </row>
    <row r="20" spans="1:3" x14ac:dyDescent="0.3">
      <c r="A20" s="34">
        <v>45444</v>
      </c>
      <c r="B20" s="35">
        <v>14405</v>
      </c>
      <c r="C20" s="36">
        <v>-4.3200000000000002E-2</v>
      </c>
    </row>
    <row r="21" spans="1:3" x14ac:dyDescent="0.3">
      <c r="A21" s="34">
        <v>45413</v>
      </c>
      <c r="B21" s="35">
        <v>15055</v>
      </c>
      <c r="C21" s="36">
        <v>-2.6499999999999999E-2</v>
      </c>
    </row>
    <row r="22" spans="1:3" x14ac:dyDescent="0.3">
      <c r="A22" s="34">
        <v>45383</v>
      </c>
      <c r="B22" s="35">
        <v>15465</v>
      </c>
      <c r="C22" s="36">
        <v>-3.5799999999999998E-2</v>
      </c>
    </row>
    <row r="23" spans="1:3" x14ac:dyDescent="0.3">
      <c r="A23" s="34">
        <v>45352</v>
      </c>
      <c r="B23" s="35">
        <v>16040</v>
      </c>
      <c r="C23" s="36">
        <v>-5.5999999999999999E-3</v>
      </c>
    </row>
    <row r="24" spans="1:3" x14ac:dyDescent="0.3">
      <c r="A24" s="34">
        <v>45323</v>
      </c>
      <c r="B24" s="35">
        <v>16130</v>
      </c>
      <c r="C24" s="36">
        <v>8.8000000000000005E-3</v>
      </c>
    </row>
    <row r="25" spans="1:3" x14ac:dyDescent="0.3">
      <c r="A25" s="34">
        <v>45292</v>
      </c>
      <c r="B25" s="35">
        <v>15990</v>
      </c>
      <c r="C25" s="36">
        <v>3.3599999999999998E-2</v>
      </c>
    </row>
    <row r="26" spans="1:3" x14ac:dyDescent="0.3">
      <c r="A26" s="34">
        <v>45261</v>
      </c>
      <c r="B26" s="35">
        <v>15470</v>
      </c>
      <c r="C26" s="36">
        <v>1.6799999999999999E-2</v>
      </c>
    </row>
    <row r="27" spans="1:3" x14ac:dyDescent="0.3">
      <c r="A27" s="34">
        <v>45231</v>
      </c>
      <c r="B27" s="35">
        <v>15215</v>
      </c>
      <c r="C27" s="36">
        <v>-3.9199999999999999E-2</v>
      </c>
    </row>
    <row r="28" spans="1:3" x14ac:dyDescent="0.3">
      <c r="A28" s="34">
        <v>45200</v>
      </c>
      <c r="B28" s="35">
        <v>15835</v>
      </c>
      <c r="C28" s="36">
        <v>-0.1011</v>
      </c>
    </row>
    <row r="29" spans="1:3" x14ac:dyDescent="0.3">
      <c r="A29" s="34">
        <v>45170</v>
      </c>
      <c r="B29" s="35">
        <v>17615</v>
      </c>
      <c r="C29" s="36">
        <v>-1.29E-2</v>
      </c>
    </row>
    <row r="30" spans="1:3" x14ac:dyDescent="0.3">
      <c r="A30" s="34">
        <v>45139</v>
      </c>
      <c r="B30" s="35">
        <v>17845</v>
      </c>
      <c r="C30" s="36">
        <v>3.9E-2</v>
      </c>
    </row>
    <row r="31" spans="1:3" x14ac:dyDescent="0.3">
      <c r="A31" s="34">
        <v>45108</v>
      </c>
      <c r="B31" s="35">
        <v>17175</v>
      </c>
      <c r="C31" s="36">
        <v>5.7599999999999998E-2</v>
      </c>
    </row>
    <row r="32" spans="1:3" x14ac:dyDescent="0.3">
      <c r="A32" s="34">
        <v>45078</v>
      </c>
      <c r="B32" s="35">
        <v>16240</v>
      </c>
      <c r="C32" s="36">
        <v>5.8999999999999997E-2</v>
      </c>
    </row>
    <row r="33" spans="1:3" x14ac:dyDescent="0.3">
      <c r="A33" s="34">
        <v>45047</v>
      </c>
      <c r="B33" s="35">
        <v>15335</v>
      </c>
      <c r="C33" s="36">
        <v>8.5000000000000006E-3</v>
      </c>
    </row>
    <row r="34" spans="1:3" x14ac:dyDescent="0.3">
      <c r="A34" s="34">
        <v>45017</v>
      </c>
      <c r="B34" s="35">
        <v>15205</v>
      </c>
      <c r="C34" s="36">
        <v>6.1800000000000001E-2</v>
      </c>
    </row>
    <row r="35" spans="1:3" x14ac:dyDescent="0.3">
      <c r="A35" s="34">
        <v>44986</v>
      </c>
      <c r="B35" s="35">
        <v>14320</v>
      </c>
      <c r="C35" s="36">
        <v>3.5000000000000001E-3</v>
      </c>
    </row>
    <row r="36" spans="1:3" x14ac:dyDescent="0.3">
      <c r="A36" s="34">
        <v>44958</v>
      </c>
      <c r="B36" s="35">
        <v>14270</v>
      </c>
      <c r="C36" s="36">
        <v>-5.3100000000000001E-2</v>
      </c>
    </row>
    <row r="37" spans="1:3" x14ac:dyDescent="0.3">
      <c r="A37" s="34">
        <v>44927</v>
      </c>
      <c r="B37" s="35">
        <v>15070</v>
      </c>
      <c r="C37" s="36">
        <v>6.0100000000000001E-2</v>
      </c>
    </row>
    <row r="38" spans="1:3" x14ac:dyDescent="0.3">
      <c r="A38" s="34">
        <v>44896</v>
      </c>
      <c r="B38" s="35">
        <v>14215</v>
      </c>
      <c r="C38" s="36">
        <v>7.0800000000000002E-2</v>
      </c>
    </row>
    <row r="39" spans="1:3" x14ac:dyDescent="0.3">
      <c r="A39" s="34">
        <v>44866</v>
      </c>
      <c r="B39" s="35">
        <v>13275</v>
      </c>
      <c r="C39" s="36">
        <v>-1.8499999999999999E-2</v>
      </c>
    </row>
    <row r="40" spans="1:3" x14ac:dyDescent="0.3">
      <c r="A40" s="34">
        <v>44835</v>
      </c>
      <c r="B40" s="35">
        <v>13525</v>
      </c>
      <c r="C40" s="36">
        <v>-1.9199999999999998E-2</v>
      </c>
    </row>
    <row r="41" spans="1:3" x14ac:dyDescent="0.3">
      <c r="A41" s="34">
        <v>44805</v>
      </c>
      <c r="B41" s="35">
        <v>13790</v>
      </c>
      <c r="C41" s="36">
        <v>-0.108</v>
      </c>
    </row>
    <row r="42" spans="1:3" x14ac:dyDescent="0.3">
      <c r="A42" s="34">
        <v>44774</v>
      </c>
      <c r="B42" s="35">
        <v>15460</v>
      </c>
      <c r="C42" s="36">
        <v>3.6900000000000002E-2</v>
      </c>
    </row>
    <row r="43" spans="1:3" x14ac:dyDescent="0.3">
      <c r="A43" s="34">
        <v>44743</v>
      </c>
      <c r="B43" s="35">
        <v>14910</v>
      </c>
      <c r="C43" s="36">
        <v>-0.156</v>
      </c>
    </row>
    <row r="44" spans="1:3" x14ac:dyDescent="0.3">
      <c r="A44" s="34">
        <v>44713</v>
      </c>
      <c r="B44" s="35">
        <v>17665</v>
      </c>
      <c r="C44" s="36">
        <v>-0.13339999999999999</v>
      </c>
    </row>
    <row r="45" spans="1:3" x14ac:dyDescent="0.3">
      <c r="A45" s="34">
        <v>44682</v>
      </c>
      <c r="B45" s="35">
        <v>20385</v>
      </c>
      <c r="C45" s="36">
        <v>-6.25E-2</v>
      </c>
    </row>
    <row r="46" spans="1:3" x14ac:dyDescent="0.3">
      <c r="A46" s="34">
        <v>44652</v>
      </c>
      <c r="B46" s="35">
        <v>21745</v>
      </c>
      <c r="C46" s="36">
        <v>-5.0000000000000001E-4</v>
      </c>
    </row>
    <row r="47" spans="1:3" x14ac:dyDescent="0.3">
      <c r="A47" s="34">
        <v>44621</v>
      </c>
      <c r="B47" s="35">
        <v>21755</v>
      </c>
      <c r="C47" s="36">
        <v>1.8499999999999999E-2</v>
      </c>
    </row>
    <row r="48" spans="1:3" x14ac:dyDescent="0.3">
      <c r="A48" s="34">
        <v>44593</v>
      </c>
      <c r="B48" s="35">
        <v>21360</v>
      </c>
      <c r="C48" s="36">
        <v>-3.2399999999999998E-2</v>
      </c>
    </row>
    <row r="49" spans="1:3" x14ac:dyDescent="0.3">
      <c r="A49" s="34">
        <v>44562</v>
      </c>
      <c r="B49" s="35">
        <v>22075</v>
      </c>
      <c r="C49" s="36">
        <v>1.24E-2</v>
      </c>
    </row>
    <row r="50" spans="1:3" x14ac:dyDescent="0.3">
      <c r="A50" s="34">
        <v>44531</v>
      </c>
      <c r="B50" s="35">
        <v>21805</v>
      </c>
      <c r="C50" s="36">
        <v>6.0299999999999999E-2</v>
      </c>
    </row>
    <row r="51" spans="1:3" x14ac:dyDescent="0.3">
      <c r="A51" s="34">
        <v>44501</v>
      </c>
      <c r="B51" s="35">
        <v>20565</v>
      </c>
      <c r="C51" s="36">
        <v>-5.16E-2</v>
      </c>
    </row>
    <row r="52" spans="1:3" x14ac:dyDescent="0.3">
      <c r="A52" s="34">
        <v>44470</v>
      </c>
      <c r="B52" s="35">
        <v>21685</v>
      </c>
      <c r="C52" s="36">
        <v>9.2700000000000005E-2</v>
      </c>
    </row>
    <row r="53" spans="1:3" x14ac:dyDescent="0.3">
      <c r="A53" s="34">
        <v>44440</v>
      </c>
      <c r="B53" s="35">
        <v>19845</v>
      </c>
      <c r="C53" s="36">
        <v>0.13039999999999999</v>
      </c>
    </row>
    <row r="54" spans="1:3" x14ac:dyDescent="0.3">
      <c r="A54" s="34">
        <v>44409</v>
      </c>
      <c r="B54" s="35">
        <v>17555</v>
      </c>
      <c r="C54" s="36">
        <v>8.0000000000000002E-3</v>
      </c>
    </row>
    <row r="55" spans="1:3" x14ac:dyDescent="0.3">
      <c r="A55" s="34">
        <v>44378</v>
      </c>
      <c r="B55" s="35">
        <v>17415</v>
      </c>
      <c r="C55" s="36">
        <v>9.9400000000000002E-2</v>
      </c>
    </row>
    <row r="56" spans="1:3" x14ac:dyDescent="0.3">
      <c r="A56" s="34">
        <v>44348</v>
      </c>
      <c r="B56" s="35">
        <v>15840</v>
      </c>
      <c r="C56" s="36">
        <v>3.7699999999999997E-2</v>
      </c>
    </row>
    <row r="57" spans="1:3" x14ac:dyDescent="0.3">
      <c r="A57" s="34">
        <v>44317</v>
      </c>
      <c r="B57" s="35">
        <v>15265</v>
      </c>
      <c r="C57" s="36">
        <v>-1.3599999999999999E-2</v>
      </c>
    </row>
    <row r="58" spans="1:3" x14ac:dyDescent="0.3">
      <c r="A58" s="34">
        <v>44287</v>
      </c>
      <c r="B58" s="35">
        <v>15475</v>
      </c>
      <c r="C58" s="36">
        <v>4.5600000000000002E-2</v>
      </c>
    </row>
    <row r="59" spans="1:3" x14ac:dyDescent="0.3">
      <c r="A59" s="34">
        <v>44256</v>
      </c>
      <c r="B59" s="35">
        <v>14800</v>
      </c>
      <c r="C59" s="36">
        <v>-8.3599999999999994E-2</v>
      </c>
    </row>
    <row r="60" spans="1:3" x14ac:dyDescent="0.3">
      <c r="A60" s="34">
        <v>44228</v>
      </c>
      <c r="B60" s="35">
        <v>16150</v>
      </c>
      <c r="C60" s="36">
        <v>9.1600000000000001E-2</v>
      </c>
    </row>
    <row r="61" spans="1:3" x14ac:dyDescent="0.3">
      <c r="A61" s="34">
        <v>44197</v>
      </c>
      <c r="B61" s="35">
        <v>14795</v>
      </c>
      <c r="C61" s="36">
        <v>-1.89E-2</v>
      </c>
    </row>
    <row r="62" spans="1:3" x14ac:dyDescent="0.3">
      <c r="A62" s="34">
        <v>44166</v>
      </c>
      <c r="B62" s="35">
        <v>15080</v>
      </c>
      <c r="C62" s="36">
        <v>3.7499999999999999E-2</v>
      </c>
    </row>
    <row r="63" spans="1:3" x14ac:dyDescent="0.3">
      <c r="A63" s="34">
        <v>44136</v>
      </c>
      <c r="B63" s="35">
        <v>14535</v>
      </c>
      <c r="C63" s="36">
        <v>2.4E-2</v>
      </c>
    </row>
    <row r="64" spans="1:3" x14ac:dyDescent="0.3">
      <c r="A64" s="34">
        <v>44105</v>
      </c>
      <c r="B64" s="35">
        <v>14195</v>
      </c>
      <c r="C64" s="36">
        <v>0.13880000000000001</v>
      </c>
    </row>
    <row r="65" spans="1:3" x14ac:dyDescent="0.3">
      <c r="A65" s="34">
        <v>44075</v>
      </c>
      <c r="B65" s="35">
        <v>12465</v>
      </c>
      <c r="C65" s="36">
        <v>2.8E-3</v>
      </c>
    </row>
    <row r="66" spans="1:3" x14ac:dyDescent="0.3">
      <c r="A66" s="34">
        <v>44044</v>
      </c>
      <c r="B66" s="35">
        <v>12430</v>
      </c>
      <c r="C66" s="36">
        <v>3.5400000000000001E-2</v>
      </c>
    </row>
    <row r="67" spans="1:3" x14ac:dyDescent="0.3">
      <c r="A67" s="34">
        <v>44013</v>
      </c>
      <c r="B67" s="35">
        <v>12005</v>
      </c>
      <c r="C67" s="36">
        <v>5.6300000000000003E-2</v>
      </c>
    </row>
    <row r="68" spans="1:3" x14ac:dyDescent="0.3">
      <c r="A68" s="34">
        <v>43983</v>
      </c>
      <c r="B68" s="35">
        <v>11365</v>
      </c>
      <c r="C68" s="36">
        <v>1.1599999999999999E-2</v>
      </c>
    </row>
    <row r="69" spans="1:3" x14ac:dyDescent="0.3">
      <c r="A69" s="34">
        <v>43952</v>
      </c>
      <c r="B69" s="35">
        <v>11235</v>
      </c>
      <c r="C69" s="36">
        <v>1.2999999999999999E-3</v>
      </c>
    </row>
    <row r="70" spans="1:3" x14ac:dyDescent="0.3">
      <c r="A70" s="34">
        <v>43922</v>
      </c>
      <c r="B70" s="35">
        <v>11220</v>
      </c>
      <c r="C70" s="36">
        <v>6.25E-2</v>
      </c>
    </row>
    <row r="71" spans="1:3" x14ac:dyDescent="0.3">
      <c r="A71" s="34">
        <v>43891</v>
      </c>
      <c r="B71" s="35">
        <v>10560</v>
      </c>
      <c r="C71" s="36">
        <v>-0.12659999999999999</v>
      </c>
    </row>
    <row r="72" spans="1:3" x14ac:dyDescent="0.3">
      <c r="A72" s="34">
        <v>43862</v>
      </c>
      <c r="B72" s="35">
        <v>12090</v>
      </c>
      <c r="C72" s="36">
        <v>-9.2999999999999999E-2</v>
      </c>
    </row>
    <row r="73" spans="1:3" x14ac:dyDescent="0.3">
      <c r="A73" s="34">
        <v>43831</v>
      </c>
      <c r="B73" s="35">
        <v>13330</v>
      </c>
      <c r="C73" s="36">
        <v>-1.04E-2</v>
      </c>
    </row>
    <row r="74" spans="1:3" x14ac:dyDescent="0.3">
      <c r="A74" s="34">
        <v>43800</v>
      </c>
      <c r="B74" s="35">
        <v>13470</v>
      </c>
      <c r="C74" s="36">
        <v>5.3600000000000002E-2</v>
      </c>
    </row>
    <row r="75" spans="1:3" x14ac:dyDescent="0.3">
      <c r="A75" s="34">
        <v>43770</v>
      </c>
      <c r="B75" s="35">
        <v>12785</v>
      </c>
      <c r="C75" s="36">
        <v>8.0000000000000004E-4</v>
      </c>
    </row>
    <row r="76" spans="1:3" x14ac:dyDescent="0.3">
      <c r="A76" s="34">
        <v>43739</v>
      </c>
      <c r="B76" s="35">
        <v>12775</v>
      </c>
      <c r="C76" s="36">
        <v>8.8200000000000001E-2</v>
      </c>
    </row>
    <row r="77" spans="1:3" x14ac:dyDescent="0.3">
      <c r="A77" s="34">
        <v>43709</v>
      </c>
      <c r="B77" s="35">
        <v>11740</v>
      </c>
      <c r="C77" s="36">
        <v>-1.7600000000000001E-2</v>
      </c>
    </row>
    <row r="78" spans="1:3" x14ac:dyDescent="0.3">
      <c r="A78" s="34">
        <v>43678</v>
      </c>
      <c r="B78" s="35">
        <v>11950</v>
      </c>
      <c r="C78" s="36">
        <v>-8.7400000000000005E-2</v>
      </c>
    </row>
    <row r="79" spans="1:3" x14ac:dyDescent="0.3">
      <c r="A79" s="34">
        <v>43647</v>
      </c>
      <c r="B79" s="35">
        <v>13095</v>
      </c>
      <c r="C79" s="36">
        <v>-2.53E-2</v>
      </c>
    </row>
    <row r="80" spans="1:3" x14ac:dyDescent="0.3">
      <c r="A80" s="34">
        <v>43617</v>
      </c>
      <c r="B80" s="35">
        <v>13435</v>
      </c>
      <c r="C80" s="36">
        <v>1.6299999999999999E-2</v>
      </c>
    </row>
    <row r="81" spans="1:3" x14ac:dyDescent="0.3">
      <c r="A81" s="34">
        <v>43586</v>
      </c>
      <c r="B81" s="35">
        <v>13220</v>
      </c>
      <c r="C81" s="36">
        <v>-0.12330000000000001</v>
      </c>
    </row>
    <row r="82" spans="1:3" x14ac:dyDescent="0.3">
      <c r="A82" s="34">
        <v>43556</v>
      </c>
      <c r="B82" s="35">
        <v>15080</v>
      </c>
      <c r="C82" s="36">
        <v>1.6999999999999999E-3</v>
      </c>
    </row>
    <row r="83" spans="1:3" x14ac:dyDescent="0.3">
      <c r="A83" s="34">
        <v>43525</v>
      </c>
      <c r="B83" s="35">
        <v>15055</v>
      </c>
      <c r="C83" s="36">
        <v>2.98E-2</v>
      </c>
    </row>
    <row r="84" spans="1:3" x14ac:dyDescent="0.3">
      <c r="A84" s="34">
        <v>43497</v>
      </c>
      <c r="B84" s="35">
        <v>14620</v>
      </c>
      <c r="C84" s="36">
        <v>-1.2800000000000001E-2</v>
      </c>
    </row>
    <row r="85" spans="1:3" x14ac:dyDescent="0.3">
      <c r="A85" s="34">
        <v>43466</v>
      </c>
      <c r="B85" s="35">
        <v>14810</v>
      </c>
      <c r="C85" s="36">
        <v>5.11E-2</v>
      </c>
    </row>
    <row r="86" spans="1:3" x14ac:dyDescent="0.3">
      <c r="A86" s="34">
        <v>43435</v>
      </c>
      <c r="B86" s="35">
        <v>14090</v>
      </c>
      <c r="C86" s="36">
        <v>-2.8899999999999999E-2</v>
      </c>
    </row>
    <row r="87" spans="1:3" x14ac:dyDescent="0.3">
      <c r="A87" s="34">
        <v>43405</v>
      </c>
      <c r="B87" s="35">
        <v>14510</v>
      </c>
      <c r="C87" s="36">
        <v>5.1999999999999998E-3</v>
      </c>
    </row>
    <row r="88" spans="1:3" x14ac:dyDescent="0.3">
      <c r="A88" s="34">
        <v>43374</v>
      </c>
      <c r="B88" s="35">
        <v>14435</v>
      </c>
      <c r="C88" s="36">
        <v>-5.1900000000000002E-2</v>
      </c>
    </row>
    <row r="89" spans="1:3" x14ac:dyDescent="0.3">
      <c r="A89" s="34">
        <v>43344</v>
      </c>
      <c r="B89" s="35">
        <v>15225</v>
      </c>
      <c r="C89" s="36">
        <v>-3.39E-2</v>
      </c>
    </row>
    <row r="90" spans="1:3" x14ac:dyDescent="0.3">
      <c r="A90" s="34">
        <v>43313</v>
      </c>
      <c r="B90" s="35">
        <v>15760</v>
      </c>
      <c r="C90" s="36">
        <v>-2.93E-2</v>
      </c>
    </row>
    <row r="91" spans="1:3" x14ac:dyDescent="0.3">
      <c r="A91" s="34">
        <v>43282</v>
      </c>
      <c r="B91" s="35">
        <v>16235</v>
      </c>
      <c r="C91" s="36">
        <v>4.2999999999999997E-2</v>
      </c>
    </row>
    <row r="92" spans="1:3" x14ac:dyDescent="0.3">
      <c r="A92" s="34">
        <v>43252</v>
      </c>
      <c r="B92" s="35">
        <v>15565</v>
      </c>
      <c r="C92" s="36">
        <v>-0.10730000000000001</v>
      </c>
    </row>
    <row r="93" spans="1:3" x14ac:dyDescent="0.3">
      <c r="A93" s="34">
        <v>43221</v>
      </c>
      <c r="B93" s="35">
        <v>17435</v>
      </c>
      <c r="C93" s="36">
        <v>0.1749</v>
      </c>
    </row>
    <row r="94" spans="1:3" x14ac:dyDescent="0.3">
      <c r="A94" s="34">
        <v>43191</v>
      </c>
      <c r="B94" s="35">
        <v>14840</v>
      </c>
      <c r="C94" s="36">
        <v>2E-3</v>
      </c>
    </row>
    <row r="95" spans="1:3" x14ac:dyDescent="0.3">
      <c r="A95" s="34">
        <v>43160</v>
      </c>
      <c r="B95" s="35">
        <v>14810</v>
      </c>
      <c r="C95" s="36">
        <v>-8.9999999999999993E-3</v>
      </c>
    </row>
    <row r="96" spans="1:3" x14ac:dyDescent="0.3">
      <c r="A96" s="34">
        <v>43132</v>
      </c>
      <c r="B96" s="35">
        <v>14945</v>
      </c>
      <c r="C96" s="36">
        <v>-2E-3</v>
      </c>
    </row>
    <row r="97" spans="1:3" x14ac:dyDescent="0.3">
      <c r="A97" s="34">
        <v>43101</v>
      </c>
      <c r="B97" s="35">
        <v>14975</v>
      </c>
      <c r="C97" s="36">
        <v>1.84E-2</v>
      </c>
    </row>
    <row r="98" spans="1:3" x14ac:dyDescent="0.3">
      <c r="A98" s="34">
        <v>43070</v>
      </c>
      <c r="B98" s="35">
        <v>14705</v>
      </c>
      <c r="C98" s="36">
        <v>-2.4500000000000001E-2</v>
      </c>
    </row>
    <row r="99" spans="1:3" x14ac:dyDescent="0.3">
      <c r="A99" s="34">
        <v>43040</v>
      </c>
      <c r="B99" s="35">
        <v>15075</v>
      </c>
      <c r="C99" s="36">
        <v>2.06E-2</v>
      </c>
    </row>
    <row r="100" spans="1:3" x14ac:dyDescent="0.3">
      <c r="A100" s="34">
        <v>43009</v>
      </c>
      <c r="B100" s="35">
        <v>14770</v>
      </c>
      <c r="C100" s="36">
        <v>-1.6E-2</v>
      </c>
    </row>
    <row r="101" spans="1:3" x14ac:dyDescent="0.3">
      <c r="A101" s="34">
        <v>42979</v>
      </c>
      <c r="B101" s="35">
        <v>15010</v>
      </c>
      <c r="C101" s="36">
        <v>-1.7299999999999999E-2</v>
      </c>
    </row>
    <row r="102" spans="1:3" x14ac:dyDescent="0.3">
      <c r="A102" s="34">
        <v>42948</v>
      </c>
      <c r="B102" s="35">
        <v>15275</v>
      </c>
      <c r="C102" s="36">
        <v>4.2700000000000002E-2</v>
      </c>
    </row>
    <row r="103" spans="1:3" x14ac:dyDescent="0.3">
      <c r="A103" s="34">
        <v>42917</v>
      </c>
      <c r="B103" s="35">
        <v>14650</v>
      </c>
      <c r="C103" s="36">
        <v>-1E-3</v>
      </c>
    </row>
    <row r="104" spans="1:3" x14ac:dyDescent="0.3">
      <c r="A104" s="34">
        <v>42887</v>
      </c>
      <c r="B104" s="35">
        <v>14665</v>
      </c>
      <c r="C104" s="36">
        <v>-3.8699999999999998E-2</v>
      </c>
    </row>
    <row r="105" spans="1:3" x14ac:dyDescent="0.3">
      <c r="A105" s="34">
        <v>42856</v>
      </c>
      <c r="B105" s="35">
        <v>15255</v>
      </c>
      <c r="C105" s="36">
        <v>-1.2E-2</v>
      </c>
    </row>
    <row r="106" spans="1:3" x14ac:dyDescent="0.3">
      <c r="A106" s="34">
        <v>42826</v>
      </c>
      <c r="B106" s="35">
        <v>15440</v>
      </c>
      <c r="C106" s="36">
        <v>3.7600000000000001E-2</v>
      </c>
    </row>
    <row r="107" spans="1:3" x14ac:dyDescent="0.3">
      <c r="A107" s="34">
        <v>42795</v>
      </c>
      <c r="B107" s="35">
        <v>14880</v>
      </c>
      <c r="C107" s="36">
        <v>-5.67E-2</v>
      </c>
    </row>
    <row r="108" spans="1:3" x14ac:dyDescent="0.3">
      <c r="A108" s="34">
        <v>42767</v>
      </c>
      <c r="B108" s="35">
        <v>15775</v>
      </c>
      <c r="C108" s="36">
        <v>1.38E-2</v>
      </c>
    </row>
    <row r="109" spans="1:3" x14ac:dyDescent="0.3">
      <c r="A109" s="34">
        <v>42736</v>
      </c>
      <c r="B109" s="35">
        <v>15560</v>
      </c>
      <c r="C109" s="36">
        <v>4.7800000000000002E-2</v>
      </c>
    </row>
    <row r="110" spans="1:3" x14ac:dyDescent="0.3">
      <c r="A110" s="34">
        <v>42705</v>
      </c>
      <c r="B110" s="35">
        <v>14850</v>
      </c>
      <c r="C110" s="36">
        <v>-5.6800000000000003E-2</v>
      </c>
    </row>
    <row r="111" spans="1:3" x14ac:dyDescent="0.3">
      <c r="A111" s="34">
        <v>42675</v>
      </c>
      <c r="B111" s="35">
        <v>15745</v>
      </c>
      <c r="C111" s="36">
        <v>3.4200000000000001E-2</v>
      </c>
    </row>
    <row r="112" spans="1:3" x14ac:dyDescent="0.3">
      <c r="A112" s="34">
        <v>42644</v>
      </c>
      <c r="B112" s="35">
        <v>15225</v>
      </c>
      <c r="C112" s="36">
        <v>1.4E-2</v>
      </c>
    </row>
    <row r="113" spans="1:3" x14ac:dyDescent="0.3">
      <c r="A113" s="34">
        <v>42614</v>
      </c>
      <c r="B113" s="35">
        <v>15015</v>
      </c>
      <c r="C113" s="36">
        <v>0.1414</v>
      </c>
    </row>
    <row r="114" spans="1:3" x14ac:dyDescent="0.3">
      <c r="A114" s="34">
        <v>42583</v>
      </c>
      <c r="B114" s="35">
        <v>13155</v>
      </c>
      <c r="C114" s="36">
        <v>-9.06E-2</v>
      </c>
    </row>
    <row r="115" spans="1:3" x14ac:dyDescent="0.3">
      <c r="A115" s="34">
        <v>42552</v>
      </c>
      <c r="B115" s="35">
        <v>14465</v>
      </c>
      <c r="C115" s="36">
        <v>1.47E-2</v>
      </c>
    </row>
    <row r="116" spans="1:3" x14ac:dyDescent="0.3">
      <c r="A116" s="34">
        <v>42522</v>
      </c>
      <c r="B116" s="35">
        <v>14255</v>
      </c>
      <c r="C116" s="36">
        <v>9.7799999999999998E-2</v>
      </c>
    </row>
    <row r="117" spans="1:3" x14ac:dyDescent="0.3">
      <c r="A117" s="34">
        <v>42491</v>
      </c>
      <c r="B117" s="35">
        <v>12985</v>
      </c>
      <c r="C117" s="36">
        <v>7.3599999999999999E-2</v>
      </c>
    </row>
    <row r="118" spans="1:3" x14ac:dyDescent="0.3">
      <c r="A118" s="34">
        <v>42461</v>
      </c>
      <c r="B118" s="35">
        <v>12095</v>
      </c>
      <c r="C118" s="36">
        <v>0.1081</v>
      </c>
    </row>
    <row r="119" spans="1:3" x14ac:dyDescent="0.3">
      <c r="A119" s="34">
        <v>42430</v>
      </c>
      <c r="B119" s="35">
        <v>10915</v>
      </c>
      <c r="C119" s="36">
        <v>3.7000000000000002E-3</v>
      </c>
    </row>
    <row r="120" spans="1:3" x14ac:dyDescent="0.3">
      <c r="A120" s="34">
        <v>42401</v>
      </c>
      <c r="B120" s="35">
        <v>10875</v>
      </c>
      <c r="C120" s="36">
        <v>-6.1699999999999998E-2</v>
      </c>
    </row>
    <row r="121" spans="1:3" x14ac:dyDescent="0.3">
      <c r="A121" s="34">
        <v>42370</v>
      </c>
      <c r="B121" s="35">
        <v>11590</v>
      </c>
      <c r="C121" s="36">
        <v>-2.6499999999999999E-2</v>
      </c>
    </row>
    <row r="122" spans="1:3" x14ac:dyDescent="0.3">
      <c r="A122" s="34">
        <v>42339</v>
      </c>
      <c r="B122" s="35">
        <v>11905</v>
      </c>
      <c r="C122" s="36">
        <v>-2.3400000000000001E-2</v>
      </c>
    </row>
    <row r="123" spans="1:3" x14ac:dyDescent="0.3">
      <c r="A123" s="34">
        <v>42309</v>
      </c>
      <c r="B123" s="35">
        <v>12190</v>
      </c>
      <c r="C123" s="36">
        <v>1.1999999999999999E-3</v>
      </c>
    </row>
    <row r="124" spans="1:3" x14ac:dyDescent="0.3">
      <c r="A124" s="34">
        <v>42278</v>
      </c>
      <c r="B124" s="35">
        <v>12175</v>
      </c>
      <c r="C124" s="36">
        <v>-2.2100000000000002E-2</v>
      </c>
    </row>
    <row r="125" spans="1:3" x14ac:dyDescent="0.3">
      <c r="A125" s="34">
        <v>42248</v>
      </c>
      <c r="B125" s="35">
        <v>12450</v>
      </c>
      <c r="C125" s="36">
        <v>3.32E-2</v>
      </c>
    </row>
    <row r="126" spans="1:3" x14ac:dyDescent="0.3">
      <c r="A126" s="34">
        <v>42217</v>
      </c>
      <c r="B126" s="35">
        <v>12050</v>
      </c>
      <c r="C126" s="36">
        <v>-3.95E-2</v>
      </c>
    </row>
    <row r="127" spans="1:3" x14ac:dyDescent="0.3">
      <c r="A127" s="34">
        <v>42186</v>
      </c>
      <c r="B127" s="35">
        <v>12545</v>
      </c>
      <c r="C127" s="36">
        <v>8.3999999999999995E-3</v>
      </c>
    </row>
    <row r="128" spans="1:3" x14ac:dyDescent="0.3">
      <c r="A128" s="34">
        <v>42156</v>
      </c>
      <c r="B128" s="35">
        <v>12440</v>
      </c>
      <c r="C128" s="36">
        <v>-3.3000000000000002E-2</v>
      </c>
    </row>
    <row r="129" spans="1:3" x14ac:dyDescent="0.3">
      <c r="A129" s="34">
        <v>42125</v>
      </c>
      <c r="B129" s="35">
        <v>12865</v>
      </c>
      <c r="C129" s="36">
        <v>-9.5999999999999992E-3</v>
      </c>
    </row>
    <row r="130" spans="1:3" x14ac:dyDescent="0.3">
      <c r="A130" s="34">
        <v>42095</v>
      </c>
      <c r="B130" s="35">
        <v>12990</v>
      </c>
      <c r="C130" s="36">
        <v>9.7000000000000003E-3</v>
      </c>
    </row>
    <row r="131" spans="1:3" x14ac:dyDescent="0.3">
      <c r="A131" s="34">
        <v>42064</v>
      </c>
      <c r="B131" s="35">
        <v>12865</v>
      </c>
      <c r="C131" s="36">
        <v>-2.5399999999999999E-2</v>
      </c>
    </row>
    <row r="132" spans="1:3" x14ac:dyDescent="0.3">
      <c r="A132" s="34">
        <v>42036</v>
      </c>
      <c r="B132" s="35">
        <v>13200</v>
      </c>
      <c r="C132" s="36">
        <v>1.89E-2</v>
      </c>
    </row>
    <row r="133" spans="1:3" x14ac:dyDescent="0.3">
      <c r="A133" s="34">
        <v>42005</v>
      </c>
      <c r="B133" s="35">
        <v>12955</v>
      </c>
      <c r="C133" s="36">
        <v>-1.7399999999999999E-2</v>
      </c>
    </row>
    <row r="134" spans="1:3" x14ac:dyDescent="0.3">
      <c r="A134" s="34">
        <v>41974</v>
      </c>
      <c r="B134" s="35">
        <v>13185</v>
      </c>
      <c r="C134" s="36">
        <v>3.8E-3</v>
      </c>
    </row>
    <row r="135" spans="1:3" x14ac:dyDescent="0.3">
      <c r="A135" s="34">
        <v>41944</v>
      </c>
      <c r="B135" s="35">
        <v>13135</v>
      </c>
      <c r="C135" s="36">
        <v>-9.4799999999999995E-2</v>
      </c>
    </row>
    <row r="136" spans="1:3" x14ac:dyDescent="0.3">
      <c r="A136" s="34">
        <v>41913</v>
      </c>
      <c r="B136" s="35">
        <v>14510</v>
      </c>
      <c r="C136" s="36">
        <v>1.47E-2</v>
      </c>
    </row>
    <row r="137" spans="1:3" x14ac:dyDescent="0.3">
      <c r="A137" s="34">
        <v>41883</v>
      </c>
      <c r="B137" s="35">
        <v>14300</v>
      </c>
      <c r="C137" s="36">
        <v>-0.17530000000000001</v>
      </c>
    </row>
    <row r="138" spans="1:3" x14ac:dyDescent="0.3">
      <c r="A138" s="34">
        <v>41852</v>
      </c>
      <c r="B138" s="35">
        <v>17340</v>
      </c>
      <c r="C138" s="36">
        <v>1.23E-2</v>
      </c>
    </row>
    <row r="139" spans="1:3" x14ac:dyDescent="0.3">
      <c r="A139" s="34">
        <v>41821</v>
      </c>
      <c r="B139" s="35">
        <v>17130</v>
      </c>
      <c r="C139" s="36">
        <v>3.0099999999999998E-2</v>
      </c>
    </row>
    <row r="140" spans="1:3" x14ac:dyDescent="0.3">
      <c r="A140" s="34">
        <v>41791</v>
      </c>
      <c r="B140" s="35">
        <v>16630</v>
      </c>
      <c r="C140" s="36">
        <v>-2.35E-2</v>
      </c>
    </row>
    <row r="141" spans="1:3" x14ac:dyDescent="0.3">
      <c r="A141" s="34">
        <v>41760</v>
      </c>
      <c r="B141" s="35">
        <v>17030</v>
      </c>
      <c r="C141" s="36">
        <v>-2.9999999999999997E-4</v>
      </c>
    </row>
    <row r="142" spans="1:3" x14ac:dyDescent="0.3">
      <c r="A142" s="34">
        <v>41730</v>
      </c>
      <c r="B142" s="35">
        <v>17035</v>
      </c>
      <c r="C142" s="36">
        <v>-7.2900000000000006E-2</v>
      </c>
    </row>
    <row r="143" spans="1:3" x14ac:dyDescent="0.3">
      <c r="A143" s="34">
        <v>41699</v>
      </c>
      <c r="B143" s="35">
        <v>18375</v>
      </c>
      <c r="C143" s="36">
        <v>-5.7700000000000001E-2</v>
      </c>
    </row>
    <row r="144" spans="1:3" x14ac:dyDescent="0.3">
      <c r="A144" s="34">
        <v>41671</v>
      </c>
      <c r="B144" s="35">
        <v>19500</v>
      </c>
      <c r="C144" s="36">
        <v>-3.3E-3</v>
      </c>
    </row>
    <row r="145" spans="1:3" x14ac:dyDescent="0.3">
      <c r="A145" s="34">
        <v>41640</v>
      </c>
      <c r="B145" s="35">
        <v>19565</v>
      </c>
      <c r="C145" s="36">
        <v>3.85E-2</v>
      </c>
    </row>
    <row r="146" spans="1:3" x14ac:dyDescent="0.3">
      <c r="A146" s="34">
        <v>41609</v>
      </c>
      <c r="B146" s="35">
        <v>18840</v>
      </c>
      <c r="C146" s="36">
        <v>-4.4900000000000002E-2</v>
      </c>
    </row>
    <row r="147" spans="1:3" x14ac:dyDescent="0.3">
      <c r="A147" s="34">
        <v>41579</v>
      </c>
      <c r="B147" s="35">
        <v>19725</v>
      </c>
      <c r="C147" s="36">
        <v>-1.4E-2</v>
      </c>
    </row>
    <row r="148" spans="1:3" x14ac:dyDescent="0.3">
      <c r="A148" s="34">
        <v>41548</v>
      </c>
      <c r="B148" s="35">
        <v>20005</v>
      </c>
      <c r="C148" s="36">
        <v>-1.6E-2</v>
      </c>
    </row>
    <row r="149" spans="1:3" x14ac:dyDescent="0.3">
      <c r="A149" s="34">
        <v>41518</v>
      </c>
      <c r="B149" s="35">
        <v>20330</v>
      </c>
      <c r="C149" s="36">
        <v>-3.3700000000000001E-2</v>
      </c>
    </row>
    <row r="150" spans="1:3" x14ac:dyDescent="0.3">
      <c r="A150" s="34">
        <v>41487</v>
      </c>
      <c r="B150" s="35">
        <v>21040</v>
      </c>
      <c r="C150" s="36">
        <v>6.8999999999999999E-3</v>
      </c>
    </row>
    <row r="151" spans="1:3" x14ac:dyDescent="0.3">
      <c r="A151" s="34">
        <v>41456</v>
      </c>
      <c r="B151" s="35">
        <v>20895</v>
      </c>
      <c r="C151" s="36">
        <v>4.3400000000000001E-2</v>
      </c>
    </row>
    <row r="152" spans="1:3" x14ac:dyDescent="0.3">
      <c r="A152" s="34">
        <v>41426</v>
      </c>
      <c r="B152" s="35">
        <v>20025</v>
      </c>
      <c r="C152" s="36">
        <v>1.1900000000000001E-2</v>
      </c>
    </row>
    <row r="153" spans="1:3" x14ac:dyDescent="0.3">
      <c r="A153" s="34">
        <v>41395</v>
      </c>
      <c r="B153" s="35">
        <v>19790</v>
      </c>
      <c r="C153" s="36">
        <v>-4.2599999999999999E-2</v>
      </c>
    </row>
    <row r="154" spans="1:3" x14ac:dyDescent="0.3">
      <c r="A154" s="34">
        <v>41365</v>
      </c>
      <c r="B154" s="35">
        <v>20670</v>
      </c>
      <c r="C154" s="36">
        <v>1.67E-2</v>
      </c>
    </row>
    <row r="155" spans="1:3" x14ac:dyDescent="0.3">
      <c r="A155" s="34">
        <v>41334</v>
      </c>
      <c r="B155" s="35">
        <v>20330</v>
      </c>
      <c r="C155" s="36">
        <v>6.0199999999999997E-2</v>
      </c>
    </row>
    <row r="156" spans="1:3" x14ac:dyDescent="0.3">
      <c r="A156" s="34">
        <v>41306</v>
      </c>
      <c r="B156" s="35">
        <v>19175</v>
      </c>
      <c r="C156" s="36">
        <v>-5.3999999999999999E-2</v>
      </c>
    </row>
    <row r="157" spans="1:3" x14ac:dyDescent="0.3">
      <c r="A157" s="34">
        <v>41275</v>
      </c>
      <c r="B157" s="35">
        <v>20270</v>
      </c>
      <c r="C157" s="36">
        <v>1.4800000000000001E-2</v>
      </c>
    </row>
    <row r="158" spans="1:3" x14ac:dyDescent="0.3">
      <c r="A158" s="34">
        <v>41244</v>
      </c>
      <c r="B158" s="35">
        <v>19975</v>
      </c>
      <c r="C158" s="36">
        <v>6.3E-3</v>
      </c>
    </row>
    <row r="159" spans="1:3" x14ac:dyDescent="0.3">
      <c r="A159" s="34">
        <v>41214</v>
      </c>
      <c r="B159" s="35">
        <v>19850</v>
      </c>
      <c r="C159" s="36">
        <v>3.5999999999999997E-2</v>
      </c>
    </row>
    <row r="160" spans="1:3" x14ac:dyDescent="0.3">
      <c r="A160" s="34">
        <v>41183</v>
      </c>
      <c r="B160" s="35">
        <v>19160</v>
      </c>
      <c r="C160" s="36">
        <v>1.03E-2</v>
      </c>
    </row>
    <row r="161" spans="1:3" x14ac:dyDescent="0.3">
      <c r="A161" s="34">
        <v>41153</v>
      </c>
      <c r="B161" s="35">
        <v>18965</v>
      </c>
      <c r="C161" s="36">
        <v>1.34E-2</v>
      </c>
    </row>
    <row r="162" spans="1:3" x14ac:dyDescent="0.3">
      <c r="A162" s="34">
        <v>41122</v>
      </c>
      <c r="B162" s="35">
        <v>18715</v>
      </c>
      <c r="C162" s="36">
        <v>2.1299999999999999E-2</v>
      </c>
    </row>
    <row r="163" spans="1:3" x14ac:dyDescent="0.3">
      <c r="A163" s="34">
        <v>41091</v>
      </c>
      <c r="B163" s="35">
        <v>18325</v>
      </c>
      <c r="C163" s="36">
        <v>1.55E-2</v>
      </c>
    </row>
    <row r="164" spans="1:3" x14ac:dyDescent="0.3">
      <c r="A164" s="34">
        <v>41061</v>
      </c>
      <c r="B164" s="35">
        <v>18045</v>
      </c>
      <c r="C164" s="36">
        <v>-1.12E-2</v>
      </c>
    </row>
    <row r="165" spans="1:3" x14ac:dyDescent="0.3">
      <c r="A165" s="34">
        <v>41030</v>
      </c>
      <c r="B165" s="35">
        <v>18250</v>
      </c>
      <c r="C165" s="36">
        <v>-0.1041</v>
      </c>
    </row>
    <row r="166" spans="1:3" x14ac:dyDescent="0.3">
      <c r="A166" s="34">
        <v>41000</v>
      </c>
      <c r="B166" s="35">
        <v>20370</v>
      </c>
      <c r="C166" s="36">
        <v>-8.3000000000000001E-3</v>
      </c>
    </row>
    <row r="167" spans="1:3" x14ac:dyDescent="0.3">
      <c r="A167" s="34">
        <v>40969</v>
      </c>
      <c r="B167" s="35">
        <v>20540</v>
      </c>
      <c r="C167" s="36">
        <v>2.0000000000000001E-4</v>
      </c>
    </row>
    <row r="168" spans="1:3" x14ac:dyDescent="0.3">
      <c r="A168" s="34">
        <v>40940</v>
      </c>
      <c r="B168" s="35">
        <v>20535</v>
      </c>
      <c r="C168" s="36">
        <v>-1.8200000000000001E-2</v>
      </c>
    </row>
    <row r="169" spans="1:3" x14ac:dyDescent="0.3">
      <c r="A169" s="34">
        <v>40909</v>
      </c>
      <c r="B169" s="35">
        <v>20915</v>
      </c>
      <c r="C169" s="36">
        <v>5.4699999999999999E-2</v>
      </c>
    </row>
    <row r="170" spans="1:3" x14ac:dyDescent="0.3">
      <c r="A170" s="34">
        <v>40878</v>
      </c>
      <c r="B170" s="35">
        <v>19830</v>
      </c>
      <c r="C170" s="36">
        <v>-2.12E-2</v>
      </c>
    </row>
    <row r="171" spans="1:3" x14ac:dyDescent="0.3">
      <c r="A171" s="34">
        <v>40848</v>
      </c>
      <c r="B171" s="35">
        <v>20260</v>
      </c>
      <c r="C171" s="36">
        <v>4.0800000000000003E-2</v>
      </c>
    </row>
    <row r="172" spans="1:3" x14ac:dyDescent="0.3">
      <c r="A172" s="34">
        <v>40817</v>
      </c>
      <c r="B172" s="35">
        <v>19465</v>
      </c>
      <c r="C172" s="36">
        <v>-1.4200000000000001E-2</v>
      </c>
    </row>
    <row r="173" spans="1:3" x14ac:dyDescent="0.3">
      <c r="A173" s="34">
        <v>40787</v>
      </c>
      <c r="B173" s="35">
        <v>19745</v>
      </c>
      <c r="C173" s="36">
        <v>-1.84E-2</v>
      </c>
    </row>
    <row r="174" spans="1:3" x14ac:dyDescent="0.3">
      <c r="A174" s="34">
        <v>40756</v>
      </c>
      <c r="B174" s="35">
        <v>20115</v>
      </c>
      <c r="C174" s="36">
        <v>-4.0099999999999997E-2</v>
      </c>
    </row>
    <row r="175" spans="1:3" x14ac:dyDescent="0.3">
      <c r="A175" s="34">
        <v>40725</v>
      </c>
      <c r="B175" s="35">
        <v>20955</v>
      </c>
      <c r="C175" s="36">
        <v>-0.1111</v>
      </c>
    </row>
    <row r="176" spans="1:3" x14ac:dyDescent="0.3">
      <c r="A176" s="34">
        <v>40695</v>
      </c>
      <c r="B176" s="35">
        <v>23575</v>
      </c>
      <c r="C176" s="36">
        <v>-9.1200000000000003E-2</v>
      </c>
    </row>
    <row r="177" spans="1:3" x14ac:dyDescent="0.3">
      <c r="A177" s="34">
        <v>40664</v>
      </c>
      <c r="B177" s="35">
        <v>25940</v>
      </c>
      <c r="C177" s="36">
        <v>-1.3299999999999999E-2</v>
      </c>
    </row>
    <row r="178" spans="1:3" x14ac:dyDescent="0.3">
      <c r="A178" s="34">
        <v>40634</v>
      </c>
      <c r="B178" s="35">
        <v>26290</v>
      </c>
      <c r="C178" s="36">
        <v>-9.11E-2</v>
      </c>
    </row>
    <row r="179" spans="1:3" x14ac:dyDescent="0.3">
      <c r="A179" s="34">
        <v>40603</v>
      </c>
      <c r="B179" s="35">
        <v>28925</v>
      </c>
      <c r="C179" s="36">
        <v>-8.8499999999999995E-2</v>
      </c>
    </row>
    <row r="180" spans="1:3" x14ac:dyDescent="0.3">
      <c r="A180" s="34">
        <v>40575</v>
      </c>
      <c r="B180" s="35">
        <v>31735</v>
      </c>
      <c r="C180" s="36">
        <v>3.2000000000000002E-3</v>
      </c>
    </row>
    <row r="181" spans="1:3" x14ac:dyDescent="0.3">
      <c r="A181" s="34">
        <v>40544</v>
      </c>
      <c r="B181" s="35">
        <v>31635</v>
      </c>
      <c r="C181" s="36">
        <v>0.1038</v>
      </c>
    </row>
    <row r="182" spans="1:3" x14ac:dyDescent="0.3">
      <c r="A182" s="34">
        <v>40513</v>
      </c>
      <c r="B182" s="35">
        <v>28660</v>
      </c>
      <c r="C182" s="36">
        <v>0.1012</v>
      </c>
    </row>
    <row r="183" spans="1:3" x14ac:dyDescent="0.3">
      <c r="A183" s="34">
        <v>40483</v>
      </c>
      <c r="B183" s="35">
        <v>26025</v>
      </c>
      <c r="C183" s="36">
        <v>-0.1439</v>
      </c>
    </row>
    <row r="184" spans="1:3" x14ac:dyDescent="0.3">
      <c r="A184" s="34">
        <v>40452</v>
      </c>
      <c r="B184" s="35">
        <v>30400</v>
      </c>
      <c r="C184" s="36">
        <v>0.38019999999999998</v>
      </c>
    </row>
    <row r="185" spans="1:3" x14ac:dyDescent="0.3">
      <c r="A185" s="34">
        <v>40422</v>
      </c>
      <c r="B185" s="35">
        <v>22025</v>
      </c>
      <c r="C185" s="36">
        <v>0.18260000000000001</v>
      </c>
    </row>
    <row r="186" spans="1:3" x14ac:dyDescent="0.3">
      <c r="A186" s="34">
        <v>40391</v>
      </c>
      <c r="B186" s="35">
        <v>18625</v>
      </c>
      <c r="C186" s="36">
        <v>2.9999999999999997E-4</v>
      </c>
    </row>
    <row r="187" spans="1:3" x14ac:dyDescent="0.3">
      <c r="A187" s="34">
        <v>40360</v>
      </c>
      <c r="B187" s="35">
        <v>18620</v>
      </c>
      <c r="C187" s="36">
        <v>-9.2999999999999992E-3</v>
      </c>
    </row>
    <row r="188" spans="1:3" x14ac:dyDescent="0.3">
      <c r="A188" s="34">
        <v>40330</v>
      </c>
      <c r="B188" s="35">
        <v>18795</v>
      </c>
      <c r="C188" s="36">
        <v>5.5599999999999997E-2</v>
      </c>
    </row>
    <row r="189" spans="1:3" x14ac:dyDescent="0.3">
      <c r="A189" s="34">
        <v>40299</v>
      </c>
      <c r="B189" s="35">
        <v>17805</v>
      </c>
      <c r="C189" s="36">
        <v>6.4600000000000005E-2</v>
      </c>
    </row>
    <row r="190" spans="1:3" x14ac:dyDescent="0.3">
      <c r="A190" s="34">
        <v>40269</v>
      </c>
      <c r="B190" s="35">
        <v>16725</v>
      </c>
      <c r="C190" s="36">
        <v>1.67E-2</v>
      </c>
    </row>
    <row r="191" spans="1:3" x14ac:dyDescent="0.3">
      <c r="A191" s="34">
        <v>40238</v>
      </c>
      <c r="B191" s="35">
        <v>16450</v>
      </c>
      <c r="C191" s="36">
        <v>4.02E-2</v>
      </c>
    </row>
    <row r="192" spans="1:3" x14ac:dyDescent="0.3">
      <c r="A192" s="34">
        <v>40210</v>
      </c>
      <c r="B192" s="35">
        <v>15815</v>
      </c>
      <c r="C192" s="36">
        <v>4.5600000000000002E-2</v>
      </c>
    </row>
    <row r="193" spans="1:3" x14ac:dyDescent="0.3">
      <c r="A193" s="34">
        <v>40179</v>
      </c>
      <c r="B193" s="35">
        <v>15125</v>
      </c>
      <c r="C193" s="36">
        <v>-0.06</v>
      </c>
    </row>
    <row r="194" spans="1:3" x14ac:dyDescent="0.3">
      <c r="A194" s="34">
        <v>40148</v>
      </c>
      <c r="B194" s="35">
        <v>16090</v>
      </c>
      <c r="C194" s="36">
        <v>4.7899999999999998E-2</v>
      </c>
    </row>
    <row r="195" spans="1:3" x14ac:dyDescent="0.3">
      <c r="A195" s="34">
        <v>40118</v>
      </c>
      <c r="B195" s="35">
        <v>15355</v>
      </c>
      <c r="C195" s="36">
        <v>7.6799999999999993E-2</v>
      </c>
    </row>
    <row r="196" spans="1:3" x14ac:dyDescent="0.3">
      <c r="A196" s="34">
        <v>40087</v>
      </c>
      <c r="B196" s="35">
        <v>14260</v>
      </c>
      <c r="C196" s="36">
        <v>6.1400000000000003E-2</v>
      </c>
    </row>
    <row r="197" spans="1:3" x14ac:dyDescent="0.3">
      <c r="A197" s="34">
        <v>40057</v>
      </c>
      <c r="B197" s="35">
        <v>13435</v>
      </c>
      <c r="C197" s="36">
        <v>5.7500000000000002E-2</v>
      </c>
    </row>
    <row r="198" spans="1:3" x14ac:dyDescent="0.3">
      <c r="A198" s="34">
        <v>40026</v>
      </c>
      <c r="B198" s="35">
        <v>12705</v>
      </c>
      <c r="C198" s="36">
        <v>-8.2699999999999996E-2</v>
      </c>
    </row>
    <row r="199" spans="1:3" x14ac:dyDescent="0.3">
      <c r="A199" s="34">
        <v>39995</v>
      </c>
      <c r="B199" s="35">
        <v>13850</v>
      </c>
      <c r="C199" s="36">
        <v>5.5199999999999999E-2</v>
      </c>
    </row>
    <row r="200" spans="1:3" x14ac:dyDescent="0.3">
      <c r="A200" s="34">
        <v>39965</v>
      </c>
      <c r="B200" s="35">
        <v>13125</v>
      </c>
      <c r="C200" s="36">
        <v>2.8199999999999999E-2</v>
      </c>
    </row>
    <row r="201" spans="1:3" x14ac:dyDescent="0.3">
      <c r="A201" s="34">
        <v>39934</v>
      </c>
      <c r="B201" s="35">
        <v>12765</v>
      </c>
      <c r="C201" s="36">
        <v>-8.2000000000000007E-3</v>
      </c>
    </row>
    <row r="202" spans="1:3" x14ac:dyDescent="0.3">
      <c r="A202" s="34">
        <v>39904</v>
      </c>
      <c r="B202" s="35">
        <v>12870</v>
      </c>
      <c r="C202" s="36">
        <v>4.8000000000000001E-2</v>
      </c>
    </row>
    <row r="203" spans="1:3" x14ac:dyDescent="0.3">
      <c r="A203" s="34">
        <v>39873</v>
      </c>
      <c r="B203" s="35">
        <v>12280</v>
      </c>
      <c r="C203" s="36">
        <v>4.4699999999999997E-2</v>
      </c>
    </row>
    <row r="204" spans="1:3" x14ac:dyDescent="0.3">
      <c r="A204" s="34">
        <v>39845</v>
      </c>
      <c r="B204" s="35">
        <v>11755</v>
      </c>
      <c r="C204" s="36">
        <v>1.77E-2</v>
      </c>
    </row>
    <row r="205" spans="1:3" x14ac:dyDescent="0.3">
      <c r="A205" s="34">
        <v>39814</v>
      </c>
      <c r="B205" s="35">
        <v>11550</v>
      </c>
      <c r="C205" s="36">
        <v>-3.5000000000000001E-3</v>
      </c>
    </row>
    <row r="206" spans="1:3" x14ac:dyDescent="0.3">
      <c r="A206" s="34">
        <v>39783</v>
      </c>
      <c r="B206" s="35">
        <v>11590</v>
      </c>
      <c r="C206" s="36">
        <v>3.0200000000000001E-2</v>
      </c>
    </row>
    <row r="207" spans="1:3" x14ac:dyDescent="0.3">
      <c r="A207" s="34">
        <v>39753</v>
      </c>
      <c r="B207" s="35">
        <v>11250</v>
      </c>
      <c r="C207" s="36">
        <v>-6.7900000000000002E-2</v>
      </c>
    </row>
    <row r="208" spans="1:3" x14ac:dyDescent="0.3">
      <c r="A208" s="34">
        <v>39722</v>
      </c>
      <c r="B208" s="35">
        <v>12070</v>
      </c>
      <c r="C208" s="36">
        <v>-6.9699999999999998E-2</v>
      </c>
    </row>
    <row r="209" spans="1:3" x14ac:dyDescent="0.3">
      <c r="A209" s="34">
        <v>39692</v>
      </c>
      <c r="B209" s="35">
        <v>12975</v>
      </c>
      <c r="C209" s="36">
        <v>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Fibre Master</vt:lpstr>
      <vt:lpstr>Supima</vt:lpstr>
      <vt:lpstr>Currency Master</vt:lpstr>
      <vt:lpstr>China Cotton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2026-07-07T04:56:39Z</dcterms:created>
  <dcterms:modified xsi:type="dcterms:W3CDTF">2026-08-11T13:27:39Z</dcterms:modified>
</cp:coreProperties>
</file>