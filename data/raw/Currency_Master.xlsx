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LBL\ABLBL FIBRE INTELLIGENCE\Excel Files\"/>
    </mc:Choice>
  </mc:AlternateContent>
  <xr:revisionPtr revIDLastSave="0" documentId="13_ncr:1_{F2DF4E28-9075-44F4-9D48-7AAD99C55E40}" xr6:coauthVersionLast="47" xr6:coauthVersionMax="47" xr10:uidLastSave="{00000000-0000-0000-0000-000000000000}"/>
  <bookViews>
    <workbookView xWindow="-108" yWindow="-108" windowWidth="23256" windowHeight="12456" tabRatio="676" xr2:uid="{32D5AE5F-448C-4A67-8131-92E4BEF2451F}"/>
  </bookViews>
  <sheets>
    <sheet name="All Currenicies" sheetId="1" r:id="rId1"/>
    <sheet name="Average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2" l="1"/>
  <c r="L9" i="12"/>
  <c r="K9" i="12"/>
  <c r="M8" i="12"/>
  <c r="L8" i="12"/>
  <c r="K8" i="12"/>
  <c r="M7" i="12"/>
  <c r="L7" i="12"/>
  <c r="K7" i="12"/>
  <c r="M6" i="12"/>
  <c r="M5" i="12"/>
  <c r="M4" i="12"/>
  <c r="M3" i="12"/>
  <c r="M2" i="12"/>
  <c r="L6" i="12"/>
  <c r="L5" i="12"/>
  <c r="L4" i="12"/>
  <c r="K4" i="12"/>
  <c r="L3" i="12"/>
  <c r="K3" i="12"/>
  <c r="C3" i="12"/>
  <c r="C19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G26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L2" i="12" s="1"/>
  <c r="E21" i="12"/>
  <c r="C21" i="12"/>
  <c r="C20" i="12"/>
  <c r="C16" i="12"/>
  <c r="C15" i="12"/>
  <c r="C14" i="12"/>
  <c r="C13" i="12"/>
  <c r="C12" i="12"/>
  <c r="C11" i="12"/>
  <c r="C10" i="12"/>
  <c r="C9" i="12"/>
  <c r="C8" i="12"/>
  <c r="C7" i="12"/>
  <c r="C24" i="12" l="1"/>
  <c r="C2" i="12"/>
  <c r="K2" i="12" s="1"/>
  <c r="C5" i="12"/>
  <c r="C6" i="12"/>
  <c r="C23" i="12"/>
  <c r="C4" i="12"/>
  <c r="C22" i="12"/>
  <c r="C26" i="12"/>
  <c r="C25" i="12"/>
  <c r="C17" i="12"/>
  <c r="C18" i="12"/>
  <c r="W39" i="1"/>
</calcChain>
</file>

<file path=xl/sharedStrings.xml><?xml version="1.0" encoding="utf-8"?>
<sst xmlns="http://schemas.openxmlformats.org/spreadsheetml/2006/main" count="46" uniqueCount="43">
  <si>
    <t xml:space="preserve"> USD/INR</t>
  </si>
  <si>
    <t xml:space="preserve"> USD/IDR</t>
  </si>
  <si>
    <t>USD/VND</t>
  </si>
  <si>
    <t>Month-Year</t>
  </si>
  <si>
    <t>USD/CNY</t>
  </si>
  <si>
    <t>USD/HKD</t>
  </si>
  <si>
    <t>USD/BDT</t>
  </si>
  <si>
    <t>USD/THB</t>
  </si>
  <si>
    <t>USD/LKR</t>
  </si>
  <si>
    <t>USD/MYR</t>
  </si>
  <si>
    <t>USD/EUR</t>
  </si>
  <si>
    <t>USD/GBP</t>
  </si>
  <si>
    <t>USD/TRY</t>
  </si>
  <si>
    <t>EUR/INR</t>
  </si>
  <si>
    <t>GBP/INR</t>
  </si>
  <si>
    <t>AUD/INR</t>
  </si>
  <si>
    <t>USD/SGD</t>
  </si>
  <si>
    <t>USD/AE</t>
  </si>
  <si>
    <t>USD/JP</t>
  </si>
  <si>
    <t>USD/MU</t>
  </si>
  <si>
    <t>USD/TW</t>
  </si>
  <si>
    <t>USD/IR</t>
  </si>
  <si>
    <t>Year</t>
  </si>
  <si>
    <t>USD/INR Rate</t>
  </si>
  <si>
    <t>INR Change</t>
  </si>
  <si>
    <t>USD/RMB Rate</t>
  </si>
  <si>
    <t>RMB Change</t>
  </si>
  <si>
    <t>USD/VND Rate</t>
  </si>
  <si>
    <t>VND Change</t>
  </si>
  <si>
    <t>-2.5% (Unpegged)</t>
  </si>
  <si>
    <t>0.0% (Pegged)</t>
  </si>
  <si>
    <t>--</t>
  </si>
  <si>
    <t>Years</t>
  </si>
  <si>
    <t>USD/INR</t>
  </si>
  <si>
    <t>USD/RMB</t>
  </si>
  <si>
    <t>2024-2025</t>
  </si>
  <si>
    <t>3 years</t>
  </si>
  <si>
    <t>5 years</t>
  </si>
  <si>
    <t>10 year</t>
  </si>
  <si>
    <t>20 year</t>
  </si>
  <si>
    <t>Avg per 3 year</t>
  </si>
  <si>
    <t>Avg per 5 years</t>
  </si>
  <si>
    <t>Avg per 10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</si>
</sst>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0.0%"/>
    <numFmt numFmtId="166" formatCode="0.0"/>
    <numFmt numFmtId="167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FF"/>
      <name val="Helvetica"/>
    </font>
    <font>
      <b/>
      <sz val="10"/>
      <color theme="0"/>
      <name val="Helvetica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4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7" fontId="2" fillId="4" borderId="2" xfId="0" applyNumberFormat="1" applyFont="1" applyFill="1" applyBorder="1" applyAlignment="1">
      <alignment horizontal="center" vertical="center" wrapText="1"/>
    </xf>
    <xf numFmtId="43" fontId="2" fillId="4" borderId="2" xfId="1" applyFont="1" applyFill="1" applyBorder="1" applyAlignment="1">
      <alignment horizontal="center" vertical="center" wrapText="1"/>
    </xf>
    <xf numFmtId="164" fontId="2" fillId="4" borderId="2" xfId="1" applyNumberFormat="1" applyFont="1" applyFill="1" applyBorder="1" applyAlignment="1">
      <alignment horizontal="center" vertical="center" wrapText="1"/>
    </xf>
    <xf numFmtId="167" fontId="2" fillId="4" borderId="2" xfId="1" applyNumberFormat="1" applyFont="1" applyFill="1" applyBorder="1" applyAlignment="1">
      <alignment horizontal="center" vertical="center" wrapText="1"/>
    </xf>
    <xf numFmtId="1" fontId="2" fillId="4" borderId="2" xfId="1" applyNumberFormat="1" applyFont="1" applyFill="1" applyBorder="1" applyAlignment="1">
      <alignment horizontal="center" vertical="center" wrapText="1"/>
    </xf>
    <xf numFmtId="2" fontId="2" fillId="4" borderId="2" xfId="1" applyNumberFormat="1" applyFont="1" applyFill="1" applyBorder="1" applyAlignment="1">
      <alignment horizontal="center" vertical="center" wrapText="1"/>
    </xf>
    <xf numFmtId="166" fontId="2" fillId="4" borderId="2" xfId="1" applyNumberFormat="1" applyFont="1" applyFill="1" applyBorder="1" applyAlignment="1">
      <alignment horizontal="center" vertical="center" wrapText="1"/>
    </xf>
    <xf numFmtId="17" fontId="2" fillId="2" borderId="2" xfId="0" applyNumberFormat="1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17" fontId="2" fillId="2" borderId="3" xfId="0" applyNumberFormat="1" applyFont="1" applyFill="1" applyBorder="1" applyAlignment="1">
      <alignment horizontal="center" vertical="center" wrapText="1"/>
    </xf>
    <xf numFmtId="43" fontId="2" fillId="2" borderId="3" xfId="1" applyFont="1" applyFill="1" applyBorder="1" applyAlignment="1">
      <alignment horizontal="center" vertical="center" wrapText="1"/>
    </xf>
    <xf numFmtId="164" fontId="2" fillId="2" borderId="3" xfId="1" applyNumberFormat="1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5" fillId="6" borderId="4" xfId="0" applyFont="1" applyFill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10" fontId="6" fillId="0" borderId="4" xfId="0" applyNumberFormat="1" applyFont="1" applyBorder="1" applyAlignment="1">
      <alignment horizontal="center" vertical="center" wrapText="1" readingOrder="1"/>
    </xf>
    <xf numFmtId="3" fontId="6" fillId="0" borderId="4" xfId="0" applyNumberFormat="1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 readingOrder="1"/>
    </xf>
    <xf numFmtId="2" fontId="6" fillId="0" borderId="4" xfId="0" applyNumberFormat="1" applyFont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10" fontId="9" fillId="0" borderId="1" xfId="0" applyNumberFormat="1" applyFont="1" applyBorder="1" applyAlignment="1">
      <alignment horizontal="center" vertical="center" wrapText="1" readingOrder="1"/>
    </xf>
    <xf numFmtId="9" fontId="9" fillId="0" borderId="1" xfId="0" applyNumberFormat="1" applyFont="1" applyBorder="1" applyAlignment="1">
      <alignment horizontal="center" vertical="center" wrapText="1" readingOrder="1"/>
    </xf>
    <xf numFmtId="165" fontId="9" fillId="0" borderId="1" xfId="0" applyNumberFormat="1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10" fontId="10" fillId="0" borderId="1" xfId="0" applyNumberFormat="1" applyFont="1" applyBorder="1" applyAlignment="1">
      <alignment horizontal="center" vertical="center" wrapText="1" readingOrder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B0DA-6E85-4DFD-A8AC-2754C5EE2B2F}">
  <dimension ref="A1:AC438"/>
  <sheetViews>
    <sheetView showGridLines="0" tabSelected="1" workbookViewId="0">
      <selection activeCell="D2" sqref="D2:E2"/>
    </sheetView>
  </sheetViews>
  <sheetFormatPr defaultColWidth="8.77734375" defaultRowHeight="14.4" x14ac:dyDescent="0.3"/>
  <cols>
    <col min="1" max="1" width="11.77734375" style="1" customWidth="1"/>
    <col min="2" max="3" width="9.21875" style="1" bestFit="1" customWidth="1"/>
    <col min="4" max="4" width="10.21875" style="1" bestFit="1" customWidth="1"/>
    <col min="5" max="8" width="9.21875" style="1" bestFit="1" customWidth="1"/>
    <col min="9" max="9" width="9.44140625" style="1" customWidth="1"/>
    <col min="10" max="10" width="9.21875" style="1" bestFit="1" customWidth="1"/>
    <col min="11" max="11" width="9.21875" style="1" customWidth="1"/>
    <col min="12" max="12" width="10.21875" style="25" bestFit="1" customWidth="1"/>
    <col min="13" max="13" width="10.21875" style="26" customWidth="1"/>
    <col min="14" max="14" width="9.21875" style="1" bestFit="1" customWidth="1"/>
    <col min="15" max="16" width="8.77734375" style="1"/>
    <col min="17" max="17" width="10" style="25" bestFit="1" customWidth="1"/>
    <col min="18" max="19" width="9.21875" style="1" bestFit="1" customWidth="1"/>
    <col min="20" max="16384" width="8.77734375" style="1"/>
  </cols>
  <sheetData>
    <row r="1" spans="1:29" ht="26.4" x14ac:dyDescent="0.3">
      <c r="A1" s="2" t="s">
        <v>3</v>
      </c>
      <c r="B1" s="2" t="s">
        <v>0</v>
      </c>
      <c r="C1" s="2" t="s">
        <v>4</v>
      </c>
      <c r="D1" s="2" t="s">
        <v>2</v>
      </c>
      <c r="E1" s="2" t="s">
        <v>6</v>
      </c>
      <c r="F1" s="2" t="s">
        <v>5</v>
      </c>
      <c r="G1" s="2" t="s">
        <v>12</v>
      </c>
      <c r="H1" s="2" t="s">
        <v>8</v>
      </c>
      <c r="I1" s="2" t="s">
        <v>16</v>
      </c>
      <c r="J1" s="2" t="s">
        <v>9</v>
      </c>
      <c r="K1" s="2" t="s">
        <v>17</v>
      </c>
      <c r="L1" s="7" t="s">
        <v>1</v>
      </c>
      <c r="M1" s="6" t="s">
        <v>18</v>
      </c>
      <c r="N1" s="2" t="s">
        <v>7</v>
      </c>
      <c r="O1" s="2" t="s">
        <v>19</v>
      </c>
      <c r="P1" s="2" t="s">
        <v>20</v>
      </c>
      <c r="Q1" s="7" t="s">
        <v>21</v>
      </c>
      <c r="R1" s="2" t="s">
        <v>11</v>
      </c>
      <c r="S1" s="2" t="s">
        <v>10</v>
      </c>
      <c r="T1" s="2" t="s">
        <v>15</v>
      </c>
      <c r="U1" s="2" t="s">
        <v>13</v>
      </c>
      <c r="V1" s="2" t="s">
        <v>14</v>
      </c>
    </row>
    <row r="2" spans="1:29" x14ac:dyDescent="0.3">
      <c r="A2" s="8">
        <v>46143</v>
      </c>
      <c r="B2" s="9">
        <v>94.34</v>
      </c>
      <c r="C2" s="9">
        <v>6.77</v>
      </c>
      <c r="D2" s="10">
        <v>26300</v>
      </c>
      <c r="E2" s="9">
        <v>122.64</v>
      </c>
      <c r="F2" s="9">
        <v>7.82</v>
      </c>
      <c r="G2" s="9">
        <v>43.97</v>
      </c>
      <c r="H2" s="9">
        <v>308.74</v>
      </c>
      <c r="I2" s="9">
        <v>1.26</v>
      </c>
      <c r="J2" s="9">
        <v>3.96</v>
      </c>
      <c r="K2" s="13">
        <v>3.6728000000000001</v>
      </c>
      <c r="L2" s="12">
        <v>16803</v>
      </c>
      <c r="M2" s="9">
        <v>155.07</v>
      </c>
      <c r="N2" s="9">
        <v>31.85</v>
      </c>
      <c r="O2" s="9">
        <v>46.07</v>
      </c>
      <c r="P2" s="9">
        <v>31.14</v>
      </c>
      <c r="Q2" s="12">
        <v>42112</v>
      </c>
      <c r="R2" s="11">
        <v>7.4999999999999997E-2</v>
      </c>
      <c r="S2" s="9">
        <v>0.86</v>
      </c>
      <c r="T2" s="9">
        <v>59.7</v>
      </c>
      <c r="U2" s="9">
        <v>104.71</v>
      </c>
      <c r="V2" s="9">
        <v>119.99</v>
      </c>
    </row>
    <row r="3" spans="1:29" x14ac:dyDescent="0.3">
      <c r="A3" s="8">
        <v>46113</v>
      </c>
      <c r="B3" s="9">
        <v>92.91</v>
      </c>
      <c r="C3" s="9">
        <v>6.81</v>
      </c>
      <c r="D3" s="10">
        <v>26045</v>
      </c>
      <c r="E3" s="9">
        <v>122.2</v>
      </c>
      <c r="F3" s="9">
        <v>7.81</v>
      </c>
      <c r="G3" s="9">
        <v>42.57</v>
      </c>
      <c r="H3" s="9">
        <v>307.05</v>
      </c>
      <c r="I3" s="9">
        <v>1.27</v>
      </c>
      <c r="J3" s="9">
        <v>3.92</v>
      </c>
      <c r="K3" s="13">
        <v>3.6728000000000001</v>
      </c>
      <c r="L3" s="12">
        <v>16758</v>
      </c>
      <c r="M3" s="9">
        <v>155.19999999999999</v>
      </c>
      <c r="N3" s="9">
        <v>32.369999999999997</v>
      </c>
      <c r="O3" s="9">
        <v>44.49</v>
      </c>
      <c r="P3" s="9">
        <v>30.78</v>
      </c>
      <c r="Q3" s="12">
        <v>42000</v>
      </c>
      <c r="R3" s="9">
        <v>0.7601</v>
      </c>
      <c r="S3" s="9">
        <v>0.86199999999999999</v>
      </c>
      <c r="T3" s="9">
        <v>57.8</v>
      </c>
      <c r="U3" s="9">
        <v>102.65</v>
      </c>
      <c r="V3" s="9">
        <v>116.63</v>
      </c>
    </row>
    <row r="4" spans="1:29" x14ac:dyDescent="0.3">
      <c r="A4" s="8">
        <v>46082</v>
      </c>
      <c r="B4" s="9">
        <v>91.477000000000004</v>
      </c>
      <c r="C4" s="9">
        <v>6.87</v>
      </c>
      <c r="D4" s="10">
        <v>25970</v>
      </c>
      <c r="E4" s="9">
        <v>120.91</v>
      </c>
      <c r="F4" s="9">
        <v>7.79</v>
      </c>
      <c r="G4" s="9">
        <v>42.57</v>
      </c>
      <c r="H4" s="9">
        <v>306.74</v>
      </c>
      <c r="I4" s="9">
        <v>1.29</v>
      </c>
      <c r="J4" s="9">
        <v>4.05</v>
      </c>
      <c r="K4" s="13">
        <v>3.6728000000000001</v>
      </c>
      <c r="L4" s="12">
        <v>16657</v>
      </c>
      <c r="M4" s="9">
        <v>156.72999999999999</v>
      </c>
      <c r="N4" s="9">
        <v>32.39</v>
      </c>
      <c r="O4" s="9">
        <v>44.85</v>
      </c>
      <c r="P4" s="9">
        <v>30.44</v>
      </c>
      <c r="Q4" s="12">
        <v>42025</v>
      </c>
      <c r="R4" s="9">
        <v>0.745</v>
      </c>
      <c r="S4" s="9">
        <v>0.85409999999999997</v>
      </c>
      <c r="T4" s="9">
        <v>58.35</v>
      </c>
      <c r="U4" s="9">
        <v>105.27</v>
      </c>
      <c r="V4" s="9">
        <v>119.59</v>
      </c>
    </row>
    <row r="5" spans="1:29" x14ac:dyDescent="0.3">
      <c r="A5" s="8">
        <v>46054</v>
      </c>
      <c r="B5" s="9">
        <v>91.66</v>
      </c>
      <c r="C5" s="9">
        <v>6.95</v>
      </c>
      <c r="D5" s="10">
        <v>25950</v>
      </c>
      <c r="E5" s="9">
        <v>120.72</v>
      </c>
      <c r="F5" s="9">
        <v>7.78</v>
      </c>
      <c r="G5" s="9">
        <v>42.57</v>
      </c>
      <c r="H5" s="9">
        <v>308.31</v>
      </c>
      <c r="I5" s="9">
        <v>1.3</v>
      </c>
      <c r="J5" s="9">
        <v>4.1100000000000003</v>
      </c>
      <c r="K5" s="13">
        <v>3.6728000000000001</v>
      </c>
      <c r="L5" s="12">
        <v>16679</v>
      </c>
      <c r="M5" s="9">
        <v>154.99</v>
      </c>
      <c r="N5" s="9">
        <v>32.28</v>
      </c>
      <c r="O5" s="9">
        <v>44.85</v>
      </c>
      <c r="P5" s="9">
        <v>30.74</v>
      </c>
      <c r="Q5" s="12">
        <v>42025</v>
      </c>
      <c r="R5" s="9">
        <v>0.73809999999999998</v>
      </c>
      <c r="S5" s="9">
        <v>0.85940000000000005</v>
      </c>
      <c r="T5" s="9">
        <v>57.36</v>
      </c>
      <c r="U5" s="9">
        <v>103.84</v>
      </c>
      <c r="V5" s="9">
        <v>119.06</v>
      </c>
    </row>
    <row r="6" spans="1:29" x14ac:dyDescent="0.3">
      <c r="A6" s="8">
        <v>46023</v>
      </c>
      <c r="B6" s="9">
        <v>89.96</v>
      </c>
      <c r="C6" s="9">
        <v>6.99</v>
      </c>
      <c r="D6" s="10">
        <v>26290</v>
      </c>
      <c r="E6" s="9">
        <v>122.29</v>
      </c>
      <c r="F6" s="9">
        <v>7.77</v>
      </c>
      <c r="G6" s="9">
        <v>42.01</v>
      </c>
      <c r="H6" s="9">
        <v>300.58</v>
      </c>
      <c r="I6" s="9">
        <v>1.3</v>
      </c>
      <c r="J6" s="9">
        <v>4.2</v>
      </c>
      <c r="K6" s="13">
        <v>3.6728000000000001</v>
      </c>
      <c r="L6" s="12">
        <v>16630</v>
      </c>
      <c r="M6" s="9">
        <v>153.99</v>
      </c>
      <c r="N6" s="9">
        <v>32.35</v>
      </c>
      <c r="O6" s="9">
        <v>45.15</v>
      </c>
      <c r="P6" s="9">
        <v>29.83</v>
      </c>
      <c r="Q6" s="12">
        <v>42000</v>
      </c>
      <c r="R6" s="9">
        <v>0.75429999999999997</v>
      </c>
      <c r="S6" s="9">
        <v>0.87490000000000001</v>
      </c>
      <c r="T6" s="9">
        <v>56.54</v>
      </c>
      <c r="U6" s="9">
        <v>100.51</v>
      </c>
      <c r="V6" s="9">
        <v>116.85</v>
      </c>
    </row>
    <row r="7" spans="1:29" x14ac:dyDescent="0.3">
      <c r="A7" s="8">
        <v>45992</v>
      </c>
      <c r="B7" s="9">
        <v>90.07</v>
      </c>
      <c r="C7" s="9">
        <v>7</v>
      </c>
      <c r="D7" s="10">
        <v>26309</v>
      </c>
      <c r="E7" s="9">
        <v>120.31</v>
      </c>
      <c r="F7" s="9">
        <v>7.78</v>
      </c>
      <c r="G7" s="9">
        <v>41.59</v>
      </c>
      <c r="H7" s="9">
        <v>299.27999999999997</v>
      </c>
      <c r="I7" s="9">
        <v>1.29</v>
      </c>
      <c r="J7" s="9">
        <v>4.21</v>
      </c>
      <c r="K7" s="13">
        <v>3.6728000000000001</v>
      </c>
      <c r="L7" s="12">
        <v>16644.099999999999</v>
      </c>
      <c r="M7" s="9">
        <v>147.08000000000001</v>
      </c>
      <c r="N7" s="9">
        <v>32.44</v>
      </c>
      <c r="O7" s="9">
        <v>43.8</v>
      </c>
      <c r="P7" s="9">
        <v>28.97</v>
      </c>
      <c r="Q7" s="12">
        <v>42000</v>
      </c>
      <c r="R7" s="9">
        <v>0.73</v>
      </c>
      <c r="S7" s="9">
        <v>0.85099999999999998</v>
      </c>
      <c r="T7" s="9">
        <v>55.94</v>
      </c>
      <c r="U7" s="9">
        <v>100.64</v>
      </c>
      <c r="V7" s="9">
        <v>116.6</v>
      </c>
      <c r="Y7" s="4"/>
      <c r="AC7" s="4"/>
    </row>
    <row r="8" spans="1:29" x14ac:dyDescent="0.3">
      <c r="A8" s="8">
        <v>45962</v>
      </c>
      <c r="B8" s="9">
        <v>88.76</v>
      </c>
      <c r="C8" s="9">
        <v>7.17</v>
      </c>
      <c r="D8" s="10">
        <v>26405</v>
      </c>
      <c r="E8" s="9">
        <v>120.17</v>
      </c>
      <c r="F8" s="9">
        <v>7.8</v>
      </c>
      <c r="G8" s="9">
        <v>41.14</v>
      </c>
      <c r="H8" s="9">
        <v>298.79000000000002</v>
      </c>
      <c r="I8" s="9">
        <v>1.28</v>
      </c>
      <c r="J8" s="9">
        <v>4.22</v>
      </c>
      <c r="K8" s="13">
        <v>3.6728000000000001</v>
      </c>
      <c r="L8" s="12">
        <v>16405.2</v>
      </c>
      <c r="M8" s="9">
        <v>147.08000000000001</v>
      </c>
      <c r="N8" s="9">
        <v>32.869999999999997</v>
      </c>
      <c r="O8" s="9">
        <v>45.7</v>
      </c>
      <c r="P8" s="9">
        <v>29.9</v>
      </c>
      <c r="Q8" s="12">
        <v>42000</v>
      </c>
      <c r="R8" s="9">
        <v>0.74</v>
      </c>
      <c r="S8" s="9">
        <v>0.88</v>
      </c>
      <c r="T8" s="9">
        <v>54.79</v>
      </c>
      <c r="U8" s="9">
        <v>97.96</v>
      </c>
      <c r="V8" s="9">
        <v>115.19</v>
      </c>
      <c r="Y8" s="4"/>
      <c r="AC8" s="4"/>
    </row>
    <row r="9" spans="1:29" x14ac:dyDescent="0.3">
      <c r="A9" s="8">
        <v>45931</v>
      </c>
      <c r="B9" s="9">
        <v>88.748999999999995</v>
      </c>
      <c r="C9" s="9">
        <v>7.12</v>
      </c>
      <c r="D9" s="10">
        <v>26340</v>
      </c>
      <c r="E9" s="9">
        <v>120</v>
      </c>
      <c r="F9" s="9">
        <v>7.85</v>
      </c>
      <c r="G9" s="9">
        <v>40.630000000000003</v>
      </c>
      <c r="H9" s="9">
        <v>298.14</v>
      </c>
      <c r="I9" s="9">
        <v>1.29</v>
      </c>
      <c r="J9" s="9">
        <v>4.28</v>
      </c>
      <c r="K9" s="13">
        <v>3.6728000000000001</v>
      </c>
      <c r="L9" s="12">
        <v>16358.2</v>
      </c>
      <c r="M9" s="9">
        <v>147.38</v>
      </c>
      <c r="N9" s="9">
        <v>33.51</v>
      </c>
      <c r="O9" s="9">
        <v>43.83</v>
      </c>
      <c r="P9" s="9">
        <v>32.11</v>
      </c>
      <c r="Q9" s="12">
        <v>42000</v>
      </c>
      <c r="R9" s="9">
        <v>0.75</v>
      </c>
      <c r="S9" s="9">
        <v>0.89</v>
      </c>
      <c r="T9" s="9">
        <v>54.37</v>
      </c>
      <c r="U9" s="9">
        <v>97.06</v>
      </c>
      <c r="V9" s="9">
        <v>112.13</v>
      </c>
      <c r="Y9" s="4"/>
      <c r="AC9" s="4"/>
    </row>
    <row r="10" spans="1:29" x14ac:dyDescent="0.3">
      <c r="A10" s="8">
        <v>45901</v>
      </c>
      <c r="B10" s="9">
        <v>88.064999999999998</v>
      </c>
      <c r="C10" s="9">
        <v>7.13</v>
      </c>
      <c r="D10" s="10">
        <v>26190</v>
      </c>
      <c r="E10" s="9">
        <v>120.63</v>
      </c>
      <c r="F10" s="9">
        <v>7.85</v>
      </c>
      <c r="G10" s="9">
        <v>39.840000000000003</v>
      </c>
      <c r="H10" s="9">
        <v>297.14</v>
      </c>
      <c r="I10" s="9">
        <v>1.27</v>
      </c>
      <c r="J10" s="9">
        <v>4.2</v>
      </c>
      <c r="K10" s="13">
        <v>3.6728000000000001</v>
      </c>
      <c r="L10" s="12">
        <v>16185</v>
      </c>
      <c r="M10" s="9">
        <v>143.4</v>
      </c>
      <c r="N10" s="9">
        <v>34.18</v>
      </c>
      <c r="O10" s="9">
        <v>44.5</v>
      </c>
      <c r="P10" s="9">
        <v>33.26</v>
      </c>
      <c r="Q10" s="12">
        <v>42000</v>
      </c>
      <c r="R10" s="9">
        <v>0.77</v>
      </c>
      <c r="S10" s="9">
        <v>0.93</v>
      </c>
      <c r="T10" s="9">
        <v>51.66</v>
      </c>
      <c r="U10" s="9">
        <v>92.73</v>
      </c>
      <c r="V10" s="9">
        <v>110.6</v>
      </c>
      <c r="Y10" s="4"/>
      <c r="AC10" s="4"/>
    </row>
    <row r="11" spans="1:29" x14ac:dyDescent="0.3">
      <c r="A11" s="8">
        <v>45870</v>
      </c>
      <c r="B11" s="9">
        <v>87.16</v>
      </c>
      <c r="C11" s="9">
        <v>7.21</v>
      </c>
      <c r="D11" s="10">
        <v>26110</v>
      </c>
      <c r="E11" s="9">
        <v>120.45</v>
      </c>
      <c r="F11" s="9">
        <v>7.84</v>
      </c>
      <c r="G11" s="9">
        <v>39.26</v>
      </c>
      <c r="H11" s="9">
        <v>298.41000000000003</v>
      </c>
      <c r="I11" s="9">
        <v>1.29</v>
      </c>
      <c r="J11" s="9">
        <v>4.26</v>
      </c>
      <c r="K11" s="13">
        <v>3.6728000000000001</v>
      </c>
      <c r="L11" s="12">
        <v>16304</v>
      </c>
      <c r="M11" s="9">
        <v>143.46</v>
      </c>
      <c r="N11" s="9">
        <v>34.200000000000003</v>
      </c>
      <c r="O11" s="9">
        <v>45.5</v>
      </c>
      <c r="P11" s="9">
        <v>32.9</v>
      </c>
      <c r="Q11" s="12">
        <v>42000</v>
      </c>
      <c r="R11" s="9">
        <v>0.79</v>
      </c>
      <c r="S11" s="9">
        <v>0.96</v>
      </c>
      <c r="T11" s="9">
        <v>54.22</v>
      </c>
      <c r="U11" s="9">
        <v>90.83</v>
      </c>
      <c r="V11" s="9">
        <v>109.99</v>
      </c>
      <c r="Y11" s="4"/>
      <c r="AC11" s="4"/>
    </row>
    <row r="12" spans="1:29" x14ac:dyDescent="0.3">
      <c r="A12" s="8">
        <v>45839</v>
      </c>
      <c r="B12" s="9">
        <v>85.18</v>
      </c>
      <c r="C12" s="9">
        <v>7.16</v>
      </c>
      <c r="D12" s="10">
        <v>26024</v>
      </c>
      <c r="E12" s="9">
        <v>121.73</v>
      </c>
      <c r="F12" s="9">
        <v>7.75</v>
      </c>
      <c r="G12" s="9">
        <v>38.5</v>
      </c>
      <c r="H12" s="9">
        <v>300</v>
      </c>
      <c r="I12" s="9">
        <v>1.31</v>
      </c>
      <c r="J12" s="9">
        <v>4.3099999999999996</v>
      </c>
      <c r="K12" s="13">
        <v>3.6728000000000001</v>
      </c>
      <c r="L12" s="12">
        <v>16601</v>
      </c>
      <c r="M12" s="9">
        <v>145.44999999999999</v>
      </c>
      <c r="N12" s="9">
        <v>33.729999999999997</v>
      </c>
      <c r="O12" s="9">
        <v>46.5</v>
      </c>
      <c r="P12" s="9">
        <v>32.735999999999997</v>
      </c>
      <c r="Q12" s="12">
        <v>42000</v>
      </c>
      <c r="R12" s="9">
        <v>0.79</v>
      </c>
      <c r="S12" s="9">
        <v>0.95609999999999995</v>
      </c>
      <c r="T12" s="9">
        <v>54.08</v>
      </c>
      <c r="U12" s="9">
        <v>89.9</v>
      </c>
      <c r="V12" s="9">
        <v>108.14</v>
      </c>
      <c r="Y12" s="4"/>
      <c r="AC12" s="4"/>
    </row>
    <row r="13" spans="1:29" x14ac:dyDescent="0.3">
      <c r="A13" s="8">
        <v>45809</v>
      </c>
      <c r="B13" s="9">
        <v>85.37</v>
      </c>
      <c r="C13" s="9">
        <v>7.21</v>
      </c>
      <c r="D13" s="10">
        <v>26002</v>
      </c>
      <c r="E13" s="9">
        <v>121.61</v>
      </c>
      <c r="F13" s="9">
        <v>7.78</v>
      </c>
      <c r="G13" s="9">
        <v>37.9</v>
      </c>
      <c r="H13" s="9">
        <v>295.89999999999998</v>
      </c>
      <c r="I13" s="9">
        <v>1.3</v>
      </c>
      <c r="J13" s="9">
        <v>4.43</v>
      </c>
      <c r="K13" s="13">
        <v>3.6728000000000001</v>
      </c>
      <c r="L13" s="12">
        <v>16457</v>
      </c>
      <c r="M13" s="9">
        <v>147.87</v>
      </c>
      <c r="N13" s="9">
        <v>33.659999999999997</v>
      </c>
      <c r="O13" s="9">
        <v>46.5</v>
      </c>
      <c r="P13" s="9">
        <v>32.969000000000001</v>
      </c>
      <c r="Q13" s="12">
        <v>42000</v>
      </c>
      <c r="R13" s="9">
        <v>0.8</v>
      </c>
      <c r="S13" s="9">
        <v>0.97</v>
      </c>
      <c r="T13" s="9">
        <v>53</v>
      </c>
      <c r="U13" s="9">
        <v>88.18</v>
      </c>
      <c r="V13" s="9">
        <v>107.82</v>
      </c>
      <c r="Y13" s="4"/>
      <c r="AC13" s="4"/>
    </row>
    <row r="14" spans="1:29" x14ac:dyDescent="0.3">
      <c r="A14" s="8">
        <v>45778</v>
      </c>
      <c r="B14" s="9">
        <v>84.69</v>
      </c>
      <c r="C14" s="9">
        <v>7.2</v>
      </c>
      <c r="D14" s="10">
        <v>25589</v>
      </c>
      <c r="E14" s="9">
        <v>121.03</v>
      </c>
      <c r="F14" s="9">
        <v>7.77</v>
      </c>
      <c r="G14" s="9">
        <v>36.42</v>
      </c>
      <c r="H14" s="9">
        <v>295.02</v>
      </c>
      <c r="I14" s="9">
        <v>1.35</v>
      </c>
      <c r="J14" s="9">
        <v>4.46</v>
      </c>
      <c r="K14" s="13">
        <v>3.6728000000000001</v>
      </c>
      <c r="L14" s="12">
        <v>16432</v>
      </c>
      <c r="M14" s="9">
        <v>150.61000000000001</v>
      </c>
      <c r="N14" s="9">
        <v>34.01</v>
      </c>
      <c r="O14" s="9">
        <v>46.8</v>
      </c>
      <c r="P14" s="9">
        <v>32.784999999999997</v>
      </c>
      <c r="Q14" s="12">
        <v>42000</v>
      </c>
      <c r="R14" s="9">
        <v>0.79</v>
      </c>
      <c r="S14" s="9">
        <v>0.95609999999999995</v>
      </c>
      <c r="T14" s="9">
        <v>53.933999999999997</v>
      </c>
      <c r="U14" s="9">
        <v>88.77</v>
      </c>
      <c r="V14" s="9">
        <v>107.398</v>
      </c>
      <c r="Y14" s="4"/>
      <c r="AC14" s="4"/>
    </row>
    <row r="15" spans="1:29" x14ac:dyDescent="0.3">
      <c r="A15" s="8">
        <v>45748</v>
      </c>
      <c r="B15" s="9">
        <v>85.51</v>
      </c>
      <c r="C15" s="9">
        <v>7.27</v>
      </c>
      <c r="D15" s="10">
        <v>25550</v>
      </c>
      <c r="E15" s="9">
        <v>121.61</v>
      </c>
      <c r="F15" s="9">
        <v>7.78</v>
      </c>
      <c r="G15" s="9">
        <v>36.26</v>
      </c>
      <c r="H15" s="9">
        <v>296.10000000000002</v>
      </c>
      <c r="I15" s="9">
        <v>1.3426</v>
      </c>
      <c r="J15" s="9">
        <v>4.43</v>
      </c>
      <c r="K15" s="13">
        <v>3.6728000000000001</v>
      </c>
      <c r="L15" s="12">
        <v>16215</v>
      </c>
      <c r="M15" s="9">
        <v>151.9</v>
      </c>
      <c r="N15" s="9">
        <v>34.270000000000003</v>
      </c>
      <c r="O15" s="9">
        <v>46.3</v>
      </c>
      <c r="P15" s="9">
        <v>32.441000000000003</v>
      </c>
      <c r="Q15" s="12">
        <v>42000</v>
      </c>
      <c r="R15" s="9">
        <v>0.78490000000000004</v>
      </c>
      <c r="S15" s="9">
        <v>0.94540000000000002</v>
      </c>
      <c r="T15" s="9">
        <v>55.048000000000002</v>
      </c>
      <c r="U15" s="9">
        <v>89.421000000000006</v>
      </c>
      <c r="V15" s="9">
        <v>107.703</v>
      </c>
      <c r="Y15" s="4"/>
      <c r="AC15" s="4"/>
    </row>
    <row r="16" spans="1:29" x14ac:dyDescent="0.3">
      <c r="A16" s="8">
        <v>45717</v>
      </c>
      <c r="B16" s="9">
        <v>87.27</v>
      </c>
      <c r="C16" s="9">
        <v>7.3</v>
      </c>
      <c r="D16" s="10">
        <v>25575</v>
      </c>
      <c r="E16" s="9">
        <v>121.65</v>
      </c>
      <c r="F16" s="9">
        <v>7.78</v>
      </c>
      <c r="G16" s="9">
        <v>35.755000000000003</v>
      </c>
      <c r="H16" s="9">
        <v>297.10000000000002</v>
      </c>
      <c r="I16" s="9">
        <v>1.3583000000000001</v>
      </c>
      <c r="J16" s="9">
        <v>4.4400000000000004</v>
      </c>
      <c r="K16" s="13">
        <v>3.6728000000000001</v>
      </c>
      <c r="L16" s="12">
        <v>16288</v>
      </c>
      <c r="M16" s="9">
        <v>155.18</v>
      </c>
      <c r="N16" s="9">
        <v>33.79</v>
      </c>
      <c r="O16" s="9">
        <v>45.96</v>
      </c>
      <c r="P16" s="9">
        <v>31.913</v>
      </c>
      <c r="Q16" s="12">
        <v>42000</v>
      </c>
      <c r="R16" s="9">
        <v>0.7752</v>
      </c>
      <c r="S16" s="9">
        <v>0.91879999999999995</v>
      </c>
      <c r="T16" s="9">
        <v>55.320999999999998</v>
      </c>
      <c r="U16" s="9">
        <v>91.483999999999995</v>
      </c>
      <c r="V16" s="9">
        <v>108.422</v>
      </c>
      <c r="Y16" s="4"/>
      <c r="AC16" s="4"/>
    </row>
    <row r="17" spans="1:29" x14ac:dyDescent="0.3">
      <c r="A17" s="8">
        <v>45689</v>
      </c>
      <c r="B17" s="9">
        <v>86.96</v>
      </c>
      <c r="C17" s="9">
        <v>7.25</v>
      </c>
      <c r="D17" s="10">
        <v>25060</v>
      </c>
      <c r="E17" s="9">
        <v>121.59</v>
      </c>
      <c r="F17" s="9">
        <v>7.7751999999999999</v>
      </c>
      <c r="G17" s="9">
        <v>34.947800000000001</v>
      </c>
      <c r="H17" s="9">
        <v>291.25700000000001</v>
      </c>
      <c r="I17" s="9">
        <v>1.3652</v>
      </c>
      <c r="J17" s="9">
        <v>4.4545000000000003</v>
      </c>
      <c r="K17" s="13">
        <v>3.6728000000000001</v>
      </c>
      <c r="L17" s="12">
        <v>16007</v>
      </c>
      <c r="M17" s="9">
        <v>157.18</v>
      </c>
      <c r="N17" s="13">
        <v>32.39</v>
      </c>
      <c r="O17" s="13">
        <v>45.75</v>
      </c>
      <c r="P17" s="13">
        <v>31.748999999999999</v>
      </c>
      <c r="Q17" s="12">
        <v>42000</v>
      </c>
      <c r="R17" s="9">
        <v>0.74739999999999995</v>
      </c>
      <c r="S17" s="9">
        <v>0.89810000000000001</v>
      </c>
      <c r="T17" s="9">
        <v>57.890999999999998</v>
      </c>
      <c r="U17" s="9">
        <v>93.253</v>
      </c>
      <c r="V17" s="9">
        <v>111.98</v>
      </c>
      <c r="Y17" s="4"/>
      <c r="AC17" s="4"/>
    </row>
    <row r="18" spans="1:29" x14ac:dyDescent="0.3">
      <c r="A18" s="8">
        <v>45658</v>
      </c>
      <c r="B18" s="9">
        <v>86.64</v>
      </c>
      <c r="C18" s="9">
        <v>7.33</v>
      </c>
      <c r="D18" s="10">
        <v>25405</v>
      </c>
      <c r="E18" s="9">
        <v>119.926</v>
      </c>
      <c r="F18" s="9">
        <v>7.7817999999999996</v>
      </c>
      <c r="G18" s="9">
        <v>34.691299999999998</v>
      </c>
      <c r="H18" s="9">
        <v>290.60000000000002</v>
      </c>
      <c r="I18" s="9">
        <v>1.3387</v>
      </c>
      <c r="J18" s="9">
        <v>4.4400000000000004</v>
      </c>
      <c r="K18" s="13">
        <v>3.6726000000000001</v>
      </c>
      <c r="L18" s="12">
        <v>15840</v>
      </c>
      <c r="M18" s="9">
        <v>149.75</v>
      </c>
      <c r="N18" s="13">
        <v>33.92</v>
      </c>
      <c r="O18" s="13">
        <v>46.3</v>
      </c>
      <c r="P18" s="13">
        <v>31.995999999999999</v>
      </c>
      <c r="Q18" s="12">
        <v>42000</v>
      </c>
      <c r="R18" s="9">
        <v>0.76139999999999997</v>
      </c>
      <c r="S18" s="9">
        <v>0.90510000000000002</v>
      </c>
      <c r="T18" s="9">
        <v>56.728000000000002</v>
      </c>
      <c r="U18" s="9">
        <v>92.647999999999996</v>
      </c>
      <c r="V18" s="9">
        <v>110.084</v>
      </c>
    </row>
    <row r="19" spans="1:29" x14ac:dyDescent="0.3">
      <c r="A19" s="8">
        <v>45627</v>
      </c>
      <c r="B19" s="9">
        <v>84.86</v>
      </c>
      <c r="C19" s="9">
        <v>7.2854000000000001</v>
      </c>
      <c r="D19" s="10">
        <v>25344</v>
      </c>
      <c r="E19" s="9">
        <v>119</v>
      </c>
      <c r="F19" s="9">
        <v>7.7728999999999999</v>
      </c>
      <c r="G19" s="9">
        <v>34.253999999999998</v>
      </c>
      <c r="H19" s="9">
        <v>292.89999999999998</v>
      </c>
      <c r="I19" s="9">
        <v>1.3196000000000001</v>
      </c>
      <c r="J19" s="9">
        <v>4.375</v>
      </c>
      <c r="K19" s="13">
        <v>3.6726999999999999</v>
      </c>
      <c r="L19" s="12">
        <v>15690</v>
      </c>
      <c r="M19" s="9">
        <v>152.03</v>
      </c>
      <c r="N19" s="13">
        <v>35.53</v>
      </c>
      <c r="O19" s="13">
        <v>46.5</v>
      </c>
      <c r="P19" s="13">
        <v>32.664999999999999</v>
      </c>
      <c r="Q19" s="12">
        <v>42000</v>
      </c>
      <c r="R19" s="9">
        <v>0.77780000000000005</v>
      </c>
      <c r="S19" s="9">
        <v>0.92369999999999997</v>
      </c>
      <c r="T19" s="9">
        <v>54.738999999999997</v>
      </c>
      <c r="U19" s="9">
        <v>90.603999999999999</v>
      </c>
      <c r="V19" s="9">
        <v>107.604</v>
      </c>
    </row>
    <row r="20" spans="1:29" x14ac:dyDescent="0.3">
      <c r="A20" s="8">
        <v>45597</v>
      </c>
      <c r="B20" s="9">
        <v>84.55</v>
      </c>
      <c r="C20" s="9">
        <v>7.2423000000000002</v>
      </c>
      <c r="D20" s="10">
        <v>25270</v>
      </c>
      <c r="E20" s="9">
        <v>119</v>
      </c>
      <c r="F20" s="9">
        <v>7.7727000000000004</v>
      </c>
      <c r="G20" s="9">
        <v>34.160499999999999</v>
      </c>
      <c r="H20" s="9">
        <v>296</v>
      </c>
      <c r="I20" s="9">
        <v>1.2847999999999999</v>
      </c>
      <c r="J20" s="9">
        <v>4.1210000000000004</v>
      </c>
      <c r="K20" s="13">
        <v>3.6728999999999998</v>
      </c>
      <c r="L20" s="12">
        <v>15135</v>
      </c>
      <c r="M20" s="14">
        <v>143.62</v>
      </c>
      <c r="N20" s="13">
        <v>36.75</v>
      </c>
      <c r="O20" s="13">
        <v>47.05</v>
      </c>
      <c r="P20" s="13">
        <v>32.503999999999998</v>
      </c>
      <c r="Q20" s="12">
        <v>42000</v>
      </c>
      <c r="R20" s="9">
        <v>0.79079999999999995</v>
      </c>
      <c r="S20" s="9">
        <v>0.93310000000000004</v>
      </c>
      <c r="T20" s="9">
        <v>55.573</v>
      </c>
      <c r="U20" s="9">
        <v>89.298000000000002</v>
      </c>
      <c r="V20" s="9">
        <v>105.377</v>
      </c>
    </row>
    <row r="21" spans="1:29" x14ac:dyDescent="0.3">
      <c r="A21" s="8">
        <v>45566</v>
      </c>
      <c r="B21" s="9">
        <v>84.06</v>
      </c>
      <c r="C21" s="9">
        <v>7.1177999999999999</v>
      </c>
      <c r="D21" s="10">
        <v>24555</v>
      </c>
      <c r="E21" s="9">
        <v>119</v>
      </c>
      <c r="F21" s="9">
        <v>7.7972999999999999</v>
      </c>
      <c r="G21" s="9">
        <v>34.071100000000001</v>
      </c>
      <c r="H21" s="9">
        <v>299</v>
      </c>
      <c r="I21" s="9">
        <v>1.3065</v>
      </c>
      <c r="J21" s="9">
        <v>4.3179999999999996</v>
      </c>
      <c r="K21" s="13">
        <v>3.6728999999999998</v>
      </c>
      <c r="L21" s="12">
        <v>15450</v>
      </c>
      <c r="M21" s="14">
        <v>146.16</v>
      </c>
      <c r="N21" s="13">
        <v>36.700000000000003</v>
      </c>
      <c r="O21" s="13">
        <v>45.92</v>
      </c>
      <c r="P21" s="13">
        <v>32.465000000000003</v>
      </c>
      <c r="Q21" s="12">
        <v>42000</v>
      </c>
      <c r="R21" s="9">
        <v>0.78459999999999996</v>
      </c>
      <c r="S21" s="9">
        <v>0.92210000000000003</v>
      </c>
      <c r="T21" s="9">
        <v>55.494</v>
      </c>
      <c r="U21" s="9">
        <v>90.44</v>
      </c>
      <c r="V21" s="9">
        <v>106.274</v>
      </c>
    </row>
    <row r="22" spans="1:29" x14ac:dyDescent="0.3">
      <c r="A22" s="8">
        <v>45536</v>
      </c>
      <c r="B22" s="9">
        <v>83.75</v>
      </c>
      <c r="C22" s="9">
        <v>7.0175999999999998</v>
      </c>
      <c r="D22" s="10">
        <v>24860</v>
      </c>
      <c r="E22" s="9">
        <v>119</v>
      </c>
      <c r="F22" s="9">
        <v>7.8120000000000003</v>
      </c>
      <c r="G22" s="9">
        <v>33.140099999999997</v>
      </c>
      <c r="H22" s="9">
        <v>302.25</v>
      </c>
      <c r="I22" s="9">
        <v>1.3357000000000001</v>
      </c>
      <c r="J22" s="9">
        <v>4.5919999999999996</v>
      </c>
      <c r="K22" s="13">
        <v>3.6724000000000001</v>
      </c>
      <c r="L22" s="12">
        <v>16255</v>
      </c>
      <c r="M22" s="14">
        <v>149.97999999999999</v>
      </c>
      <c r="N22" s="13">
        <v>37.18</v>
      </c>
      <c r="O22" s="13">
        <v>46.22</v>
      </c>
      <c r="P22" s="13">
        <v>32.601999999999997</v>
      </c>
      <c r="Q22" s="12">
        <v>42000</v>
      </c>
      <c r="R22" s="9">
        <v>0.80049999999999999</v>
      </c>
      <c r="S22" s="9">
        <v>0.93740000000000001</v>
      </c>
      <c r="T22" s="9">
        <v>54</v>
      </c>
      <c r="U22" s="9">
        <v>88.991</v>
      </c>
      <c r="V22" s="9">
        <v>104.23699999999999</v>
      </c>
    </row>
    <row r="23" spans="1:29" x14ac:dyDescent="0.3">
      <c r="A23" s="8">
        <v>45505</v>
      </c>
      <c r="B23" s="9">
        <v>83.86</v>
      </c>
      <c r="C23" s="9">
        <v>7.09</v>
      </c>
      <c r="D23" s="10">
        <v>25235</v>
      </c>
      <c r="E23" s="9">
        <v>117</v>
      </c>
      <c r="F23" s="9">
        <v>7.8079999999999998</v>
      </c>
      <c r="G23" s="9">
        <v>32.648499999999999</v>
      </c>
      <c r="H23" s="9">
        <v>305.89999999999998</v>
      </c>
      <c r="I23" s="9">
        <v>1.3553999999999999</v>
      </c>
      <c r="J23" s="9">
        <v>4.7149999999999999</v>
      </c>
      <c r="K23" s="13">
        <v>3.6722000000000001</v>
      </c>
      <c r="L23" s="12">
        <v>16370</v>
      </c>
      <c r="M23" s="14">
        <v>160.86000000000001</v>
      </c>
      <c r="N23" s="13">
        <v>36.369999999999997</v>
      </c>
      <c r="O23" s="13">
        <v>46.23</v>
      </c>
      <c r="P23" s="13">
        <v>31.942</v>
      </c>
      <c r="Q23" s="12">
        <v>42000</v>
      </c>
      <c r="R23" s="9">
        <v>0.79200000000000004</v>
      </c>
      <c r="S23" s="9">
        <v>0.9264</v>
      </c>
      <c r="T23" s="9">
        <v>54.353000000000002</v>
      </c>
      <c r="U23" s="9">
        <v>89.942999999999998</v>
      </c>
      <c r="V23" s="9">
        <v>105.20399999999999</v>
      </c>
    </row>
    <row r="24" spans="1:29" x14ac:dyDescent="0.3">
      <c r="A24" s="8">
        <v>45474</v>
      </c>
      <c r="B24" s="9">
        <v>83.69</v>
      </c>
      <c r="C24" s="9">
        <v>7.2192999999999996</v>
      </c>
      <c r="D24" s="10">
        <v>25445</v>
      </c>
      <c r="E24" s="9">
        <v>117</v>
      </c>
      <c r="F24" s="9">
        <v>7.8186999999999998</v>
      </c>
      <c r="G24" s="9">
        <v>32.232199999999999</v>
      </c>
      <c r="H24" s="9">
        <v>301.8</v>
      </c>
      <c r="I24" s="9">
        <v>1.351</v>
      </c>
      <c r="J24" s="9">
        <v>4.7039999999999997</v>
      </c>
      <c r="K24" s="13">
        <v>3.6724000000000001</v>
      </c>
      <c r="L24" s="12">
        <v>16245</v>
      </c>
      <c r="M24" s="14">
        <v>157.31</v>
      </c>
      <c r="N24" s="13">
        <v>35.880000000000003</v>
      </c>
      <c r="O24" s="13">
        <v>45.6</v>
      </c>
      <c r="P24" s="13">
        <v>31.629000000000001</v>
      </c>
      <c r="Q24" s="12">
        <v>42000</v>
      </c>
      <c r="R24" s="9">
        <v>0.79200000000000004</v>
      </c>
      <c r="S24" s="9">
        <v>0.92530000000000001</v>
      </c>
      <c r="T24" s="9">
        <v>53.844000000000001</v>
      </c>
      <c r="U24" s="9">
        <v>89.557000000000002</v>
      </c>
      <c r="V24" s="9">
        <v>104.645</v>
      </c>
    </row>
    <row r="25" spans="1:29" x14ac:dyDescent="0.3">
      <c r="A25" s="8">
        <v>45444</v>
      </c>
      <c r="B25" s="9">
        <v>83.35</v>
      </c>
      <c r="C25" s="9">
        <v>7.2671999999999999</v>
      </c>
      <c r="D25" s="10">
        <v>25440</v>
      </c>
      <c r="E25" s="9">
        <v>116.9</v>
      </c>
      <c r="F25" s="9">
        <v>7.8235000000000001</v>
      </c>
      <c r="G25" s="9">
        <v>32.400700000000001</v>
      </c>
      <c r="H25" s="9">
        <v>297.25</v>
      </c>
      <c r="I25" s="9">
        <v>1.3653</v>
      </c>
      <c r="J25" s="9">
        <v>4.7699999999999996</v>
      </c>
      <c r="K25" s="13">
        <v>3.6726000000000001</v>
      </c>
      <c r="L25" s="12">
        <v>16255</v>
      </c>
      <c r="M25" s="14">
        <v>157.80000000000001</v>
      </c>
      <c r="N25" s="13">
        <v>35.53</v>
      </c>
      <c r="O25" s="13">
        <v>44.8</v>
      </c>
      <c r="P25" s="13">
        <v>31.22</v>
      </c>
      <c r="Q25" s="12">
        <v>42000</v>
      </c>
      <c r="R25" s="9">
        <v>0.78810000000000002</v>
      </c>
      <c r="S25" s="9">
        <v>0.92420000000000002</v>
      </c>
      <c r="T25" s="9">
        <v>54.552</v>
      </c>
      <c r="U25" s="9">
        <v>89.876000000000005</v>
      </c>
      <c r="V25" s="9">
        <v>105.375</v>
      </c>
    </row>
    <row r="26" spans="1:29" x14ac:dyDescent="0.3">
      <c r="A26" s="8">
        <v>45413</v>
      </c>
      <c r="B26" s="9">
        <v>83.42</v>
      </c>
      <c r="C26" s="9">
        <v>7.2415000000000003</v>
      </c>
      <c r="D26" s="10">
        <v>25330</v>
      </c>
      <c r="E26" s="9">
        <v>109.5</v>
      </c>
      <c r="F26" s="9">
        <v>7.8254999999999999</v>
      </c>
      <c r="G26" s="9">
        <v>32.345999999999997</v>
      </c>
      <c r="H26" s="9">
        <v>300.3</v>
      </c>
      <c r="I26" s="9">
        <v>1.3492</v>
      </c>
      <c r="J26" s="9">
        <v>4.7225000000000001</v>
      </c>
      <c r="K26" s="13">
        <v>3.6722999999999999</v>
      </c>
      <c r="L26" s="12">
        <v>15850</v>
      </c>
      <c r="M26" s="14">
        <v>151.31</v>
      </c>
      <c r="N26" s="13">
        <v>34.35</v>
      </c>
      <c r="O26" s="13">
        <v>43.87</v>
      </c>
      <c r="P26" s="13">
        <v>30.681999999999999</v>
      </c>
      <c r="Q26" s="12">
        <v>42000</v>
      </c>
      <c r="R26" s="9">
        <v>0.78539999999999999</v>
      </c>
      <c r="S26" s="9">
        <v>0.90600000000000003</v>
      </c>
      <c r="T26" s="9">
        <v>56.652000000000001</v>
      </c>
      <c r="U26" s="9">
        <v>91.808000000000007</v>
      </c>
      <c r="V26" s="9">
        <v>105.893</v>
      </c>
    </row>
    <row r="27" spans="1:29" x14ac:dyDescent="0.3">
      <c r="A27" s="8">
        <v>45383</v>
      </c>
      <c r="B27" s="9">
        <v>83.45</v>
      </c>
      <c r="C27" s="9">
        <v>7.2401</v>
      </c>
      <c r="D27" s="10">
        <v>24810</v>
      </c>
      <c r="E27" s="9">
        <v>109.5</v>
      </c>
      <c r="F27" s="9">
        <v>7.8288000000000002</v>
      </c>
      <c r="G27" s="9">
        <v>31.188300000000002</v>
      </c>
      <c r="H27" s="9">
        <v>309.5</v>
      </c>
      <c r="I27" s="9">
        <v>1.3455999999999999</v>
      </c>
      <c r="J27" s="9">
        <v>4.742</v>
      </c>
      <c r="K27" s="13">
        <v>3.6720000000000002</v>
      </c>
      <c r="L27" s="12">
        <v>15710</v>
      </c>
      <c r="M27" s="14">
        <v>149.97999999999999</v>
      </c>
      <c r="N27" s="13">
        <v>35.31</v>
      </c>
      <c r="O27" s="13">
        <v>43.95</v>
      </c>
      <c r="P27" s="13">
        <v>31.361000000000001</v>
      </c>
      <c r="Q27" s="12">
        <v>42000</v>
      </c>
      <c r="R27" s="9">
        <v>0.79200000000000004</v>
      </c>
      <c r="S27" s="9">
        <v>0.91839999999999999</v>
      </c>
      <c r="T27" s="9">
        <v>55.048999999999999</v>
      </c>
      <c r="U27" s="9">
        <v>90.733999999999995</v>
      </c>
      <c r="V27" s="9">
        <v>105.21299999999999</v>
      </c>
    </row>
    <row r="28" spans="1:29" x14ac:dyDescent="0.3">
      <c r="A28" s="8">
        <v>45352</v>
      </c>
      <c r="B28" s="9">
        <v>83.35</v>
      </c>
      <c r="C28" s="9">
        <v>7.2202999999999999</v>
      </c>
      <c r="D28" s="10">
        <v>24640</v>
      </c>
      <c r="E28" s="9">
        <v>109.5</v>
      </c>
      <c r="F28" s="9">
        <v>7.8179999999999996</v>
      </c>
      <c r="G28" s="9">
        <v>30.315100000000001</v>
      </c>
      <c r="H28" s="9">
        <v>315.7</v>
      </c>
      <c r="I28" s="9">
        <v>1.3399000000000001</v>
      </c>
      <c r="J28" s="9">
        <v>4.7270000000000003</v>
      </c>
      <c r="K28" s="13">
        <v>3.6728999999999998</v>
      </c>
      <c r="L28" s="12">
        <v>15775</v>
      </c>
      <c r="M28" s="14">
        <v>146.88</v>
      </c>
      <c r="N28" s="13">
        <v>36.14</v>
      </c>
      <c r="O28" s="13">
        <v>44.1</v>
      </c>
      <c r="P28" s="13">
        <v>32.468000000000004</v>
      </c>
      <c r="Q28" s="12">
        <v>42000</v>
      </c>
      <c r="R28" s="9">
        <v>0.82269999999999999</v>
      </c>
      <c r="S28" s="9">
        <v>0.94520000000000004</v>
      </c>
      <c r="T28" s="9">
        <v>52.750999999999998</v>
      </c>
      <c r="U28" s="9">
        <v>88.052000000000007</v>
      </c>
      <c r="V28" s="9">
        <v>101.173</v>
      </c>
    </row>
    <row r="29" spans="1:29" x14ac:dyDescent="0.3">
      <c r="A29" s="8">
        <v>45323</v>
      </c>
      <c r="B29" s="9">
        <v>82.9</v>
      </c>
      <c r="C29" s="9">
        <v>7.1877000000000004</v>
      </c>
      <c r="D29" s="10">
        <v>24415</v>
      </c>
      <c r="E29" s="9">
        <v>109.5</v>
      </c>
      <c r="F29" s="9">
        <v>7.8086000000000002</v>
      </c>
      <c r="G29" s="9">
        <v>29.476600000000001</v>
      </c>
      <c r="H29" s="9">
        <v>323.8</v>
      </c>
      <c r="I29" s="9">
        <v>1.3190999999999999</v>
      </c>
      <c r="J29" s="9">
        <v>4.59</v>
      </c>
      <c r="K29" s="13">
        <v>3.6726000000000001</v>
      </c>
      <c r="L29" s="12">
        <v>15395</v>
      </c>
      <c r="M29" s="14">
        <v>141.06</v>
      </c>
      <c r="N29" s="13">
        <v>36.51</v>
      </c>
      <c r="O29" s="13">
        <v>44.32</v>
      </c>
      <c r="P29" s="13">
        <v>32.229999999999997</v>
      </c>
      <c r="Q29" s="12">
        <v>42000</v>
      </c>
      <c r="R29" s="9">
        <v>0.8196</v>
      </c>
      <c r="S29" s="9">
        <v>0.94569999999999999</v>
      </c>
      <c r="T29" s="9">
        <v>53.421999999999997</v>
      </c>
      <c r="U29" s="9">
        <v>87.763000000000005</v>
      </c>
      <c r="V29" s="9">
        <v>101.27200000000001</v>
      </c>
      <c r="AC29" s="5"/>
    </row>
    <row r="30" spans="1:29" x14ac:dyDescent="0.3">
      <c r="A30" s="8">
        <v>45292</v>
      </c>
      <c r="B30" s="9">
        <v>83.09</v>
      </c>
      <c r="C30" s="9">
        <v>7.1673</v>
      </c>
      <c r="D30" s="10">
        <v>24260</v>
      </c>
      <c r="E30" s="9">
        <v>109.5</v>
      </c>
      <c r="F30" s="9">
        <v>7.8106</v>
      </c>
      <c r="G30" s="9">
        <v>28.8552</v>
      </c>
      <c r="H30" s="9">
        <v>327.75</v>
      </c>
      <c r="I30" s="9">
        <v>1.3372999999999999</v>
      </c>
      <c r="J30" s="9">
        <v>4.657</v>
      </c>
      <c r="K30" s="13">
        <v>3.6726000000000001</v>
      </c>
      <c r="L30" s="12">
        <v>15505</v>
      </c>
      <c r="M30" s="14">
        <v>148.19</v>
      </c>
      <c r="N30" s="13">
        <v>34.979999999999997</v>
      </c>
      <c r="O30" s="13">
        <v>45.12</v>
      </c>
      <c r="P30" s="13">
        <v>31.844000000000001</v>
      </c>
      <c r="Q30" s="12">
        <v>42000</v>
      </c>
      <c r="R30" s="9">
        <v>0.78879999999999995</v>
      </c>
      <c r="S30" s="9">
        <v>0.92210000000000003</v>
      </c>
      <c r="T30" s="9">
        <v>53.615000000000002</v>
      </c>
      <c r="U30" s="9">
        <v>89.656999999999996</v>
      </c>
      <c r="V30" s="9">
        <v>104.80800000000001</v>
      </c>
    </row>
    <row r="31" spans="1:29" x14ac:dyDescent="0.3">
      <c r="A31" s="8">
        <v>45261</v>
      </c>
      <c r="B31" s="9">
        <v>83.1</v>
      </c>
      <c r="C31" s="9">
        <v>7.0978000000000003</v>
      </c>
      <c r="D31" s="10">
        <v>24250</v>
      </c>
      <c r="E31" s="9">
        <v>110</v>
      </c>
      <c r="F31" s="9">
        <v>7.8236999999999997</v>
      </c>
      <c r="G31" s="9">
        <v>28.275200000000002</v>
      </c>
      <c r="H31" s="9">
        <v>327.5</v>
      </c>
      <c r="I31" s="9">
        <v>1.3695999999999999</v>
      </c>
      <c r="J31" s="9">
        <v>4.7619999999999996</v>
      </c>
      <c r="K31" s="13">
        <v>3.6726000000000001</v>
      </c>
      <c r="L31" s="12">
        <v>15880</v>
      </c>
      <c r="M31" s="14">
        <v>151.66999999999999</v>
      </c>
      <c r="N31" s="13">
        <v>34.21</v>
      </c>
      <c r="O31" s="13">
        <v>46.2</v>
      </c>
      <c r="P31" s="13">
        <v>31.433</v>
      </c>
      <c r="Q31" s="12">
        <v>42000</v>
      </c>
      <c r="R31" s="9">
        <v>0.77890000000000004</v>
      </c>
      <c r="S31" s="9">
        <v>0.9093</v>
      </c>
      <c r="T31" s="9">
        <v>55.223999999999997</v>
      </c>
      <c r="U31" s="9">
        <v>90.430999999999997</v>
      </c>
      <c r="V31" s="9">
        <v>105.55500000000001</v>
      </c>
    </row>
    <row r="32" spans="1:29" x14ac:dyDescent="0.3">
      <c r="A32" s="8">
        <v>45231</v>
      </c>
      <c r="B32" s="9">
        <v>83.35</v>
      </c>
      <c r="C32" s="9">
        <v>7.1360000000000001</v>
      </c>
      <c r="D32" s="10">
        <v>24560</v>
      </c>
      <c r="E32" s="9">
        <v>110</v>
      </c>
      <c r="F32" s="9">
        <v>7.8307000000000002</v>
      </c>
      <c r="G32" s="9">
        <v>27.371200000000002</v>
      </c>
      <c r="H32" s="9">
        <v>323.75</v>
      </c>
      <c r="I32" s="9">
        <v>1.3652</v>
      </c>
      <c r="J32" s="9">
        <v>4.6935000000000002</v>
      </c>
      <c r="K32" s="13">
        <v>3.6726000000000001</v>
      </c>
      <c r="L32" s="12">
        <v>15450</v>
      </c>
      <c r="M32" s="14">
        <v>149.35</v>
      </c>
      <c r="N32" s="13">
        <v>35.270000000000003</v>
      </c>
      <c r="O32" s="13">
        <v>45.4</v>
      </c>
      <c r="P32" s="13">
        <v>31.129000000000001</v>
      </c>
      <c r="Q32" s="12">
        <v>42000</v>
      </c>
      <c r="R32" s="9">
        <v>0.78690000000000004</v>
      </c>
      <c r="S32" s="9">
        <v>0.9163</v>
      </c>
      <c r="T32" s="9">
        <v>54.722000000000001</v>
      </c>
      <c r="U32" s="9">
        <v>89.561000000000007</v>
      </c>
      <c r="V32" s="9">
        <v>104.288</v>
      </c>
    </row>
    <row r="33" spans="1:29" x14ac:dyDescent="0.3">
      <c r="A33" s="8">
        <v>45200</v>
      </c>
      <c r="B33" s="9">
        <v>83.25</v>
      </c>
      <c r="C33" s="9">
        <v>7.3158000000000003</v>
      </c>
      <c r="D33" s="10">
        <v>24280</v>
      </c>
      <c r="E33" s="9">
        <v>110</v>
      </c>
      <c r="F33" s="9">
        <v>7.8417000000000003</v>
      </c>
      <c r="G33" s="9">
        <v>26.650200000000002</v>
      </c>
      <c r="H33" s="9">
        <v>318.5</v>
      </c>
      <c r="I33" s="9">
        <v>1.3511</v>
      </c>
      <c r="J33" s="9">
        <v>4.6369999999999996</v>
      </c>
      <c r="K33" s="13">
        <v>3.6724000000000001</v>
      </c>
      <c r="L33" s="12">
        <v>15225</v>
      </c>
      <c r="M33" s="14">
        <v>145.53</v>
      </c>
      <c r="N33" s="13">
        <v>34.64</v>
      </c>
      <c r="O33" s="13">
        <v>45.55</v>
      </c>
      <c r="P33" s="13">
        <v>30.693000000000001</v>
      </c>
      <c r="Q33" s="12">
        <v>42000</v>
      </c>
      <c r="R33" s="9">
        <v>0.80369999999999997</v>
      </c>
      <c r="S33" s="9">
        <v>0.93530000000000002</v>
      </c>
      <c r="T33" s="9">
        <v>53.741999999999997</v>
      </c>
      <c r="U33" s="9">
        <v>88.367999999999995</v>
      </c>
      <c r="V33" s="9">
        <v>102.82899999999999</v>
      </c>
    </row>
    <row r="34" spans="1:29" x14ac:dyDescent="0.3">
      <c r="A34" s="8">
        <v>45170</v>
      </c>
      <c r="B34" s="9">
        <v>83.03</v>
      </c>
      <c r="C34" s="9">
        <v>7.3010000000000002</v>
      </c>
      <c r="D34" s="10">
        <v>24060</v>
      </c>
      <c r="E34" s="9">
        <v>109</v>
      </c>
      <c r="F34" s="9">
        <v>7.7975000000000003</v>
      </c>
      <c r="G34" s="9">
        <v>26.895499999999998</v>
      </c>
      <c r="H34" s="9">
        <v>317</v>
      </c>
      <c r="I34" s="9">
        <v>1.3293999999999999</v>
      </c>
      <c r="J34" s="9">
        <v>4.5069999999999997</v>
      </c>
      <c r="K34" s="13">
        <v>3.6718000000000002</v>
      </c>
      <c r="L34" s="12">
        <v>15075</v>
      </c>
      <c r="M34" s="14">
        <v>142.28</v>
      </c>
      <c r="N34" s="13">
        <v>34.119999999999997</v>
      </c>
      <c r="O34" s="13">
        <v>44.8</v>
      </c>
      <c r="P34" s="13">
        <v>30.738</v>
      </c>
      <c r="Q34" s="12">
        <v>42000</v>
      </c>
      <c r="R34" s="16">
        <v>0.79590000000000005</v>
      </c>
      <c r="S34" s="16">
        <v>0.90710000000000002</v>
      </c>
      <c r="T34" s="16">
        <v>54.040999999999997</v>
      </c>
      <c r="U34" s="16">
        <v>90.055000000000007</v>
      </c>
      <c r="V34" s="16">
        <v>102.648</v>
      </c>
    </row>
    <row r="35" spans="1:29" x14ac:dyDescent="0.3">
      <c r="A35" s="8">
        <v>45139</v>
      </c>
      <c r="B35" s="9">
        <v>82.7</v>
      </c>
      <c r="C35" s="9">
        <v>7.2582000000000004</v>
      </c>
      <c r="D35" s="10">
        <v>23680</v>
      </c>
      <c r="E35" s="9">
        <v>108.47</v>
      </c>
      <c r="F35" s="9">
        <v>7.8360000000000003</v>
      </c>
      <c r="G35" s="9">
        <v>26.046099999999999</v>
      </c>
      <c r="H35" s="9">
        <v>307.5</v>
      </c>
      <c r="I35" s="9">
        <v>1.3520000000000001</v>
      </c>
      <c r="J35" s="9">
        <v>4.665</v>
      </c>
      <c r="K35" s="13">
        <v>3.6724000000000001</v>
      </c>
      <c r="L35" s="12">
        <v>14990</v>
      </c>
      <c r="M35" s="14">
        <v>144.32</v>
      </c>
      <c r="N35" s="13">
        <v>34.510024999999999</v>
      </c>
      <c r="O35" s="13">
        <v>45.35</v>
      </c>
      <c r="P35" s="13">
        <v>30.535</v>
      </c>
      <c r="Q35" s="12">
        <v>42000</v>
      </c>
      <c r="R35" s="19">
        <v>0.81059999999999999</v>
      </c>
      <c r="S35" s="19">
        <v>0.92230000000000001</v>
      </c>
      <c r="T35" s="19">
        <v>54.923999999999999</v>
      </c>
      <c r="U35" s="19">
        <v>89.052999999999997</v>
      </c>
      <c r="V35" s="19">
        <v>101.328</v>
      </c>
    </row>
    <row r="36" spans="1:29" x14ac:dyDescent="0.3">
      <c r="A36" s="8">
        <v>45108</v>
      </c>
      <c r="B36" s="9">
        <v>82.24</v>
      </c>
      <c r="C36" s="9">
        <v>7.1425999999999998</v>
      </c>
      <c r="D36" s="10">
        <v>23575</v>
      </c>
      <c r="E36" s="9">
        <v>108.13</v>
      </c>
      <c r="F36" s="9">
        <v>7.8297999999999996</v>
      </c>
      <c r="G36" s="9">
        <v>20.7973</v>
      </c>
      <c r="H36" s="9">
        <v>290</v>
      </c>
      <c r="I36" s="9">
        <v>1.3515999999999999</v>
      </c>
      <c r="J36" s="9">
        <v>4.6130000000000004</v>
      </c>
      <c r="K36" s="13">
        <v>3.6726999999999999</v>
      </c>
      <c r="L36" s="12">
        <v>14985</v>
      </c>
      <c r="M36" s="14">
        <v>139.34</v>
      </c>
      <c r="N36" s="13">
        <v>34.057673999999999</v>
      </c>
      <c r="O36" s="13">
        <v>46.2</v>
      </c>
      <c r="P36" s="13">
        <v>30.715</v>
      </c>
      <c r="Q36" s="12">
        <v>42000</v>
      </c>
      <c r="R36" s="22">
        <v>0.83169999999999999</v>
      </c>
      <c r="S36" s="22">
        <v>0.94520000000000004</v>
      </c>
      <c r="T36" s="22">
        <v>55.6</v>
      </c>
      <c r="U36" s="22">
        <v>87.4</v>
      </c>
      <c r="V36" s="22">
        <v>99.332999999999998</v>
      </c>
    </row>
    <row r="37" spans="1:29" x14ac:dyDescent="0.3">
      <c r="A37" s="8">
        <v>45078</v>
      </c>
      <c r="B37" s="9">
        <v>82.09</v>
      </c>
      <c r="C37" s="9">
        <v>7.2512999999999996</v>
      </c>
      <c r="D37" s="10">
        <v>23485</v>
      </c>
      <c r="E37" s="9">
        <v>107.2</v>
      </c>
      <c r="F37" s="16">
        <v>7.8494999999999999</v>
      </c>
      <c r="G37" s="16">
        <v>19.447800000000001</v>
      </c>
      <c r="H37" s="16">
        <v>320</v>
      </c>
      <c r="I37" s="9">
        <v>1.3346</v>
      </c>
      <c r="J37" s="16">
        <v>4.4580000000000002</v>
      </c>
      <c r="K37" s="13">
        <v>3.6726999999999999</v>
      </c>
      <c r="L37" s="12">
        <v>14665</v>
      </c>
      <c r="M37" s="14">
        <v>136.28</v>
      </c>
      <c r="N37" s="13">
        <v>33.285955000000001</v>
      </c>
      <c r="O37" s="13">
        <v>44.05</v>
      </c>
      <c r="P37" s="13">
        <v>29.994</v>
      </c>
      <c r="Q37" s="12">
        <v>42000</v>
      </c>
      <c r="R37" s="22">
        <v>0.81159999999999999</v>
      </c>
      <c r="S37" s="22">
        <v>0.92049999999999998</v>
      </c>
      <c r="T37" s="22">
        <v>57.658999999999999</v>
      </c>
      <c r="U37" s="22">
        <v>88.784999999999997</v>
      </c>
      <c r="V37" s="22">
        <v>100.702</v>
      </c>
    </row>
    <row r="38" spans="1:29" x14ac:dyDescent="0.3">
      <c r="A38" s="8">
        <v>45047</v>
      </c>
      <c r="B38" s="9">
        <v>82.68</v>
      </c>
      <c r="C38" s="9">
        <v>7.1109</v>
      </c>
      <c r="D38" s="17">
        <v>23450</v>
      </c>
      <c r="E38" s="16">
        <v>106.1</v>
      </c>
      <c r="F38" s="19">
        <v>7.8494999999999999</v>
      </c>
      <c r="G38" s="19">
        <v>19.158200000000001</v>
      </c>
      <c r="H38" s="19">
        <v>324</v>
      </c>
      <c r="I38" s="9">
        <v>1.3306</v>
      </c>
      <c r="J38" s="19">
        <v>4.41</v>
      </c>
      <c r="K38" s="13">
        <v>3.6720999999999999</v>
      </c>
      <c r="L38" s="12">
        <v>14990</v>
      </c>
      <c r="M38" s="14">
        <v>132.79</v>
      </c>
      <c r="N38" s="13">
        <v>34.770434000000002</v>
      </c>
      <c r="O38" s="13">
        <v>43.85</v>
      </c>
      <c r="P38" s="13">
        <v>30.577000000000002</v>
      </c>
      <c r="Q38" s="12">
        <v>41850</v>
      </c>
      <c r="R38" s="22">
        <v>0.82640000000000002</v>
      </c>
      <c r="S38" s="22">
        <v>0.94441799999999998</v>
      </c>
      <c r="T38" s="22">
        <v>56.354999999999997</v>
      </c>
      <c r="U38" s="22">
        <v>87.338070999999999</v>
      </c>
      <c r="V38" s="22">
        <v>100.063</v>
      </c>
    </row>
    <row r="39" spans="1:29" x14ac:dyDescent="0.3">
      <c r="A39" s="15">
        <v>45017</v>
      </c>
      <c r="B39" s="16">
        <v>82.72</v>
      </c>
      <c r="C39" s="16">
        <v>6.9109999999999996</v>
      </c>
      <c r="D39" s="20">
        <v>23450</v>
      </c>
      <c r="E39" s="19">
        <v>107.2</v>
      </c>
      <c r="F39" s="22">
        <v>7.8491</v>
      </c>
      <c r="G39" s="22">
        <v>18.876100000000001</v>
      </c>
      <c r="H39" s="22">
        <v>362</v>
      </c>
      <c r="I39" s="9">
        <v>1.3481000000000001</v>
      </c>
      <c r="J39" s="22">
        <v>4.4850000000000003</v>
      </c>
      <c r="K39" s="13">
        <v>3.6726999999999999</v>
      </c>
      <c r="L39" s="12">
        <v>15245</v>
      </c>
      <c r="M39" s="14">
        <v>136.19999999999999</v>
      </c>
      <c r="N39" s="13">
        <v>36.371690999999998</v>
      </c>
      <c r="O39" s="13">
        <v>44.2</v>
      </c>
      <c r="P39" s="13">
        <v>30.803999999999998</v>
      </c>
      <c r="Q39" s="12">
        <v>42105</v>
      </c>
      <c r="R39" s="22">
        <v>0.82930000000000004</v>
      </c>
      <c r="S39" s="22">
        <v>0.98070800000000002</v>
      </c>
      <c r="T39" s="22">
        <v>55.21</v>
      </c>
      <c r="U39" s="22">
        <v>83.338441000000003</v>
      </c>
      <c r="V39" s="22">
        <v>98.085999999999999</v>
      </c>
      <c r="W39" s="3">
        <f>B39/B51-1</f>
        <v>8.5974965467584763E-2</v>
      </c>
    </row>
    <row r="40" spans="1:29" x14ac:dyDescent="0.3">
      <c r="A40" s="18">
        <v>44986</v>
      </c>
      <c r="B40" s="19">
        <v>82.16</v>
      </c>
      <c r="C40" s="19">
        <v>6.8676000000000004</v>
      </c>
      <c r="D40" s="23">
        <v>23740</v>
      </c>
      <c r="E40" s="22">
        <v>104.45</v>
      </c>
      <c r="F40" s="22">
        <v>7.8400999999999996</v>
      </c>
      <c r="G40" s="22">
        <v>18.8064</v>
      </c>
      <c r="H40" s="22">
        <v>365</v>
      </c>
      <c r="I40" s="9">
        <v>1.3134999999999999</v>
      </c>
      <c r="J40" s="22">
        <v>4.2629999999999999</v>
      </c>
      <c r="K40" s="13">
        <v>3.6726999999999999</v>
      </c>
      <c r="L40" s="12">
        <v>14985</v>
      </c>
      <c r="M40" s="14">
        <v>130.09</v>
      </c>
      <c r="N40" s="13">
        <v>37.948507999999997</v>
      </c>
      <c r="O40" s="13">
        <v>43.8</v>
      </c>
      <c r="P40" s="13">
        <v>32.24</v>
      </c>
      <c r="Q40" s="12">
        <v>42000</v>
      </c>
      <c r="R40" s="22">
        <v>0.87170000000000003</v>
      </c>
      <c r="S40" s="22">
        <v>1.017846</v>
      </c>
      <c r="T40" s="22">
        <v>52.948</v>
      </c>
      <c r="U40" s="22">
        <v>80.918000000000006</v>
      </c>
      <c r="V40" s="22">
        <v>94.929000000000002</v>
      </c>
    </row>
    <row r="41" spans="1:29" x14ac:dyDescent="0.3">
      <c r="A41" s="21">
        <v>44958</v>
      </c>
      <c r="B41" s="22">
        <v>82.64</v>
      </c>
      <c r="C41" s="22">
        <v>6.9325000000000001</v>
      </c>
      <c r="D41" s="23">
        <v>23445</v>
      </c>
      <c r="E41" s="22">
        <v>106.7</v>
      </c>
      <c r="F41" s="22">
        <v>7.8094999999999999</v>
      </c>
      <c r="G41" s="22">
        <v>18.662292999999998</v>
      </c>
      <c r="H41" s="22">
        <v>367.5</v>
      </c>
      <c r="I41" s="9">
        <v>1.3398000000000001</v>
      </c>
      <c r="J41" s="22">
        <v>4.4000000000000004</v>
      </c>
      <c r="K41" s="13">
        <v>3.6726999999999999</v>
      </c>
      <c r="L41" s="12">
        <v>15565</v>
      </c>
      <c r="M41" s="14">
        <v>131.11000000000001</v>
      </c>
      <c r="N41" s="13">
        <v>37.035271000000002</v>
      </c>
      <c r="O41" s="13">
        <v>45.6</v>
      </c>
      <c r="P41" s="13">
        <v>31.803000000000001</v>
      </c>
      <c r="Q41" s="12">
        <v>42000</v>
      </c>
      <c r="R41" s="22">
        <v>0.89570000000000005</v>
      </c>
      <c r="S41" s="22">
        <v>1.009978</v>
      </c>
      <c r="T41" s="22">
        <v>52.182000000000002</v>
      </c>
      <c r="U41" s="22">
        <v>79.455749999999995</v>
      </c>
      <c r="V41" s="22">
        <v>90.963999999999999</v>
      </c>
      <c r="AC41" s="5"/>
    </row>
    <row r="42" spans="1:29" x14ac:dyDescent="0.3">
      <c r="A42" s="21">
        <v>44927</v>
      </c>
      <c r="B42" s="22">
        <v>81.73</v>
      </c>
      <c r="C42" s="22">
        <v>6.7539999999999996</v>
      </c>
      <c r="D42" s="23">
        <v>23610</v>
      </c>
      <c r="E42" s="22">
        <v>102.5</v>
      </c>
      <c r="F42" s="22">
        <v>7.8097000000000003</v>
      </c>
      <c r="G42" s="22">
        <v>18.613050000000001</v>
      </c>
      <c r="H42" s="22">
        <v>368.5</v>
      </c>
      <c r="I42" s="9">
        <v>1.3613</v>
      </c>
      <c r="J42" s="22">
        <v>4.4429999999999996</v>
      </c>
      <c r="K42" s="13">
        <v>3.6726999999999999</v>
      </c>
      <c r="L42" s="12">
        <v>15730</v>
      </c>
      <c r="M42" s="14">
        <v>138.03</v>
      </c>
      <c r="N42" s="13">
        <v>35.848863999999999</v>
      </c>
      <c r="O42" s="13">
        <v>44.4</v>
      </c>
      <c r="P42" s="13">
        <v>30.388999999999999</v>
      </c>
      <c r="Q42" s="12">
        <v>42000</v>
      </c>
      <c r="R42" s="22">
        <v>0.86019999999999996</v>
      </c>
      <c r="S42" s="22">
        <v>0.98745899999999998</v>
      </c>
      <c r="T42" s="22">
        <v>54.363999999999997</v>
      </c>
      <c r="U42" s="22">
        <v>80.556286999999998</v>
      </c>
      <c r="V42" s="22">
        <v>92.384</v>
      </c>
    </row>
    <row r="43" spans="1:29" x14ac:dyDescent="0.3">
      <c r="A43" s="21">
        <v>44896</v>
      </c>
      <c r="B43" s="22">
        <v>82.479831000000004</v>
      </c>
      <c r="C43" s="22">
        <v>6.8971999999999998</v>
      </c>
      <c r="D43" s="23">
        <v>24630</v>
      </c>
      <c r="E43" s="22">
        <v>101.5</v>
      </c>
      <c r="F43" s="22">
        <v>7.8491</v>
      </c>
      <c r="G43" s="22">
        <v>18.589478</v>
      </c>
      <c r="H43" s="22">
        <v>363</v>
      </c>
      <c r="I43" s="9">
        <v>1.4157999999999999</v>
      </c>
      <c r="J43" s="22">
        <v>4.726</v>
      </c>
      <c r="K43" s="13">
        <v>3.6726999999999999</v>
      </c>
      <c r="L43" s="12">
        <v>15595</v>
      </c>
      <c r="M43" s="14">
        <v>148.71</v>
      </c>
      <c r="N43" s="13">
        <v>36.379669</v>
      </c>
      <c r="O43" s="13">
        <v>45.4</v>
      </c>
      <c r="P43" s="13">
        <v>29.998000000000001</v>
      </c>
      <c r="Q43" s="12">
        <v>42000</v>
      </c>
      <c r="R43" s="22">
        <v>0.82179999999999997</v>
      </c>
      <c r="S43" s="22">
        <v>0.98253599999999996</v>
      </c>
      <c r="T43" s="22">
        <v>55.415999999999997</v>
      </c>
      <c r="U43" s="22">
        <v>81.018248</v>
      </c>
      <c r="V43" s="22">
        <v>96.52</v>
      </c>
    </row>
    <row r="44" spans="1:29" x14ac:dyDescent="0.3">
      <c r="A44" s="21">
        <v>44866</v>
      </c>
      <c r="B44" s="22">
        <v>81.701479000000006</v>
      </c>
      <c r="C44" s="22">
        <v>7.0879000000000003</v>
      </c>
      <c r="D44" s="23">
        <v>24840</v>
      </c>
      <c r="E44" s="22">
        <v>100.8</v>
      </c>
      <c r="F44" s="22">
        <v>7.8498000000000001</v>
      </c>
      <c r="G44" s="22">
        <v>18.324428999999999</v>
      </c>
      <c r="H44" s="22">
        <v>365.5</v>
      </c>
      <c r="I44" s="9">
        <v>1.4348000000000001</v>
      </c>
      <c r="J44" s="22">
        <v>4.6349999999999998</v>
      </c>
      <c r="K44" s="13">
        <v>3.6726999999999999</v>
      </c>
      <c r="L44" s="12">
        <v>15225</v>
      </c>
      <c r="M44" s="14">
        <v>144.75</v>
      </c>
      <c r="N44" s="13">
        <v>34.953752999999999</v>
      </c>
      <c r="O44" s="13">
        <v>45.58</v>
      </c>
      <c r="P44" s="13">
        <v>29.712</v>
      </c>
      <c r="Q44" s="12">
        <v>42000</v>
      </c>
      <c r="R44" s="22">
        <v>0.82110000000000005</v>
      </c>
      <c r="S44" s="22">
        <v>0.94655699999999998</v>
      </c>
      <c r="T44" s="22">
        <v>54.482999999999997</v>
      </c>
      <c r="U44" s="22">
        <v>82.511208999999994</v>
      </c>
      <c r="V44" s="22">
        <v>96.122</v>
      </c>
    </row>
    <row r="45" spans="1:29" x14ac:dyDescent="0.3">
      <c r="A45" s="21">
        <v>44835</v>
      </c>
      <c r="B45" s="22">
        <v>82.354363000000006</v>
      </c>
      <c r="C45" s="22">
        <v>7.3014999999999999</v>
      </c>
      <c r="D45" s="23">
        <v>23855</v>
      </c>
      <c r="E45" s="22">
        <v>101.1</v>
      </c>
      <c r="F45" s="22">
        <v>7.8490000000000002</v>
      </c>
      <c r="G45" s="22">
        <v>18.039470000000001</v>
      </c>
      <c r="H45" s="22">
        <v>357.88</v>
      </c>
      <c r="I45" s="9">
        <v>1.3969</v>
      </c>
      <c r="J45" s="22">
        <v>4.4740000000000002</v>
      </c>
      <c r="K45" s="13">
        <v>3.6726000000000001</v>
      </c>
      <c r="L45" s="12">
        <v>14840</v>
      </c>
      <c r="M45" s="14">
        <v>138.96</v>
      </c>
      <c r="N45" s="13">
        <v>34.403281</v>
      </c>
      <c r="O45" s="13">
        <v>42.95</v>
      </c>
      <c r="P45" s="13">
        <v>29.026</v>
      </c>
      <c r="Q45" s="12">
        <v>42000</v>
      </c>
      <c r="R45" s="22">
        <v>0.79339999999999999</v>
      </c>
      <c r="S45" s="22">
        <v>0.94540000000000002</v>
      </c>
      <c r="T45" s="22">
        <v>55.648000000000003</v>
      </c>
      <c r="U45" s="22">
        <v>81.782786000000002</v>
      </c>
      <c r="V45" s="22">
        <v>97.736999999999995</v>
      </c>
    </row>
    <row r="46" spans="1:29" x14ac:dyDescent="0.3">
      <c r="A46" s="21">
        <v>44805</v>
      </c>
      <c r="B46" s="22">
        <v>80.240606</v>
      </c>
      <c r="C46" s="22">
        <v>7.1135000000000002</v>
      </c>
      <c r="D46" s="23">
        <v>23450</v>
      </c>
      <c r="E46" s="22">
        <v>94.91</v>
      </c>
      <c r="F46" s="22">
        <v>7.8497000000000003</v>
      </c>
      <c r="G46" s="22">
        <v>17.478739000000001</v>
      </c>
      <c r="H46" s="22">
        <v>357</v>
      </c>
      <c r="I46" s="9">
        <v>1.3804000000000001</v>
      </c>
      <c r="J46" s="22">
        <v>4.4480000000000004</v>
      </c>
      <c r="K46" s="13">
        <v>3.6726000000000001</v>
      </c>
      <c r="L46" s="12">
        <v>14830</v>
      </c>
      <c r="M46" s="14">
        <v>133.19</v>
      </c>
      <c r="N46" s="13">
        <v>33.796303999999999</v>
      </c>
      <c r="O46" s="13">
        <v>43.15</v>
      </c>
      <c r="P46" s="13">
        <v>29.437999999999999</v>
      </c>
      <c r="Q46" s="12">
        <v>42000</v>
      </c>
      <c r="R46" s="22">
        <v>0.79520000000000002</v>
      </c>
      <c r="S46" s="22">
        <v>0.92449999999999999</v>
      </c>
      <c r="T46" s="22">
        <v>54.045999999999999</v>
      </c>
      <c r="U46" s="22">
        <v>82.403257999999994</v>
      </c>
      <c r="V46" s="22">
        <v>96.192999999999998</v>
      </c>
    </row>
    <row r="47" spans="1:29" x14ac:dyDescent="0.3">
      <c r="A47" s="21">
        <v>44774</v>
      </c>
      <c r="B47" s="22">
        <v>79.536995000000005</v>
      </c>
      <c r="C47" s="22">
        <v>6.8890000000000002</v>
      </c>
      <c r="D47" s="23">
        <v>23335</v>
      </c>
      <c r="E47" s="22">
        <v>94.44</v>
      </c>
      <c r="F47" s="22">
        <v>7.8461999999999996</v>
      </c>
      <c r="G47" s="22">
        <v>16.999889</v>
      </c>
      <c r="H47" s="22">
        <v>356</v>
      </c>
      <c r="I47" s="9">
        <v>1.3897999999999999</v>
      </c>
      <c r="J47" s="22">
        <v>4.4059999999999997</v>
      </c>
      <c r="K47" s="13">
        <v>3.6726000000000001</v>
      </c>
      <c r="L47" s="12">
        <v>14895</v>
      </c>
      <c r="M47" s="14">
        <v>135.72999999999999</v>
      </c>
      <c r="N47" s="13">
        <v>33.259571999999999</v>
      </c>
      <c r="O47" s="13">
        <v>45.2</v>
      </c>
      <c r="P47" s="13">
        <v>28.629000000000001</v>
      </c>
      <c r="Q47" s="12">
        <v>42000</v>
      </c>
      <c r="R47" s="22">
        <v>0.76119999999999999</v>
      </c>
      <c r="S47" s="22">
        <v>0.90756300000000001</v>
      </c>
      <c r="T47" s="22">
        <v>56.774000000000001</v>
      </c>
      <c r="U47" s="22">
        <v>83.993342999999996</v>
      </c>
      <c r="V47" s="22">
        <v>99.688999999999993</v>
      </c>
    </row>
    <row r="48" spans="1:29" x14ac:dyDescent="0.3">
      <c r="A48" s="21">
        <v>44743</v>
      </c>
      <c r="B48" s="22">
        <v>79.596326000000005</v>
      </c>
      <c r="C48" s="22">
        <v>6.7432999999999996</v>
      </c>
      <c r="D48" s="23">
        <v>23255</v>
      </c>
      <c r="E48" s="22">
        <v>93.45</v>
      </c>
      <c r="F48" s="22">
        <v>7.8468999999999998</v>
      </c>
      <c r="G48" s="22">
        <v>15.633397</v>
      </c>
      <c r="H48" s="22">
        <v>360</v>
      </c>
      <c r="I48" s="9">
        <v>1.3693</v>
      </c>
      <c r="J48" s="22">
        <v>4.3769999999999998</v>
      </c>
      <c r="K48" s="13">
        <v>3.6726000000000001</v>
      </c>
      <c r="L48" s="12">
        <v>14580</v>
      </c>
      <c r="M48" s="14">
        <v>128.68</v>
      </c>
      <c r="N48" s="13">
        <v>32.634954</v>
      </c>
      <c r="O48" s="13">
        <v>43.35</v>
      </c>
      <c r="P48" s="13">
        <v>27.995999999999999</v>
      </c>
      <c r="Q48" s="12">
        <v>42000</v>
      </c>
      <c r="R48" s="22">
        <v>0.745</v>
      </c>
      <c r="S48" s="22">
        <v>0.88173299999999999</v>
      </c>
      <c r="T48" s="22">
        <v>54.823</v>
      </c>
      <c r="U48" s="22">
        <v>85.031165000000001</v>
      </c>
      <c r="V48" s="22">
        <v>101.304</v>
      </c>
    </row>
    <row r="49" spans="1:29" x14ac:dyDescent="0.3">
      <c r="A49" s="21">
        <v>44713</v>
      </c>
      <c r="B49" s="22">
        <v>78.095657000000003</v>
      </c>
      <c r="C49" s="22">
        <v>6.6981000000000002</v>
      </c>
      <c r="D49" s="23">
        <v>23185</v>
      </c>
      <c r="E49" s="22">
        <v>88.91</v>
      </c>
      <c r="F49" s="22">
        <v>7.8465999999999996</v>
      </c>
      <c r="G49" s="22">
        <v>14.725992</v>
      </c>
      <c r="H49" s="22">
        <v>355</v>
      </c>
      <c r="I49" s="9">
        <v>1.3835</v>
      </c>
      <c r="J49" s="22">
        <v>4.3520000000000003</v>
      </c>
      <c r="K49" s="13">
        <v>3.6726000000000001</v>
      </c>
      <c r="L49" s="12">
        <v>14495</v>
      </c>
      <c r="M49" s="14">
        <v>129.83000000000001</v>
      </c>
      <c r="N49" s="13">
        <v>33.238098000000001</v>
      </c>
      <c r="O49" s="13">
        <v>43.55</v>
      </c>
      <c r="P49" s="13">
        <v>27.768999999999998</v>
      </c>
      <c r="Q49" s="12">
        <v>42000</v>
      </c>
      <c r="R49" s="22">
        <v>0.74339999999999995</v>
      </c>
      <c r="S49" s="22">
        <v>0.88387099999999996</v>
      </c>
      <c r="T49" s="22">
        <v>52.646999999999998</v>
      </c>
      <c r="U49" s="22">
        <v>84.227314000000007</v>
      </c>
      <c r="V49" s="22">
        <v>100.20399999999999</v>
      </c>
    </row>
    <row r="50" spans="1:29" x14ac:dyDescent="0.3">
      <c r="A50" s="21">
        <v>44682</v>
      </c>
      <c r="B50" s="22">
        <v>77.309526000000005</v>
      </c>
      <c r="C50" s="22">
        <v>6.6715</v>
      </c>
      <c r="D50" s="23">
        <v>22962</v>
      </c>
      <c r="E50" s="22">
        <v>86.36</v>
      </c>
      <c r="F50" s="22">
        <v>7.8320999999999996</v>
      </c>
      <c r="G50" s="22">
        <v>14.632688</v>
      </c>
      <c r="H50" s="22">
        <v>294</v>
      </c>
      <c r="I50" s="9">
        <v>1.3548</v>
      </c>
      <c r="J50" s="22">
        <v>4.2030000000000003</v>
      </c>
      <c r="K50" s="13">
        <v>3.6726000000000001</v>
      </c>
      <c r="L50" s="12">
        <v>14368</v>
      </c>
      <c r="M50" s="14">
        <v>121.66</v>
      </c>
      <c r="N50" s="13">
        <v>33.555844</v>
      </c>
      <c r="O50" s="13">
        <v>43.45</v>
      </c>
      <c r="P50" s="13">
        <v>27.712</v>
      </c>
      <c r="Q50" s="12">
        <v>42000</v>
      </c>
      <c r="R50" s="22">
        <v>0.7389</v>
      </c>
      <c r="S50" s="22">
        <v>0.88466299999999998</v>
      </c>
      <c r="T50" s="22">
        <v>54.063000000000002</v>
      </c>
      <c r="U50" s="22">
        <v>85.176152000000002</v>
      </c>
      <c r="V50" s="22">
        <v>100.746</v>
      </c>
    </row>
    <row r="51" spans="1:29" x14ac:dyDescent="0.3">
      <c r="A51" s="21">
        <v>44652</v>
      </c>
      <c r="B51" s="22">
        <v>76.171184999999994</v>
      </c>
      <c r="C51" s="22">
        <v>6.6079999999999997</v>
      </c>
      <c r="D51" s="23">
        <v>22838</v>
      </c>
      <c r="E51" s="22">
        <v>86.2</v>
      </c>
      <c r="F51" s="22">
        <v>7.8139000000000003</v>
      </c>
      <c r="G51" s="22">
        <v>13.658243000000001</v>
      </c>
      <c r="H51" s="22">
        <v>200.92</v>
      </c>
      <c r="I51" s="9">
        <v>1.3546</v>
      </c>
      <c r="J51" s="22">
        <v>4.1959999999999997</v>
      </c>
      <c r="K51" s="13">
        <v>3.6726999999999999</v>
      </c>
      <c r="L51" s="12">
        <v>14365</v>
      </c>
      <c r="M51" s="14">
        <v>114.99</v>
      </c>
      <c r="N51" s="13">
        <v>33.093674999999998</v>
      </c>
      <c r="O51" s="13">
        <v>43.35</v>
      </c>
      <c r="P51" s="13">
        <v>27.628</v>
      </c>
      <c r="Q51" s="12">
        <v>42000</v>
      </c>
      <c r="R51" s="22">
        <v>0.75180000000000002</v>
      </c>
      <c r="S51" s="22">
        <v>0.87623600000000001</v>
      </c>
      <c r="T51" s="22">
        <v>53.487000000000002</v>
      </c>
      <c r="U51" s="22">
        <v>85.003776999999999</v>
      </c>
      <c r="V51" s="22">
        <v>99.831999999999994</v>
      </c>
    </row>
    <row r="52" spans="1:29" x14ac:dyDescent="0.3">
      <c r="A52" s="21">
        <v>44621</v>
      </c>
      <c r="B52" s="22">
        <v>76.228148000000004</v>
      </c>
      <c r="C52" s="22">
        <v>6.3392999999999997</v>
      </c>
      <c r="D52" s="23">
        <v>22805</v>
      </c>
      <c r="E52" s="22">
        <v>85.77</v>
      </c>
      <c r="F52" s="22">
        <v>7.7973999999999997</v>
      </c>
      <c r="G52" s="22">
        <v>13.568861</v>
      </c>
      <c r="H52" s="22">
        <v>201.2</v>
      </c>
      <c r="I52" s="9">
        <v>1.3512</v>
      </c>
      <c r="J52" s="22">
        <v>4.1840000000000002</v>
      </c>
      <c r="K52" s="13">
        <v>3.6728999999999998</v>
      </c>
      <c r="L52" s="12">
        <v>14380</v>
      </c>
      <c r="M52" s="14">
        <v>115.1</v>
      </c>
      <c r="N52" s="13">
        <v>33.455182999999998</v>
      </c>
      <c r="O52" s="13">
        <v>42.9</v>
      </c>
      <c r="P52" s="13">
        <v>27.821999999999999</v>
      </c>
      <c r="Q52" s="12">
        <v>42000</v>
      </c>
      <c r="R52" s="22">
        <v>0.73019999999999996</v>
      </c>
      <c r="S52" s="22">
        <v>0.86196499999999998</v>
      </c>
      <c r="T52" s="22">
        <v>56.344000000000001</v>
      </c>
      <c r="U52" s="22">
        <v>86.957123999999993</v>
      </c>
      <c r="V52" s="22">
        <v>102.56699999999999</v>
      </c>
    </row>
    <row r="53" spans="1:29" x14ac:dyDescent="0.3">
      <c r="A53" s="21">
        <v>44593</v>
      </c>
      <c r="B53" s="22">
        <v>74.971907000000002</v>
      </c>
      <c r="C53" s="22">
        <v>6.3083999999999998</v>
      </c>
      <c r="D53" s="23">
        <v>22645</v>
      </c>
      <c r="E53" s="22">
        <v>85.8</v>
      </c>
      <c r="F53" s="22">
        <v>7.7957999999999998</v>
      </c>
      <c r="G53" s="22">
        <v>13.833595000000001</v>
      </c>
      <c r="H53" s="22">
        <v>202.75</v>
      </c>
      <c r="I53" s="9">
        <v>1.349</v>
      </c>
      <c r="J53" s="22">
        <v>4.1639999999999997</v>
      </c>
      <c r="K53" s="13">
        <v>3.6728999999999998</v>
      </c>
      <c r="L53" s="12">
        <v>14250</v>
      </c>
      <c r="M53" s="14">
        <v>115.08</v>
      </c>
      <c r="N53" s="13">
        <v>33.067945000000002</v>
      </c>
      <c r="O53" s="13">
        <v>42.5</v>
      </c>
      <c r="P53" s="13">
        <v>27.81</v>
      </c>
      <c r="Q53" s="12">
        <v>42000</v>
      </c>
      <c r="R53" s="22">
        <v>0.74209999999999998</v>
      </c>
      <c r="S53" s="22">
        <v>0.84963100000000003</v>
      </c>
      <c r="T53" s="22">
        <v>53.591000000000001</v>
      </c>
      <c r="U53" s="22">
        <v>86.633044999999996</v>
      </c>
      <c r="V53" s="22">
        <v>99.914000000000001</v>
      </c>
      <c r="AC53" s="5"/>
    </row>
    <row r="54" spans="1:29" x14ac:dyDescent="0.3">
      <c r="A54" s="21">
        <v>44562</v>
      </c>
      <c r="B54" s="22">
        <v>74.444012000000001</v>
      </c>
      <c r="C54" s="22">
        <v>6.3605</v>
      </c>
      <c r="D54" s="23">
        <v>22825</v>
      </c>
      <c r="E54" s="22">
        <v>85.62</v>
      </c>
      <c r="F54" s="22">
        <v>7.7969999999999997</v>
      </c>
      <c r="G54" s="22">
        <v>10.731657999999999</v>
      </c>
      <c r="H54" s="22">
        <v>202.5</v>
      </c>
      <c r="I54" s="9">
        <v>1.3641000000000001</v>
      </c>
      <c r="J54" s="22">
        <v>4.2</v>
      </c>
      <c r="K54" s="13">
        <v>3.6728000000000001</v>
      </c>
      <c r="L54" s="12">
        <v>14320</v>
      </c>
      <c r="M54" s="14">
        <v>113.13</v>
      </c>
      <c r="N54" s="13">
        <v>33.092936999999999</v>
      </c>
      <c r="O54" s="13">
        <v>42.9</v>
      </c>
      <c r="P54" s="13">
        <v>27.651</v>
      </c>
      <c r="Q54" s="12">
        <v>42000</v>
      </c>
      <c r="R54" s="22">
        <v>0.7268</v>
      </c>
      <c r="S54" s="22">
        <v>0.84950800000000004</v>
      </c>
      <c r="T54" s="22">
        <v>53.360999999999997</v>
      </c>
      <c r="U54" s="22">
        <v>87.257313999999994</v>
      </c>
      <c r="V54" s="22">
        <v>100.331</v>
      </c>
    </row>
    <row r="55" spans="1:29" x14ac:dyDescent="0.3">
      <c r="A55" s="21">
        <v>44531</v>
      </c>
      <c r="B55" s="22">
        <v>75.352399000000005</v>
      </c>
      <c r="C55" s="22">
        <v>6.3521000000000001</v>
      </c>
      <c r="D55" s="23">
        <v>22688</v>
      </c>
      <c r="E55" s="22">
        <v>85.61</v>
      </c>
      <c r="F55" s="22">
        <v>7.7786999999999997</v>
      </c>
      <c r="G55" s="22">
        <v>9.20608</v>
      </c>
      <c r="H55" s="22">
        <v>200</v>
      </c>
      <c r="I55" s="9">
        <v>1.3488</v>
      </c>
      <c r="J55" s="22">
        <v>4.1390000000000002</v>
      </c>
      <c r="K55" s="13">
        <v>3.6726000000000001</v>
      </c>
      <c r="L55" s="12">
        <v>14165</v>
      </c>
      <c r="M55" s="14">
        <v>114</v>
      </c>
      <c r="N55" s="13">
        <v>32.640017999999998</v>
      </c>
      <c r="O55" s="13">
        <v>42.3</v>
      </c>
      <c r="P55" s="13">
        <v>27.93</v>
      </c>
      <c r="Q55" s="12">
        <v>42000</v>
      </c>
      <c r="R55" s="22">
        <v>0.71919999999999995</v>
      </c>
      <c r="S55" s="22">
        <v>0.84590200000000004</v>
      </c>
      <c r="T55" s="22">
        <v>54.593000000000004</v>
      </c>
      <c r="U55" s="22">
        <v>88.113382000000001</v>
      </c>
      <c r="V55" s="22">
        <v>103.336</v>
      </c>
    </row>
    <row r="56" spans="1:29" x14ac:dyDescent="0.3">
      <c r="A56" s="21">
        <v>44501</v>
      </c>
      <c r="B56" s="22">
        <v>74.473561000000004</v>
      </c>
      <c r="C56" s="22">
        <v>6.3639999999999999</v>
      </c>
      <c r="D56" s="23">
        <v>22750</v>
      </c>
      <c r="E56" s="22">
        <v>85.41</v>
      </c>
      <c r="F56" s="22">
        <v>7.7858999999999998</v>
      </c>
      <c r="G56" s="22">
        <v>8.5559279999999998</v>
      </c>
      <c r="H56" s="22">
        <v>199</v>
      </c>
      <c r="I56" s="9">
        <v>1.3572</v>
      </c>
      <c r="J56" s="22">
        <v>4.1849999999999996</v>
      </c>
      <c r="K56" s="13">
        <v>3.6728000000000001</v>
      </c>
      <c r="L56" s="12">
        <v>14310</v>
      </c>
      <c r="M56" s="14">
        <v>111.27</v>
      </c>
      <c r="N56" s="13">
        <v>31.440847000000002</v>
      </c>
      <c r="O56" s="13">
        <v>42.85</v>
      </c>
      <c r="P56" s="13">
        <v>27.913</v>
      </c>
      <c r="Q56" s="12">
        <v>42000</v>
      </c>
      <c r="R56" s="22">
        <v>0.72299999999999998</v>
      </c>
      <c r="S56" s="22">
        <v>0.83016699999999999</v>
      </c>
      <c r="T56" s="22">
        <v>55.755000000000003</v>
      </c>
      <c r="U56" s="22">
        <v>88.629845000000003</v>
      </c>
      <c r="V56" s="22">
        <v>102.818</v>
      </c>
    </row>
    <row r="57" spans="1:29" x14ac:dyDescent="0.3">
      <c r="A57" s="21">
        <v>44470</v>
      </c>
      <c r="B57" s="22">
        <v>74.953777000000002</v>
      </c>
      <c r="C57" s="22">
        <v>6.4050000000000002</v>
      </c>
      <c r="D57" s="23">
        <v>22750</v>
      </c>
      <c r="E57" s="22">
        <v>85.6</v>
      </c>
      <c r="F57" s="22">
        <v>7.7773000000000003</v>
      </c>
      <c r="G57" s="22">
        <v>8.4770769999999995</v>
      </c>
      <c r="H57" s="22">
        <v>199</v>
      </c>
      <c r="I57" s="9">
        <v>1.3447</v>
      </c>
      <c r="J57" s="22">
        <v>4.1550000000000002</v>
      </c>
      <c r="K57" s="13">
        <v>3.6724000000000001</v>
      </c>
      <c r="L57" s="12">
        <v>14265</v>
      </c>
      <c r="M57" s="14">
        <v>110.02</v>
      </c>
      <c r="N57" s="13">
        <v>31.279059</v>
      </c>
      <c r="O57" s="13">
        <v>41.15</v>
      </c>
      <c r="P57" s="13">
        <v>27.524000000000001</v>
      </c>
      <c r="Q57" s="12">
        <v>42000</v>
      </c>
      <c r="R57" s="22">
        <v>0.70350000000000001</v>
      </c>
      <c r="S57" s="22">
        <v>0.823353</v>
      </c>
      <c r="T57" s="22">
        <v>56.066000000000003</v>
      </c>
      <c r="U57" s="22">
        <v>88.917133000000007</v>
      </c>
      <c r="V57" s="22">
        <v>103.03100000000001</v>
      </c>
    </row>
    <row r="58" spans="1:29" x14ac:dyDescent="0.3">
      <c r="A58" s="21">
        <v>44440</v>
      </c>
      <c r="B58" s="22">
        <v>73.604971000000006</v>
      </c>
      <c r="C58" s="22">
        <v>6.4451999999999998</v>
      </c>
      <c r="D58" s="23">
        <v>22775</v>
      </c>
      <c r="E58" s="22">
        <v>85.03</v>
      </c>
      <c r="F58" s="22">
        <v>7.7720000000000002</v>
      </c>
      <c r="G58" s="22">
        <v>8.5931099999999994</v>
      </c>
      <c r="H58" s="22">
        <v>199</v>
      </c>
      <c r="I58" s="9">
        <v>1.3539000000000001</v>
      </c>
      <c r="J58" s="22">
        <v>4.218</v>
      </c>
      <c r="K58" s="13">
        <v>3.6726000000000001</v>
      </c>
      <c r="L58" s="12">
        <v>14460</v>
      </c>
      <c r="M58" s="14">
        <v>109.7</v>
      </c>
      <c r="N58" s="13">
        <v>31.347629000000001</v>
      </c>
      <c r="O58" s="13">
        <v>40.15</v>
      </c>
      <c r="P58" s="13">
        <v>27.846</v>
      </c>
      <c r="Q58" s="12">
        <v>42000</v>
      </c>
      <c r="R58" s="22">
        <v>0.72370000000000001</v>
      </c>
      <c r="S58" s="22">
        <v>0.83484800000000003</v>
      </c>
      <c r="T58" s="22">
        <v>57.137</v>
      </c>
      <c r="U58" s="22">
        <v>89.421025</v>
      </c>
      <c r="V58" s="22">
        <v>102.29300000000001</v>
      </c>
    </row>
    <row r="59" spans="1:29" x14ac:dyDescent="0.3">
      <c r="A59" s="21">
        <v>44409</v>
      </c>
      <c r="B59" s="22">
        <v>74.124448999999998</v>
      </c>
      <c r="C59" s="22">
        <v>6.4603999999999999</v>
      </c>
      <c r="D59" s="23">
        <v>22950</v>
      </c>
      <c r="E59" s="22">
        <v>84.25</v>
      </c>
      <c r="F59" s="22">
        <v>7.7641</v>
      </c>
      <c r="G59" s="22">
        <v>8.6187939999999994</v>
      </c>
      <c r="H59" s="22">
        <v>199</v>
      </c>
      <c r="I59" s="9">
        <v>1.3451</v>
      </c>
      <c r="J59" s="22">
        <v>4.1500000000000004</v>
      </c>
      <c r="K59" s="13">
        <v>3.6728000000000001</v>
      </c>
      <c r="L59" s="12">
        <v>14495</v>
      </c>
      <c r="M59" s="14">
        <v>111.1</v>
      </c>
      <c r="N59" s="13">
        <v>30.787929999999999</v>
      </c>
      <c r="O59" s="13">
        <v>40.65</v>
      </c>
      <c r="P59" s="13">
        <v>28.443999999999999</v>
      </c>
      <c r="Q59" s="12">
        <v>42000</v>
      </c>
      <c r="R59" s="22">
        <v>0.72540000000000004</v>
      </c>
      <c r="S59" s="22">
        <v>0.840449</v>
      </c>
      <c r="T59" s="22">
        <v>55.555</v>
      </c>
      <c r="U59" s="22">
        <v>86.655034999999998</v>
      </c>
      <c r="V59" s="22">
        <v>100.77500000000001</v>
      </c>
    </row>
    <row r="60" spans="1:29" x14ac:dyDescent="0.3">
      <c r="A60" s="21">
        <v>44378</v>
      </c>
      <c r="B60" s="22">
        <v>74.534734999999998</v>
      </c>
      <c r="C60" s="22">
        <v>6.4608999999999996</v>
      </c>
      <c r="D60" s="23">
        <v>23014</v>
      </c>
      <c r="E60" s="22">
        <v>84.57</v>
      </c>
      <c r="F60" s="22">
        <v>7.7606999999999999</v>
      </c>
      <c r="G60" s="22">
        <v>8.3855710000000006</v>
      </c>
      <c r="H60" s="22">
        <v>197</v>
      </c>
      <c r="I60" s="9">
        <v>1.3211999999999999</v>
      </c>
      <c r="J60" s="22">
        <v>4.1219999999999999</v>
      </c>
      <c r="K60" s="13">
        <v>3.6728000000000001</v>
      </c>
      <c r="L60" s="12">
        <v>14275</v>
      </c>
      <c r="M60" s="14">
        <v>109.54</v>
      </c>
      <c r="N60" s="13">
        <v>30.010950000000001</v>
      </c>
      <c r="O60" s="13">
        <v>39.700000000000003</v>
      </c>
      <c r="P60" s="13">
        <v>27.864999999999998</v>
      </c>
      <c r="Q60" s="12">
        <v>42000</v>
      </c>
      <c r="R60" s="22">
        <v>0.71760000000000002</v>
      </c>
      <c r="S60" s="22">
        <v>0.82660999999999996</v>
      </c>
      <c r="T60" s="22">
        <v>56.954999999999998</v>
      </c>
      <c r="U60" s="22">
        <v>88.075630000000004</v>
      </c>
      <c r="V60" s="22">
        <v>102.985</v>
      </c>
    </row>
    <row r="61" spans="1:29" x14ac:dyDescent="0.3">
      <c r="A61" s="21">
        <v>44348</v>
      </c>
      <c r="B61" s="22">
        <v>73.575495000000004</v>
      </c>
      <c r="C61" s="22">
        <v>6.4565999999999999</v>
      </c>
      <c r="D61" s="23">
        <v>23040</v>
      </c>
      <c r="E61" s="22">
        <v>84.54</v>
      </c>
      <c r="F61" s="22">
        <v>7.7674000000000003</v>
      </c>
      <c r="G61" s="22">
        <v>8.1752850000000006</v>
      </c>
      <c r="H61" s="22">
        <v>197</v>
      </c>
      <c r="I61" s="9">
        <v>1.3301000000000001</v>
      </c>
      <c r="J61" s="22">
        <v>4.093</v>
      </c>
      <c r="K61" s="13">
        <v>3.6728000000000001</v>
      </c>
      <c r="L61" s="12">
        <v>14440</v>
      </c>
      <c r="M61" s="14">
        <v>109.27</v>
      </c>
      <c r="N61" s="13">
        <v>30.012457999999999</v>
      </c>
      <c r="O61" s="13">
        <v>39.450000000000003</v>
      </c>
      <c r="P61" s="13">
        <v>28.001000000000001</v>
      </c>
      <c r="Q61" s="12">
        <v>42000</v>
      </c>
      <c r="R61" s="22">
        <v>0.7298</v>
      </c>
      <c r="S61" s="22">
        <v>0.82166399999999995</v>
      </c>
      <c r="T61" s="22">
        <v>55.692999999999998</v>
      </c>
      <c r="U61" s="22">
        <v>88.993575000000007</v>
      </c>
      <c r="V61" s="22">
        <v>99.834000000000003</v>
      </c>
    </row>
    <row r="62" spans="1:29" x14ac:dyDescent="0.3">
      <c r="A62" s="21">
        <v>44317</v>
      </c>
      <c r="B62" s="22">
        <v>73.209689999999995</v>
      </c>
      <c r="C62" s="22">
        <v>6.3688000000000002</v>
      </c>
      <c r="D62" s="23">
        <v>23054</v>
      </c>
      <c r="E62" s="22">
        <v>84.28</v>
      </c>
      <c r="F62" s="22">
        <v>7.7739000000000003</v>
      </c>
      <c r="G62" s="22">
        <v>7.675084</v>
      </c>
      <c r="H62" s="22">
        <v>198.5</v>
      </c>
      <c r="I62" s="9">
        <v>1.3446</v>
      </c>
      <c r="J62" s="22">
        <v>4.1449999999999996</v>
      </c>
      <c r="K62" s="13">
        <v>3.6728000000000001</v>
      </c>
      <c r="L62" s="12">
        <v>14520</v>
      </c>
      <c r="M62" s="14">
        <v>110.7</v>
      </c>
      <c r="N62" s="13">
        <v>30.082975000000001</v>
      </c>
      <c r="O62" s="13">
        <v>39.549999999999997</v>
      </c>
      <c r="P62" s="13">
        <v>28.074999999999999</v>
      </c>
      <c r="Q62" s="12">
        <v>42000</v>
      </c>
      <c r="R62" s="22">
        <v>0.73109999999999997</v>
      </c>
      <c r="S62" s="22">
        <v>0.82174100000000005</v>
      </c>
      <c r="T62" s="22">
        <v>56.194000000000003</v>
      </c>
      <c r="U62" s="22">
        <v>89.608144999999993</v>
      </c>
      <c r="V62" s="22">
        <v>99.861999999999995</v>
      </c>
    </row>
    <row r="63" spans="1:29" x14ac:dyDescent="0.3">
      <c r="A63" s="21">
        <v>44287</v>
      </c>
      <c r="B63" s="22">
        <v>74.645910000000001</v>
      </c>
      <c r="C63" s="22">
        <v>6.4729999999999999</v>
      </c>
      <c r="D63" s="23">
        <v>23074</v>
      </c>
      <c r="E63" s="22">
        <v>84.37</v>
      </c>
      <c r="F63" s="22">
        <v>7.7564000000000002</v>
      </c>
      <c r="G63" s="22">
        <v>7.0909129999999996</v>
      </c>
      <c r="H63" s="22">
        <v>194</v>
      </c>
      <c r="I63" s="9">
        <v>1.3314999999999999</v>
      </c>
      <c r="J63" s="22">
        <v>4.0519999999999996</v>
      </c>
      <c r="K63" s="13">
        <v>3.6728000000000001</v>
      </c>
      <c r="L63" s="12">
        <v>14240</v>
      </c>
      <c r="M63" s="14">
        <v>106.58</v>
      </c>
      <c r="N63" s="13">
        <v>30.446672</v>
      </c>
      <c r="O63" s="13">
        <v>39.700000000000003</v>
      </c>
      <c r="P63" s="13">
        <v>28.576000000000001</v>
      </c>
      <c r="Q63" s="12">
        <v>42000</v>
      </c>
      <c r="R63" s="22">
        <v>0.75049999999999994</v>
      </c>
      <c r="S63" s="22">
        <v>0.84477899999999995</v>
      </c>
      <c r="T63" s="22">
        <v>54.345999999999997</v>
      </c>
      <c r="U63" s="22">
        <v>87.855271000000002</v>
      </c>
      <c r="V63" s="22">
        <v>98.561999999999998</v>
      </c>
    </row>
    <row r="64" spans="1:29" x14ac:dyDescent="0.3">
      <c r="A64" s="21">
        <v>44256</v>
      </c>
      <c r="B64" s="22">
        <v>72.824742000000001</v>
      </c>
      <c r="C64" s="22">
        <v>6.5518000000000001</v>
      </c>
      <c r="D64" s="23">
        <v>23015</v>
      </c>
      <c r="E64" s="22">
        <v>84.62</v>
      </c>
      <c r="F64" s="22">
        <v>7.7527999999999997</v>
      </c>
      <c r="G64" s="22">
        <v>7.3997510000000002</v>
      </c>
      <c r="H64" s="22">
        <v>190.5</v>
      </c>
      <c r="I64" s="9">
        <v>1.3288</v>
      </c>
      <c r="J64" s="22">
        <v>4.04</v>
      </c>
      <c r="K64" s="13">
        <v>3.6728000000000001</v>
      </c>
      <c r="L64" s="12">
        <v>14020</v>
      </c>
      <c r="M64" s="14">
        <v>104.68</v>
      </c>
      <c r="N64" s="13">
        <v>31.248495999999999</v>
      </c>
      <c r="O64" s="13">
        <v>39.799999999999997</v>
      </c>
      <c r="P64" s="13">
        <v>28.584</v>
      </c>
      <c r="Q64" s="12">
        <v>42000</v>
      </c>
      <c r="R64" s="22">
        <v>0.77249999999999996</v>
      </c>
      <c r="S64" s="22">
        <v>0.84925700000000004</v>
      </c>
      <c r="T64" s="22">
        <v>52.381999999999998</v>
      </c>
      <c r="U64" s="22">
        <v>86.589090999999996</v>
      </c>
      <c r="V64" s="22">
        <v>96.48</v>
      </c>
      <c r="AC64" s="5"/>
    </row>
    <row r="65" spans="1:29" x14ac:dyDescent="0.3">
      <c r="A65" s="21">
        <v>44228</v>
      </c>
      <c r="B65" s="22">
        <v>72.802874000000003</v>
      </c>
      <c r="C65" s="22">
        <v>6.4729999999999999</v>
      </c>
      <c r="D65" s="23">
        <v>23048</v>
      </c>
      <c r="E65" s="22">
        <v>84.37</v>
      </c>
      <c r="F65" s="22">
        <v>7.7523</v>
      </c>
      <c r="G65" s="22">
        <v>7.7098389999999997</v>
      </c>
      <c r="H65" s="22">
        <v>185</v>
      </c>
      <c r="I65" s="9">
        <v>1.3209</v>
      </c>
      <c r="J65" s="22">
        <v>4.0199999999999996</v>
      </c>
      <c r="K65" s="13">
        <v>3.6728000000000001</v>
      </c>
      <c r="L65" s="12">
        <v>14040</v>
      </c>
      <c r="M65" s="14">
        <v>103.24</v>
      </c>
      <c r="N65" s="13">
        <v>31.374798999999999</v>
      </c>
      <c r="O65" s="13">
        <v>39.700000000000003</v>
      </c>
      <c r="P65" s="13">
        <v>28.922999999999998</v>
      </c>
      <c r="Q65" s="12">
        <v>42000</v>
      </c>
      <c r="R65" s="22">
        <v>0.77380000000000004</v>
      </c>
      <c r="S65" s="22">
        <v>0.84804999999999997</v>
      </c>
      <c r="T65" s="22">
        <v>52.683999999999997</v>
      </c>
      <c r="U65" s="22">
        <v>86.726595000000003</v>
      </c>
      <c r="V65" s="22">
        <v>95.025000000000006</v>
      </c>
    </row>
    <row r="66" spans="1:29" x14ac:dyDescent="0.3">
      <c r="A66" s="21">
        <v>44197</v>
      </c>
      <c r="B66" s="22">
        <v>73.120053999999996</v>
      </c>
      <c r="C66" s="22">
        <v>6.4249999999999998</v>
      </c>
      <c r="D66" s="23">
        <v>23070</v>
      </c>
      <c r="E66" s="22">
        <v>84.27</v>
      </c>
      <c r="F66" s="22">
        <v>7.7515999999999998</v>
      </c>
      <c r="G66" s="22">
        <v>7.9856720000000001</v>
      </c>
      <c r="H66" s="22">
        <v>185.5</v>
      </c>
      <c r="I66" s="9">
        <v>1.3413999999999999</v>
      </c>
      <c r="J66" s="22">
        <v>4.0730000000000004</v>
      </c>
      <c r="K66" s="13">
        <v>3.6728000000000001</v>
      </c>
      <c r="L66" s="12">
        <v>14090</v>
      </c>
      <c r="M66" s="14">
        <v>104.27</v>
      </c>
      <c r="N66" s="13">
        <v>31.20627</v>
      </c>
      <c r="O66" s="13">
        <v>39.6</v>
      </c>
      <c r="P66" s="13">
        <v>29.364999999999998</v>
      </c>
      <c r="Q66" s="12">
        <v>42000</v>
      </c>
      <c r="R66" s="22">
        <v>0.74770000000000003</v>
      </c>
      <c r="S66" s="22">
        <v>0.84546500000000002</v>
      </c>
      <c r="T66" s="22">
        <v>54.024999999999999</v>
      </c>
      <c r="U66" s="22">
        <v>88.230857</v>
      </c>
      <c r="V66" s="22">
        <v>97.933000000000007</v>
      </c>
    </row>
    <row r="67" spans="1:29" x14ac:dyDescent="0.3">
      <c r="A67" s="21">
        <v>44166</v>
      </c>
      <c r="B67" s="22">
        <v>73.632669000000007</v>
      </c>
      <c r="C67" s="22">
        <v>6.5250000000000004</v>
      </c>
      <c r="D67" s="23">
        <v>23140</v>
      </c>
      <c r="E67" s="22">
        <v>84.46</v>
      </c>
      <c r="F67" s="22">
        <v>7.7515999999999998</v>
      </c>
      <c r="G67" s="22">
        <v>7.9576719999999996</v>
      </c>
      <c r="H67" s="22">
        <v>184.25</v>
      </c>
      <c r="I67" s="9">
        <v>1.3660000000000001</v>
      </c>
      <c r="J67" s="22">
        <v>4.1509999999999998</v>
      </c>
      <c r="K67" s="13">
        <v>3.6728000000000001</v>
      </c>
      <c r="L67" s="12">
        <v>14620</v>
      </c>
      <c r="M67" s="14">
        <v>104.64</v>
      </c>
      <c r="N67" s="13">
        <v>31.414643999999999</v>
      </c>
      <c r="O67" s="13">
        <v>39.4</v>
      </c>
      <c r="P67" s="13">
        <v>29.337</v>
      </c>
      <c r="Q67" s="12">
        <v>42000</v>
      </c>
      <c r="R67" s="22">
        <v>0.7641</v>
      </c>
      <c r="S67" s="22">
        <v>0.87257399999999996</v>
      </c>
      <c r="T67" s="22">
        <v>53.505000000000003</v>
      </c>
      <c r="U67" s="22">
        <v>85.884674000000004</v>
      </c>
      <c r="V67" s="22">
        <v>98.013000000000005</v>
      </c>
    </row>
    <row r="68" spans="1:29" x14ac:dyDescent="0.3">
      <c r="A68" s="21">
        <v>44136</v>
      </c>
      <c r="B68" s="22">
        <v>74.216222999999999</v>
      </c>
      <c r="C68" s="22">
        <v>6.5759999999999996</v>
      </c>
      <c r="D68" s="23">
        <v>23180</v>
      </c>
      <c r="E68" s="22">
        <v>84.29</v>
      </c>
      <c r="F68" s="22">
        <v>7.7496</v>
      </c>
      <c r="G68" s="22">
        <v>7.555097</v>
      </c>
      <c r="H68" s="22">
        <v>184.9</v>
      </c>
      <c r="I68" s="9">
        <v>1.3652</v>
      </c>
      <c r="J68" s="22">
        <v>4.1529999999999996</v>
      </c>
      <c r="K68" s="13">
        <v>3.6728000000000001</v>
      </c>
      <c r="L68" s="12">
        <v>14840</v>
      </c>
      <c r="M68" s="14">
        <v>105.45</v>
      </c>
      <c r="N68" s="13">
        <v>31.167275</v>
      </c>
      <c r="O68" s="13">
        <v>40</v>
      </c>
      <c r="P68" s="13">
        <v>29.411999999999999</v>
      </c>
      <c r="Q68" s="12">
        <v>42000</v>
      </c>
      <c r="R68" s="22">
        <v>0.80630000000000002</v>
      </c>
      <c r="S68" s="22">
        <v>0.88855300000000004</v>
      </c>
      <c r="T68" s="22">
        <v>52.137999999999998</v>
      </c>
      <c r="U68" s="22">
        <v>85.221204999999998</v>
      </c>
      <c r="V68" s="22">
        <v>93.662000000000006</v>
      </c>
    </row>
    <row r="69" spans="1:29" x14ac:dyDescent="0.3">
      <c r="A69" s="21">
        <v>44105</v>
      </c>
      <c r="B69" s="22">
        <v>73.535523999999995</v>
      </c>
      <c r="C69" s="22">
        <v>6.6919000000000004</v>
      </c>
      <c r="D69" s="23">
        <v>23181</v>
      </c>
      <c r="E69" s="22">
        <v>84.79</v>
      </c>
      <c r="F69" s="22">
        <v>7.7500999999999998</v>
      </c>
      <c r="G69" s="22">
        <v>7.2827159999999997</v>
      </c>
      <c r="H69" s="22">
        <v>185.8</v>
      </c>
      <c r="I69" s="9">
        <v>1.3601000000000001</v>
      </c>
      <c r="J69" s="22">
        <v>4.1630000000000003</v>
      </c>
      <c r="K69" s="13">
        <v>3.6728000000000001</v>
      </c>
      <c r="L69" s="12">
        <v>14560</v>
      </c>
      <c r="M69" s="14">
        <v>105.89</v>
      </c>
      <c r="N69" s="13">
        <v>32.062482000000003</v>
      </c>
      <c r="O69" s="13">
        <v>40.049999999999997</v>
      </c>
      <c r="P69" s="13">
        <v>29.943999999999999</v>
      </c>
      <c r="Q69" s="12">
        <v>44070</v>
      </c>
      <c r="R69" s="22">
        <v>0.80979999999999996</v>
      </c>
      <c r="S69" s="22">
        <v>0.91733900000000002</v>
      </c>
      <c r="T69" s="22">
        <v>50.387999999999998</v>
      </c>
      <c r="U69" s="22">
        <v>82.4983</v>
      </c>
      <c r="V69" s="22">
        <v>93.308000000000007</v>
      </c>
    </row>
    <row r="70" spans="1:29" x14ac:dyDescent="0.3">
      <c r="A70" s="21">
        <v>44075</v>
      </c>
      <c r="B70" s="22">
        <v>73.545564999999996</v>
      </c>
      <c r="C70" s="22">
        <v>6.7896000000000001</v>
      </c>
      <c r="D70" s="23">
        <v>23174</v>
      </c>
      <c r="E70" s="22">
        <v>84.63</v>
      </c>
      <c r="F70" s="22">
        <v>7.7502000000000004</v>
      </c>
      <c r="G70" s="22">
        <v>6.8773580000000001</v>
      </c>
      <c r="H70" s="22">
        <v>185.55</v>
      </c>
      <c r="I70" s="9">
        <v>1.3743000000000001</v>
      </c>
      <c r="J70" s="22">
        <v>4.2370000000000001</v>
      </c>
      <c r="K70" s="13">
        <v>3.6726999999999999</v>
      </c>
      <c r="L70" s="12">
        <v>14530</v>
      </c>
      <c r="M70" s="14">
        <v>105.88</v>
      </c>
      <c r="N70" s="13">
        <v>32.632618000000001</v>
      </c>
      <c r="O70" s="13">
        <v>39.700000000000003</v>
      </c>
      <c r="P70" s="13">
        <v>29.776</v>
      </c>
      <c r="Q70" s="12">
        <v>42590</v>
      </c>
      <c r="R70" s="22">
        <v>0.79390000000000005</v>
      </c>
      <c r="S70" s="22">
        <v>0.92066700000000001</v>
      </c>
      <c r="T70" s="22">
        <v>48.875</v>
      </c>
      <c r="U70" s="22">
        <v>82.786910000000006</v>
      </c>
      <c r="V70" s="22">
        <v>94.537000000000006</v>
      </c>
    </row>
    <row r="71" spans="1:29" x14ac:dyDescent="0.3">
      <c r="A71" s="21">
        <v>44044</v>
      </c>
      <c r="B71" s="22">
        <v>74.595697000000001</v>
      </c>
      <c r="C71" s="22">
        <v>6.8474000000000004</v>
      </c>
      <c r="D71" s="23">
        <v>23170</v>
      </c>
      <c r="E71" s="22">
        <v>84.63</v>
      </c>
      <c r="F71" s="22">
        <v>7.7504999999999997</v>
      </c>
      <c r="G71" s="22">
        <v>6.8245259999999996</v>
      </c>
      <c r="H71" s="22">
        <v>186.15</v>
      </c>
      <c r="I71" s="9">
        <v>1.3931</v>
      </c>
      <c r="J71" s="22">
        <v>4.282</v>
      </c>
      <c r="K71" s="13">
        <v>3.6728000000000001</v>
      </c>
      <c r="L71" s="12">
        <v>14180</v>
      </c>
      <c r="M71" s="14">
        <v>107.92</v>
      </c>
      <c r="N71" s="13">
        <v>32.095681999999996</v>
      </c>
      <c r="O71" s="13">
        <v>39.1</v>
      </c>
      <c r="P71" s="13">
        <v>30.268000000000001</v>
      </c>
      <c r="Q71" s="12">
        <v>42155</v>
      </c>
      <c r="R71" s="22">
        <v>0.80510000000000004</v>
      </c>
      <c r="S71" s="22">
        <v>0.90418399999999999</v>
      </c>
      <c r="T71" s="22">
        <v>46.216999999999999</v>
      </c>
      <c r="U71" s="22">
        <v>82.437432000000001</v>
      </c>
      <c r="V71" s="22">
        <v>93.549000000000007</v>
      </c>
    </row>
    <row r="72" spans="1:29" x14ac:dyDescent="0.3">
      <c r="A72" s="21">
        <v>44013</v>
      </c>
      <c r="B72" s="22">
        <v>74.922385000000006</v>
      </c>
      <c r="C72" s="22">
        <v>6.9744000000000002</v>
      </c>
      <c r="D72" s="23">
        <v>23204</v>
      </c>
      <c r="E72" s="22">
        <v>84.73</v>
      </c>
      <c r="F72" s="22">
        <v>7.7508999999999997</v>
      </c>
      <c r="G72" s="22">
        <v>6.928687</v>
      </c>
      <c r="H72" s="22">
        <v>186.2</v>
      </c>
      <c r="I72" s="9">
        <v>1.4115</v>
      </c>
      <c r="J72" s="22">
        <v>4.3449999999999998</v>
      </c>
      <c r="K72" s="13">
        <v>3.6728000000000001</v>
      </c>
      <c r="L72" s="12">
        <v>14575</v>
      </c>
      <c r="M72" s="14">
        <v>107.77</v>
      </c>
      <c r="N72" s="13">
        <v>31.328713</v>
      </c>
      <c r="O72" s="13">
        <v>37.549999999999997</v>
      </c>
      <c r="P72" s="13">
        <v>30.122</v>
      </c>
      <c r="Q72" s="12">
        <v>42000</v>
      </c>
      <c r="R72" s="22">
        <v>0.77990000000000004</v>
      </c>
      <c r="S72" s="22">
        <v>0.91706900000000002</v>
      </c>
      <c r="T72" s="22">
        <v>47.212000000000003</v>
      </c>
      <c r="U72" s="22">
        <v>77.981750000000005</v>
      </c>
      <c r="V72" s="22">
        <v>92.989000000000004</v>
      </c>
    </row>
    <row r="73" spans="1:29" x14ac:dyDescent="0.3">
      <c r="A73" s="21">
        <v>43983</v>
      </c>
      <c r="B73" s="22">
        <v>75.721254000000002</v>
      </c>
      <c r="C73" s="22">
        <v>7.0651000000000002</v>
      </c>
      <c r="D73" s="23">
        <v>23280</v>
      </c>
      <c r="E73" s="22">
        <v>84.73</v>
      </c>
      <c r="F73" s="22">
        <v>7.7516999999999996</v>
      </c>
      <c r="G73" s="22">
        <v>6.8697540000000004</v>
      </c>
      <c r="H73" s="22">
        <v>190</v>
      </c>
      <c r="I73" s="9">
        <v>1.4107000000000001</v>
      </c>
      <c r="J73" s="22">
        <v>4.2930000000000001</v>
      </c>
      <c r="K73" s="13">
        <v>3.6726000000000001</v>
      </c>
      <c r="L73" s="12">
        <v>14825</v>
      </c>
      <c r="M73" s="14">
        <v>107.17</v>
      </c>
      <c r="N73" s="13">
        <v>30.463754999999999</v>
      </c>
      <c r="O73" s="13">
        <v>36.630000000000003</v>
      </c>
      <c r="P73" s="13">
        <v>30.346</v>
      </c>
      <c r="Q73" s="12">
        <v>37743</v>
      </c>
      <c r="R73" s="22">
        <v>0.75739999999999996</v>
      </c>
      <c r="S73" s="22">
        <v>0.90089399999999997</v>
      </c>
      <c r="T73" s="22">
        <v>47.866999999999997</v>
      </c>
      <c r="U73" s="22">
        <v>79.134236000000001</v>
      </c>
      <c r="V73" s="22">
        <v>94.426000000000002</v>
      </c>
    </row>
    <row r="74" spans="1:29" x14ac:dyDescent="0.3">
      <c r="A74" s="21">
        <v>43952</v>
      </c>
      <c r="B74" s="22">
        <v>75.674092999999999</v>
      </c>
      <c r="C74" s="22">
        <v>7.1348000000000003</v>
      </c>
      <c r="D74" s="23">
        <v>23428</v>
      </c>
      <c r="E74" s="22">
        <v>84.78</v>
      </c>
      <c r="F74" s="22">
        <v>7.7507999999999999</v>
      </c>
      <c r="G74" s="22">
        <v>6.3451709999999997</v>
      </c>
      <c r="H74" s="22">
        <v>189</v>
      </c>
      <c r="I74" s="9">
        <v>1.4215</v>
      </c>
      <c r="J74" s="22">
        <v>4.3129999999999997</v>
      </c>
      <c r="K74" s="13">
        <v>3.6728000000000001</v>
      </c>
      <c r="L74" s="12">
        <v>16300</v>
      </c>
      <c r="M74" s="14">
        <v>107.53</v>
      </c>
      <c r="N74" s="13">
        <v>30.199511000000001</v>
      </c>
      <c r="O74" s="13">
        <v>36.200000000000003</v>
      </c>
      <c r="P74" s="13">
        <v>29.908999999999999</v>
      </c>
      <c r="Q74" s="12">
        <v>37299</v>
      </c>
      <c r="R74" s="22">
        <v>0.75349999999999995</v>
      </c>
      <c r="S74" s="22">
        <v>0.89982799999999996</v>
      </c>
      <c r="T74" s="22">
        <v>50.094999999999999</v>
      </c>
      <c r="U74" s="22">
        <v>79.109165000000004</v>
      </c>
      <c r="V74" s="22">
        <v>94.66</v>
      </c>
    </row>
    <row r="75" spans="1:29" x14ac:dyDescent="0.3">
      <c r="A75" s="21">
        <v>43922</v>
      </c>
      <c r="B75" s="22">
        <v>76.217590000000001</v>
      </c>
      <c r="C75" s="22">
        <v>7.06</v>
      </c>
      <c r="D75" s="23">
        <v>23616</v>
      </c>
      <c r="E75" s="22">
        <v>84.67</v>
      </c>
      <c r="F75" s="22">
        <v>7.7949000000000002</v>
      </c>
      <c r="G75" s="22">
        <v>6.0704089999999997</v>
      </c>
      <c r="H75" s="22">
        <v>181.85</v>
      </c>
      <c r="I75" s="9">
        <v>1.3929</v>
      </c>
      <c r="J75" s="22">
        <v>4.2110000000000003</v>
      </c>
      <c r="K75" s="13">
        <v>3.6728000000000001</v>
      </c>
      <c r="L75" s="12">
        <v>14340</v>
      </c>
      <c r="M75" s="14">
        <v>108.07</v>
      </c>
      <c r="N75" s="13">
        <v>30.243686</v>
      </c>
      <c r="O75" s="13">
        <v>36.700000000000003</v>
      </c>
      <c r="P75" s="13">
        <v>30.513999999999999</v>
      </c>
      <c r="Q75" s="12">
        <v>36952</v>
      </c>
      <c r="R75" s="22">
        <v>0.77310000000000001</v>
      </c>
      <c r="S75" s="22">
        <v>0.90491500000000002</v>
      </c>
      <c r="T75" s="22">
        <v>48.529000000000003</v>
      </c>
      <c r="U75" s="22">
        <v>78.979928999999998</v>
      </c>
      <c r="V75" s="22">
        <v>92.789000000000001</v>
      </c>
    </row>
    <row r="76" spans="1:29" x14ac:dyDescent="0.3">
      <c r="A76" s="21">
        <v>43891</v>
      </c>
      <c r="B76" s="22">
        <v>74.526435000000006</v>
      </c>
      <c r="C76" s="22">
        <v>7.0808</v>
      </c>
      <c r="D76" s="23">
        <v>23240</v>
      </c>
      <c r="E76" s="22">
        <v>84.65</v>
      </c>
      <c r="F76" s="22">
        <v>7.7648000000000001</v>
      </c>
      <c r="G76" s="22">
        <v>5.9285030000000001</v>
      </c>
      <c r="H76" s="22">
        <v>181.35</v>
      </c>
      <c r="I76" s="9">
        <v>1.3648</v>
      </c>
      <c r="J76" s="22">
        <v>4.0949999999999998</v>
      </c>
      <c r="K76" s="13">
        <v>3.6726000000000001</v>
      </c>
      <c r="L76" s="12">
        <v>13650</v>
      </c>
      <c r="M76" s="14">
        <v>108.38</v>
      </c>
      <c r="N76" s="13">
        <v>30.363247000000001</v>
      </c>
      <c r="O76" s="13">
        <v>36.1</v>
      </c>
      <c r="P76" s="13">
        <v>30.478000000000002</v>
      </c>
      <c r="Q76" s="12">
        <v>36074</v>
      </c>
      <c r="R76" s="22">
        <v>0.77259999999999995</v>
      </c>
      <c r="S76" s="22">
        <v>0.90481100000000003</v>
      </c>
      <c r="T76" s="22">
        <v>48.924999999999997</v>
      </c>
      <c r="U76" s="22">
        <v>78.517674</v>
      </c>
      <c r="V76" s="22">
        <v>91.846000000000004</v>
      </c>
    </row>
    <row r="77" spans="1:29" x14ac:dyDescent="0.3">
      <c r="A77" s="21">
        <v>43862</v>
      </c>
      <c r="B77" s="22">
        <v>71.510946000000004</v>
      </c>
      <c r="C77" s="22">
        <v>6.9905999999999997</v>
      </c>
      <c r="D77" s="23">
        <v>23222</v>
      </c>
      <c r="E77" s="22">
        <v>84.6</v>
      </c>
      <c r="F77" s="22">
        <v>7.79</v>
      </c>
      <c r="G77" s="22">
        <v>5.8506130000000001</v>
      </c>
      <c r="H77" s="22">
        <v>181.3</v>
      </c>
      <c r="I77" s="9">
        <v>1.3444</v>
      </c>
      <c r="J77" s="22">
        <v>4.0890000000000004</v>
      </c>
      <c r="K77" s="13">
        <v>3.6726999999999999</v>
      </c>
      <c r="L77" s="12">
        <v>13880</v>
      </c>
      <c r="M77" s="14">
        <v>108.61</v>
      </c>
      <c r="N77" s="13">
        <v>30.570180000000001</v>
      </c>
      <c r="O77" s="13">
        <v>36.1</v>
      </c>
      <c r="P77" s="13">
        <v>31.039000000000001</v>
      </c>
      <c r="Q77" s="12">
        <v>35265</v>
      </c>
      <c r="R77" s="22">
        <v>0.81340000000000001</v>
      </c>
      <c r="S77" s="22">
        <v>0.90878700000000001</v>
      </c>
      <c r="T77" s="22">
        <v>47.654000000000003</v>
      </c>
      <c r="U77" s="22">
        <v>78.567785999999998</v>
      </c>
      <c r="V77" s="22">
        <v>86.816999999999993</v>
      </c>
      <c r="AC77" s="5"/>
    </row>
    <row r="78" spans="1:29" x14ac:dyDescent="0.3">
      <c r="A78" s="21">
        <v>43831</v>
      </c>
      <c r="B78" s="22">
        <v>71.289604999999995</v>
      </c>
      <c r="C78" s="22">
        <v>6.9363999999999999</v>
      </c>
      <c r="D78" s="23">
        <v>23171</v>
      </c>
      <c r="E78" s="22">
        <v>84.89</v>
      </c>
      <c r="F78" s="22">
        <v>7.8280000000000003</v>
      </c>
      <c r="G78" s="22">
        <v>5.7389210000000004</v>
      </c>
      <c r="H78" s="22">
        <v>180.85</v>
      </c>
      <c r="I78" s="9">
        <v>1.3672</v>
      </c>
      <c r="J78" s="22">
        <v>4.1749999999999998</v>
      </c>
      <c r="K78" s="13">
        <v>3.6728000000000001</v>
      </c>
      <c r="L78" s="12">
        <v>14100</v>
      </c>
      <c r="M78" s="14">
        <v>109.51</v>
      </c>
      <c r="N78" s="13">
        <v>30.754369000000001</v>
      </c>
      <c r="O78" s="13">
        <v>35.950000000000003</v>
      </c>
      <c r="P78" s="13">
        <v>31.318000000000001</v>
      </c>
      <c r="Q78" s="12">
        <v>34954</v>
      </c>
      <c r="R78" s="22">
        <v>0.82240000000000002</v>
      </c>
      <c r="S78" s="22">
        <v>0.89880199999999999</v>
      </c>
      <c r="T78" s="22">
        <v>48.128999999999998</v>
      </c>
      <c r="U78" s="22">
        <v>79.190155000000004</v>
      </c>
      <c r="V78" s="22">
        <v>86.855999999999995</v>
      </c>
    </row>
    <row r="79" spans="1:29" x14ac:dyDescent="0.3">
      <c r="A79" s="21">
        <v>43800</v>
      </c>
      <c r="B79" s="22">
        <v>71.183558000000005</v>
      </c>
      <c r="C79" s="22">
        <v>6.9618000000000002</v>
      </c>
      <c r="D79" s="23">
        <v>23179</v>
      </c>
      <c r="E79" s="22">
        <v>84.89</v>
      </c>
      <c r="F79" s="22">
        <v>7.8371000000000004</v>
      </c>
      <c r="G79" s="22">
        <v>5.7925519999999997</v>
      </c>
      <c r="H79" s="22">
        <v>181.05</v>
      </c>
      <c r="I79" s="9">
        <v>1.3602000000000001</v>
      </c>
      <c r="J79" s="22">
        <v>4.1775000000000002</v>
      </c>
      <c r="K79" s="13">
        <v>3.6728000000000001</v>
      </c>
      <c r="L79" s="12">
        <v>14032</v>
      </c>
      <c r="M79" s="14">
        <v>108.02</v>
      </c>
      <c r="N79" s="13">
        <v>30.798216</v>
      </c>
      <c r="O79" s="13">
        <v>36.049999999999997</v>
      </c>
      <c r="P79" s="13">
        <v>31.154</v>
      </c>
      <c r="Q79" s="12">
        <v>33805</v>
      </c>
      <c r="R79" s="22">
        <v>0.82230000000000003</v>
      </c>
      <c r="S79" s="22">
        <v>0.89142100000000002</v>
      </c>
      <c r="T79" s="22">
        <v>47.128</v>
      </c>
      <c r="U79" s="22">
        <v>77.127870000000001</v>
      </c>
      <c r="V79" s="22">
        <v>83.712999999999994</v>
      </c>
    </row>
    <row r="80" spans="1:29" x14ac:dyDescent="0.3">
      <c r="A80" s="21">
        <v>43770</v>
      </c>
      <c r="B80" s="22">
        <v>71.470119999999994</v>
      </c>
      <c r="C80" s="22">
        <v>7.0308000000000002</v>
      </c>
      <c r="D80" s="23">
        <v>23202</v>
      </c>
      <c r="E80" s="22">
        <v>84.5</v>
      </c>
      <c r="F80" s="22">
        <v>7.8384</v>
      </c>
      <c r="G80" s="22">
        <v>5.7038320000000002</v>
      </c>
      <c r="H80" s="22">
        <v>182</v>
      </c>
      <c r="I80" s="9">
        <v>1.3817999999999999</v>
      </c>
      <c r="J80" s="22">
        <v>4.1849999999999996</v>
      </c>
      <c r="K80" s="13">
        <v>3.6728000000000001</v>
      </c>
      <c r="L80" s="12">
        <v>14190</v>
      </c>
      <c r="M80" s="14">
        <v>108.06</v>
      </c>
      <c r="N80" s="13">
        <v>31.115504000000001</v>
      </c>
      <c r="O80" s="13">
        <v>35.5</v>
      </c>
      <c r="P80" s="13">
        <v>30.957999999999998</v>
      </c>
      <c r="Q80" s="12">
        <v>33208</v>
      </c>
      <c r="R80" s="22">
        <v>0.78759999999999997</v>
      </c>
      <c r="S80" s="22">
        <v>0.88549999999999995</v>
      </c>
      <c r="T80" s="22">
        <v>48.396000000000001</v>
      </c>
      <c r="U80" s="22">
        <v>78.407799999999995</v>
      </c>
      <c r="V80" s="22">
        <v>87.506</v>
      </c>
    </row>
    <row r="81" spans="1:29" x14ac:dyDescent="0.3">
      <c r="A81" s="21">
        <v>43739</v>
      </c>
      <c r="B81" s="22">
        <v>71.040744000000004</v>
      </c>
      <c r="C81" s="22">
        <v>7.0378999999999996</v>
      </c>
      <c r="D81" s="23">
        <v>23200</v>
      </c>
      <c r="E81" s="22">
        <v>84.49</v>
      </c>
      <c r="F81" s="22">
        <v>7.8433999999999999</v>
      </c>
      <c r="G81" s="22">
        <v>5.6509020000000003</v>
      </c>
      <c r="H81" s="22">
        <v>179.2</v>
      </c>
      <c r="I81" s="9">
        <v>1.387</v>
      </c>
      <c r="J81" s="22">
        <v>4.2030000000000003</v>
      </c>
      <c r="K81" s="13">
        <v>3.6728000000000001</v>
      </c>
      <c r="L81" s="12">
        <v>14180</v>
      </c>
      <c r="M81" s="14">
        <v>106.29</v>
      </c>
      <c r="N81" s="13">
        <v>31.803184000000002</v>
      </c>
      <c r="O81" s="13">
        <v>35.65</v>
      </c>
      <c r="P81" s="13">
        <v>31.524000000000001</v>
      </c>
      <c r="Q81" s="12">
        <v>32735</v>
      </c>
      <c r="R81" s="22">
        <v>0.7913</v>
      </c>
      <c r="S81" s="22">
        <v>0.89409300000000003</v>
      </c>
      <c r="T81" s="22">
        <v>48.268000000000001</v>
      </c>
      <c r="U81" s="22">
        <v>78.079773000000003</v>
      </c>
      <c r="V81" s="22">
        <v>87.888000000000005</v>
      </c>
    </row>
    <row r="82" spans="1:29" x14ac:dyDescent="0.3">
      <c r="A82" s="21">
        <v>43709</v>
      </c>
      <c r="B82" s="22">
        <v>71.399432000000004</v>
      </c>
      <c r="C82" s="22">
        <v>7.1477000000000004</v>
      </c>
      <c r="D82" s="23">
        <v>23185</v>
      </c>
      <c r="E82" s="22">
        <v>84.49</v>
      </c>
      <c r="F82" s="22">
        <v>7.8277999999999999</v>
      </c>
      <c r="G82" s="22">
        <v>5.6628280000000002</v>
      </c>
      <c r="H82" s="22">
        <v>176.3</v>
      </c>
      <c r="I82" s="9">
        <v>1.3734999999999999</v>
      </c>
      <c r="J82" s="22">
        <v>4.125</v>
      </c>
      <c r="K82" s="13">
        <v>3.6728000000000001</v>
      </c>
      <c r="L82" s="12">
        <v>14012</v>
      </c>
      <c r="M82" s="14">
        <v>108.74</v>
      </c>
      <c r="N82" s="13">
        <v>31.856180999999999</v>
      </c>
      <c r="O82" s="13">
        <v>34.65</v>
      </c>
      <c r="P82" s="13">
        <v>30.893000000000001</v>
      </c>
      <c r="Q82" s="12">
        <v>32489</v>
      </c>
      <c r="R82" s="22">
        <v>0.7671</v>
      </c>
      <c r="S82" s="22">
        <v>0.88983999999999996</v>
      </c>
      <c r="T82" s="22">
        <v>49.079000000000001</v>
      </c>
      <c r="U82" s="22">
        <v>78.002724999999998</v>
      </c>
      <c r="V82" s="22">
        <v>90.742999999999995</v>
      </c>
    </row>
    <row r="83" spans="1:29" x14ac:dyDescent="0.3">
      <c r="A83" s="21">
        <v>43678</v>
      </c>
      <c r="B83" s="22">
        <v>71.174543</v>
      </c>
      <c r="C83" s="22">
        <v>7.1543000000000001</v>
      </c>
      <c r="D83" s="23">
        <v>23230</v>
      </c>
      <c r="E83" s="22">
        <v>84.25</v>
      </c>
      <c r="F83" s="22">
        <v>7.8125999999999998</v>
      </c>
      <c r="G83" s="22">
        <v>5.8105510000000002</v>
      </c>
      <c r="H83" s="22">
        <v>176.4</v>
      </c>
      <c r="I83" s="9">
        <v>1.3522000000000001</v>
      </c>
      <c r="J83" s="22">
        <v>4.13</v>
      </c>
      <c r="K83" s="13">
        <v>3.6726000000000001</v>
      </c>
      <c r="L83" s="12">
        <v>14125</v>
      </c>
      <c r="M83" s="14">
        <v>107.88</v>
      </c>
      <c r="N83" s="13">
        <v>31.735310999999999</v>
      </c>
      <c r="O83" s="13">
        <v>34.78</v>
      </c>
      <c r="P83" s="13">
        <v>30.838000000000001</v>
      </c>
      <c r="Q83" s="12">
        <v>32450</v>
      </c>
      <c r="R83" s="22">
        <v>0.76719999999999999</v>
      </c>
      <c r="S83" s="22">
        <v>0.88477799999999995</v>
      </c>
      <c r="T83" s="22">
        <v>49.076000000000001</v>
      </c>
      <c r="U83" s="22">
        <v>78.560524000000001</v>
      </c>
      <c r="V83" s="22">
        <v>90.147999999999996</v>
      </c>
    </row>
    <row r="84" spans="1:29" x14ac:dyDescent="0.3">
      <c r="A84" s="21">
        <v>43647</v>
      </c>
      <c r="B84" s="22">
        <v>68.751615999999999</v>
      </c>
      <c r="C84" s="22">
        <v>6.8833000000000002</v>
      </c>
      <c r="D84" s="23">
        <v>23300</v>
      </c>
      <c r="E84" s="22">
        <v>84.49</v>
      </c>
      <c r="F84" s="22">
        <v>7.8380999999999998</v>
      </c>
      <c r="G84" s="22">
        <v>6.0523619999999996</v>
      </c>
      <c r="H84" s="22">
        <v>176.2</v>
      </c>
      <c r="I84" s="9">
        <v>1.3734</v>
      </c>
      <c r="J84" s="22">
        <v>4.1890000000000001</v>
      </c>
      <c r="K84" s="13">
        <v>3.6726999999999999</v>
      </c>
      <c r="L84" s="12">
        <v>14270</v>
      </c>
      <c r="M84" s="14">
        <v>108.26</v>
      </c>
      <c r="N84" s="13">
        <v>31.302547000000001</v>
      </c>
      <c r="O84" s="13">
        <v>34.020000000000003</v>
      </c>
      <c r="P84" s="13">
        <v>30.815999999999999</v>
      </c>
      <c r="Q84" s="12">
        <v>32439</v>
      </c>
      <c r="R84" s="22">
        <v>0.75390000000000001</v>
      </c>
      <c r="S84" s="22">
        <v>0.88098900000000002</v>
      </c>
      <c r="T84" s="22">
        <v>50.247</v>
      </c>
      <c r="U84" s="22">
        <v>80.860050000000001</v>
      </c>
      <c r="V84" s="22">
        <v>93.927999999999997</v>
      </c>
    </row>
    <row r="85" spans="1:29" x14ac:dyDescent="0.3">
      <c r="A85" s="21">
        <v>43617</v>
      </c>
      <c r="B85" s="22">
        <v>69.428644000000006</v>
      </c>
      <c r="C85" s="22">
        <v>6.8650000000000002</v>
      </c>
      <c r="D85" s="23">
        <v>23410</v>
      </c>
      <c r="E85" s="22">
        <v>83.93</v>
      </c>
      <c r="F85" s="22">
        <v>7.8444000000000003</v>
      </c>
      <c r="G85" s="22">
        <v>5.7579419999999999</v>
      </c>
      <c r="H85" s="22">
        <v>176</v>
      </c>
      <c r="I85" s="9">
        <v>1.3597999999999999</v>
      </c>
      <c r="J85" s="22">
        <v>4.1319999999999997</v>
      </c>
      <c r="K85" s="13">
        <v>3.6726999999999999</v>
      </c>
      <c r="L85" s="12">
        <v>14245</v>
      </c>
      <c r="M85" s="14">
        <v>111.41</v>
      </c>
      <c r="N85" s="13">
        <v>31.812373000000001</v>
      </c>
      <c r="O85" s="13">
        <v>34.08</v>
      </c>
      <c r="P85" s="13">
        <v>30.687999999999999</v>
      </c>
      <c r="Q85" s="12">
        <v>32422</v>
      </c>
      <c r="R85" s="22">
        <v>0.76270000000000004</v>
      </c>
      <c r="S85" s="22">
        <v>0.87595199999999995</v>
      </c>
      <c r="T85" s="22">
        <v>51.616</v>
      </c>
      <c r="U85" s="22">
        <v>80.798272999999995</v>
      </c>
      <c r="V85" s="22">
        <v>92.994</v>
      </c>
    </row>
    <row r="86" spans="1:29" x14ac:dyDescent="0.3">
      <c r="A86" s="21">
        <v>43586</v>
      </c>
      <c r="B86" s="22">
        <v>69.809849999999997</v>
      </c>
      <c r="C86" s="22">
        <v>6.9027000000000003</v>
      </c>
      <c r="D86" s="23">
        <v>23285</v>
      </c>
      <c r="E86" s="22">
        <v>83.8</v>
      </c>
      <c r="F86" s="22">
        <v>7.8494999999999999</v>
      </c>
      <c r="G86" s="22">
        <v>5.4841389999999999</v>
      </c>
      <c r="H86" s="22">
        <v>175.35</v>
      </c>
      <c r="I86" s="9">
        <v>1.3554999999999999</v>
      </c>
      <c r="J86" s="22">
        <v>4.08</v>
      </c>
      <c r="K86" s="13">
        <v>3.6728000000000001</v>
      </c>
      <c r="L86" s="12">
        <v>14235</v>
      </c>
      <c r="M86" s="14">
        <v>110.84</v>
      </c>
      <c r="N86" s="13">
        <v>32.710925000000003</v>
      </c>
      <c r="O86" s="13">
        <v>34.15</v>
      </c>
      <c r="P86" s="13">
        <v>30.562999999999999</v>
      </c>
      <c r="Q86" s="12">
        <v>32403</v>
      </c>
      <c r="R86" s="22">
        <v>0.78359999999999996</v>
      </c>
      <c r="S86" s="22">
        <v>0.87842299999999995</v>
      </c>
      <c r="T86" s="22">
        <v>49.033000000000001</v>
      </c>
      <c r="U86" s="22">
        <v>80.616615999999993</v>
      </c>
      <c r="V86" s="22">
        <v>88.738</v>
      </c>
    </row>
    <row r="87" spans="1:29" x14ac:dyDescent="0.3">
      <c r="A87" s="21">
        <v>43556</v>
      </c>
      <c r="B87" s="22">
        <v>69.409238999999999</v>
      </c>
      <c r="C87" s="22">
        <v>6.7347000000000001</v>
      </c>
      <c r="D87" s="23">
        <v>23203</v>
      </c>
      <c r="E87" s="22">
        <v>83.44</v>
      </c>
      <c r="F87" s="22">
        <v>7.8498000000000001</v>
      </c>
      <c r="G87" s="22">
        <v>5.2760059999999998</v>
      </c>
      <c r="H87" s="22">
        <v>179.9</v>
      </c>
      <c r="I87" s="9">
        <v>1.3519000000000001</v>
      </c>
      <c r="J87" s="22">
        <v>4.0650000000000004</v>
      </c>
      <c r="K87" s="13">
        <v>3.6728000000000001</v>
      </c>
      <c r="L87" s="12">
        <v>14060</v>
      </c>
      <c r="M87" s="14">
        <v>111.37</v>
      </c>
      <c r="N87" s="13">
        <v>32.964207999999999</v>
      </c>
      <c r="O87" s="13">
        <v>34.35</v>
      </c>
      <c r="P87" s="13">
        <v>30.846</v>
      </c>
      <c r="Q87" s="12">
        <v>32366</v>
      </c>
      <c r="R87" s="22">
        <v>0.78369999999999995</v>
      </c>
      <c r="S87" s="22">
        <v>0.87977300000000003</v>
      </c>
      <c r="T87" s="22">
        <v>50.942</v>
      </c>
      <c r="U87" s="22">
        <v>81.561117999999993</v>
      </c>
      <c r="V87" s="22">
        <v>88.825999999999993</v>
      </c>
    </row>
    <row r="88" spans="1:29" x14ac:dyDescent="0.3">
      <c r="A88" s="21">
        <v>43525</v>
      </c>
      <c r="B88" s="22">
        <v>69.507559999999998</v>
      </c>
      <c r="C88" s="22">
        <v>6.7111999999999998</v>
      </c>
      <c r="D88" s="23">
        <v>23199</v>
      </c>
      <c r="E88" s="22">
        <v>83.4</v>
      </c>
      <c r="F88" s="22">
        <v>7.8465999999999996</v>
      </c>
      <c r="G88" s="22">
        <v>5.3750099999999996</v>
      </c>
      <c r="H88" s="22">
        <v>178.15</v>
      </c>
      <c r="I88" s="9">
        <v>1.3452</v>
      </c>
      <c r="J88" s="22">
        <v>4.0940000000000003</v>
      </c>
      <c r="K88" s="13">
        <v>3.6724999999999999</v>
      </c>
      <c r="L88" s="12">
        <v>13970</v>
      </c>
      <c r="M88" s="14">
        <v>108.87</v>
      </c>
      <c r="N88" s="13">
        <v>32.787827999999998</v>
      </c>
      <c r="O88" s="13">
        <v>34.4</v>
      </c>
      <c r="P88" s="13">
        <v>30.931999999999999</v>
      </c>
      <c r="Q88" s="12">
        <v>32376</v>
      </c>
      <c r="R88" s="22">
        <v>0.7833</v>
      </c>
      <c r="S88" s="22">
        <v>0.87081600000000003</v>
      </c>
      <c r="T88" s="22">
        <v>52.305</v>
      </c>
      <c r="U88" s="22">
        <v>84.544651999999999</v>
      </c>
      <c r="V88" s="22">
        <v>94.405000000000001</v>
      </c>
    </row>
    <row r="89" spans="1:29" x14ac:dyDescent="0.3">
      <c r="A89" s="21">
        <v>43497</v>
      </c>
      <c r="B89" s="22">
        <v>71.234618999999995</v>
      </c>
      <c r="C89" s="22">
        <v>6.6912000000000003</v>
      </c>
      <c r="D89" s="23">
        <v>23198</v>
      </c>
      <c r="E89" s="22">
        <v>83.26</v>
      </c>
      <c r="F89" s="22">
        <v>7.8315000000000001</v>
      </c>
      <c r="G89" s="22">
        <v>5.3258770000000002</v>
      </c>
      <c r="H89" s="22">
        <v>182.6</v>
      </c>
      <c r="I89" s="9">
        <v>1.3627</v>
      </c>
      <c r="J89" s="22">
        <v>4.13</v>
      </c>
      <c r="K89" s="13">
        <v>3.6728000000000001</v>
      </c>
      <c r="L89" s="12">
        <v>14375</v>
      </c>
      <c r="M89" s="14">
        <v>109.56</v>
      </c>
      <c r="N89" s="13">
        <v>32.605685000000001</v>
      </c>
      <c r="O89" s="13">
        <v>34.22</v>
      </c>
      <c r="P89" s="13">
        <v>30.446000000000002</v>
      </c>
      <c r="Q89" s="12">
        <v>32091</v>
      </c>
      <c r="R89" s="22">
        <v>0.76729999999999998</v>
      </c>
      <c r="S89" s="22">
        <v>0.85776300000000005</v>
      </c>
      <c r="T89" s="22">
        <v>52.402999999999999</v>
      </c>
      <c r="U89" s="22">
        <v>84.210899999999995</v>
      </c>
      <c r="V89" s="22">
        <v>94.453000000000003</v>
      </c>
      <c r="AC89" s="5"/>
    </row>
    <row r="90" spans="1:29" x14ac:dyDescent="0.3">
      <c r="A90" s="21">
        <v>43466</v>
      </c>
      <c r="B90" s="22">
        <v>70.774544000000006</v>
      </c>
      <c r="C90" s="22">
        <v>6.6958000000000002</v>
      </c>
      <c r="D90" s="23">
        <v>23190</v>
      </c>
      <c r="E90" s="22">
        <v>83.13</v>
      </c>
      <c r="F90" s="22">
        <v>7.8234000000000004</v>
      </c>
      <c r="G90" s="22">
        <v>5.3574060000000001</v>
      </c>
      <c r="H90" s="22">
        <v>178.5</v>
      </c>
      <c r="I90" s="9">
        <v>1.3718999999999999</v>
      </c>
      <c r="J90" s="22">
        <v>4.1820000000000004</v>
      </c>
      <c r="K90" s="13">
        <v>3.6728000000000001</v>
      </c>
      <c r="L90" s="12">
        <v>14300</v>
      </c>
      <c r="M90" s="14">
        <v>113.46</v>
      </c>
      <c r="N90" s="13">
        <v>33.031264</v>
      </c>
      <c r="O90" s="13">
        <v>34.200000000000003</v>
      </c>
      <c r="P90" s="13">
        <v>30.672999999999998</v>
      </c>
      <c r="Q90" s="12">
        <v>31778</v>
      </c>
      <c r="R90" s="22">
        <v>0.7712</v>
      </c>
      <c r="S90" s="22">
        <v>0.86596300000000004</v>
      </c>
      <c r="T90" s="22">
        <v>51.048999999999999</v>
      </c>
      <c r="U90" s="22">
        <v>80.426043000000007</v>
      </c>
      <c r="V90" s="22">
        <v>92.022999999999996</v>
      </c>
    </row>
    <row r="91" spans="1:29" x14ac:dyDescent="0.3">
      <c r="A91" s="21">
        <v>43435</v>
      </c>
      <c r="B91" s="22">
        <v>70.816106000000005</v>
      </c>
      <c r="C91" s="22">
        <v>6.8754999999999997</v>
      </c>
      <c r="D91" s="23">
        <v>23315</v>
      </c>
      <c r="E91" s="22">
        <v>84.7</v>
      </c>
      <c r="F91" s="22">
        <v>7.8410000000000002</v>
      </c>
      <c r="G91" s="22">
        <v>5.8262859999999996</v>
      </c>
      <c r="H91" s="22">
        <v>175.3</v>
      </c>
      <c r="I91" s="9">
        <v>1.3854</v>
      </c>
      <c r="J91" s="22">
        <v>4.1829999999999998</v>
      </c>
      <c r="K91" s="13">
        <v>3.6728000000000001</v>
      </c>
      <c r="L91" s="12">
        <v>15200</v>
      </c>
      <c r="M91" s="14">
        <v>112.93</v>
      </c>
      <c r="N91" s="13">
        <v>33.283188000000003</v>
      </c>
      <c r="O91" s="13">
        <v>34.15</v>
      </c>
      <c r="P91" s="13">
        <v>30.568000000000001</v>
      </c>
      <c r="Q91" s="12">
        <v>31460</v>
      </c>
      <c r="R91" s="22">
        <v>0.76170000000000004</v>
      </c>
      <c r="S91" s="22">
        <v>0.85575900000000005</v>
      </c>
      <c r="T91" s="22">
        <v>50.831000000000003</v>
      </c>
      <c r="U91" s="22">
        <v>80.299636000000007</v>
      </c>
      <c r="V91" s="22">
        <v>89.834000000000003</v>
      </c>
    </row>
    <row r="92" spans="1:29" x14ac:dyDescent="0.3">
      <c r="A92" s="21">
        <v>43405</v>
      </c>
      <c r="B92" s="22">
        <v>71.753184000000005</v>
      </c>
      <c r="C92" s="22">
        <v>6.9558</v>
      </c>
      <c r="D92" s="23">
        <v>23343</v>
      </c>
      <c r="E92" s="22">
        <v>83.77</v>
      </c>
      <c r="F92" s="22">
        <v>7.8278999999999996</v>
      </c>
      <c r="G92" s="22">
        <v>6.3341589999999997</v>
      </c>
      <c r="H92" s="22">
        <v>169</v>
      </c>
      <c r="I92" s="9">
        <v>1.3663000000000001</v>
      </c>
      <c r="J92" s="22">
        <v>4.1369999999999996</v>
      </c>
      <c r="K92" s="13">
        <v>3.6728000000000001</v>
      </c>
      <c r="L92" s="12">
        <v>14900</v>
      </c>
      <c r="M92" s="14">
        <v>113.68</v>
      </c>
      <c r="N92" s="13">
        <v>32.481637999999997</v>
      </c>
      <c r="O92" s="13">
        <v>34.5</v>
      </c>
      <c r="P92" s="13">
        <v>30.463999999999999</v>
      </c>
      <c r="Q92" s="12">
        <v>31253</v>
      </c>
      <c r="R92" s="22">
        <v>0.75700000000000001</v>
      </c>
      <c r="S92" s="22">
        <v>0.85633599999999999</v>
      </c>
      <c r="T92" s="22">
        <v>50.667000000000002</v>
      </c>
      <c r="U92" s="22">
        <v>79.160071000000002</v>
      </c>
      <c r="V92" s="22">
        <v>90.402000000000001</v>
      </c>
    </row>
    <row r="93" spans="1:29" x14ac:dyDescent="0.3">
      <c r="A93" s="21">
        <v>43374</v>
      </c>
      <c r="B93" s="22">
        <v>73.619440999999995</v>
      </c>
      <c r="C93" s="22">
        <v>6.9737</v>
      </c>
      <c r="D93" s="23">
        <v>23325</v>
      </c>
      <c r="E93" s="22">
        <v>83.61</v>
      </c>
      <c r="F93" s="22">
        <v>7.8489000000000004</v>
      </c>
      <c r="G93" s="22">
        <v>5.9314460000000002</v>
      </c>
      <c r="H93" s="22">
        <v>161.4</v>
      </c>
      <c r="I93" s="9">
        <v>1.3718999999999999</v>
      </c>
      <c r="J93" s="22">
        <v>4.1079999999999997</v>
      </c>
      <c r="K93" s="13">
        <v>3.6728000000000001</v>
      </c>
      <c r="L93" s="12">
        <v>14725</v>
      </c>
      <c r="M93" s="14">
        <v>111.02</v>
      </c>
      <c r="N93" s="13">
        <v>31.985952000000001</v>
      </c>
      <c r="O93" s="13">
        <v>34.450000000000003</v>
      </c>
      <c r="P93" s="13">
        <v>29.972999999999999</v>
      </c>
      <c r="Q93" s="12">
        <v>30951</v>
      </c>
      <c r="R93" s="22">
        <v>0.75170000000000003</v>
      </c>
      <c r="S93" s="22">
        <v>0.84667599999999998</v>
      </c>
      <c r="T93" s="22">
        <v>51.017000000000003</v>
      </c>
      <c r="U93" s="22">
        <v>79.789135999999999</v>
      </c>
      <c r="V93" s="22">
        <v>89.655000000000001</v>
      </c>
    </row>
    <row r="94" spans="1:29" x14ac:dyDescent="0.3">
      <c r="A94" s="21">
        <v>43344</v>
      </c>
      <c r="B94" s="22">
        <v>72.229001999999994</v>
      </c>
      <c r="C94" s="22">
        <v>6.8680000000000003</v>
      </c>
      <c r="D94" s="23">
        <v>23303</v>
      </c>
      <c r="E94" s="22">
        <v>83.67</v>
      </c>
      <c r="F94" s="22">
        <v>7.8489000000000004</v>
      </c>
      <c r="G94" s="22">
        <v>4.7707750000000004</v>
      </c>
      <c r="H94" s="22">
        <v>159.55000000000001</v>
      </c>
      <c r="I94" s="9">
        <v>1.3609</v>
      </c>
      <c r="J94" s="22">
        <v>4.0629999999999997</v>
      </c>
      <c r="K94" s="13">
        <v>3.6728000000000001</v>
      </c>
      <c r="L94" s="12">
        <v>14415</v>
      </c>
      <c r="M94" s="14">
        <v>111.86</v>
      </c>
      <c r="N94" s="13">
        <v>31.322700000000001</v>
      </c>
      <c r="O94" s="13">
        <v>34</v>
      </c>
      <c r="P94" s="13">
        <v>29.623000000000001</v>
      </c>
      <c r="Q94" s="12">
        <v>30700</v>
      </c>
      <c r="R94" s="22">
        <v>0.72599999999999998</v>
      </c>
      <c r="S94" s="22">
        <v>0.81462500000000004</v>
      </c>
      <c r="T94" s="22">
        <v>50.042999999999999</v>
      </c>
      <c r="U94" s="22">
        <v>80.654775000000001</v>
      </c>
      <c r="V94" s="22">
        <v>91.495000000000005</v>
      </c>
    </row>
    <row r="95" spans="1:29" x14ac:dyDescent="0.3">
      <c r="A95" s="21">
        <v>43313</v>
      </c>
      <c r="B95" s="22">
        <v>69.639795000000007</v>
      </c>
      <c r="C95" s="22">
        <v>6.83</v>
      </c>
      <c r="D95" s="23">
        <v>23280</v>
      </c>
      <c r="E95" s="22">
        <v>84</v>
      </c>
      <c r="F95" s="22">
        <v>7.8461999999999996</v>
      </c>
      <c r="G95" s="22">
        <v>4.6307090000000004</v>
      </c>
      <c r="H95" s="22">
        <v>158.19999999999999</v>
      </c>
      <c r="I95" s="9">
        <v>1.3626</v>
      </c>
      <c r="J95" s="22">
        <v>4.0380000000000003</v>
      </c>
      <c r="K95" s="13">
        <v>3.6724000000000001</v>
      </c>
      <c r="L95" s="12">
        <v>14325</v>
      </c>
      <c r="M95" s="14">
        <v>110.66</v>
      </c>
      <c r="N95" s="13">
        <v>31.274495999999999</v>
      </c>
      <c r="O95" s="13">
        <v>33.5</v>
      </c>
      <c r="P95" s="13">
        <v>29.074999999999999</v>
      </c>
      <c r="Q95" s="12">
        <v>30460</v>
      </c>
      <c r="R95" s="22">
        <v>0.71330000000000005</v>
      </c>
      <c r="S95" s="22">
        <v>0.81064199999999997</v>
      </c>
      <c r="T95" s="22">
        <v>49.991</v>
      </c>
      <c r="U95" s="22">
        <v>80.252571000000003</v>
      </c>
      <c r="V95" s="22">
        <v>91.251999999999995</v>
      </c>
    </row>
    <row r="96" spans="1:29" x14ac:dyDescent="0.3">
      <c r="A96" s="21">
        <v>43282</v>
      </c>
      <c r="B96" s="22">
        <v>68.716033999999993</v>
      </c>
      <c r="C96" s="22">
        <v>6.8037999999999998</v>
      </c>
      <c r="D96" s="23">
        <v>22956</v>
      </c>
      <c r="E96" s="22">
        <v>83.61</v>
      </c>
      <c r="F96" s="22">
        <v>7.8430999999999997</v>
      </c>
      <c r="G96" s="22">
        <v>4.4462760000000001</v>
      </c>
      <c r="H96" s="22">
        <v>158.15</v>
      </c>
      <c r="I96" s="9">
        <v>1.3373999999999999</v>
      </c>
      <c r="J96" s="22">
        <v>3.9780000000000002</v>
      </c>
      <c r="K96" s="13">
        <v>3.6724000000000001</v>
      </c>
      <c r="L96" s="12">
        <v>13890</v>
      </c>
      <c r="M96" s="14">
        <v>108.81</v>
      </c>
      <c r="N96" s="13">
        <v>31.494447999999998</v>
      </c>
      <c r="O96" s="13">
        <v>33.4</v>
      </c>
      <c r="P96" s="13">
        <v>29.33</v>
      </c>
      <c r="Q96" s="12">
        <v>30315</v>
      </c>
      <c r="R96" s="22">
        <v>0.72660000000000002</v>
      </c>
      <c r="S96" s="22">
        <v>0.80989599999999995</v>
      </c>
      <c r="T96" s="22">
        <v>50.601999999999997</v>
      </c>
      <c r="U96" s="22">
        <v>79.561475000000002</v>
      </c>
      <c r="V96" s="22">
        <v>89.709000000000003</v>
      </c>
    </row>
    <row r="97" spans="1:29" x14ac:dyDescent="0.3">
      <c r="A97" s="21">
        <v>43252</v>
      </c>
      <c r="B97" s="22">
        <v>67.786743000000001</v>
      </c>
      <c r="C97" s="22">
        <v>6.6170999999999998</v>
      </c>
      <c r="D97" s="23">
        <v>22804</v>
      </c>
      <c r="E97" s="22">
        <v>84</v>
      </c>
      <c r="F97" s="22">
        <v>7.8480999999999996</v>
      </c>
      <c r="G97" s="22">
        <v>4.0730219999999999</v>
      </c>
      <c r="H97" s="22">
        <v>157.6</v>
      </c>
      <c r="I97" s="9">
        <v>1.3258000000000001</v>
      </c>
      <c r="J97" s="22">
        <v>3.92</v>
      </c>
      <c r="K97" s="13">
        <v>3.6720999999999999</v>
      </c>
      <c r="L97" s="12">
        <v>13910</v>
      </c>
      <c r="M97" s="14">
        <v>109.33</v>
      </c>
      <c r="N97" s="13">
        <v>31.901343000000001</v>
      </c>
      <c r="O97" s="13">
        <v>32.15</v>
      </c>
      <c r="P97" s="13">
        <v>29.161000000000001</v>
      </c>
      <c r="Q97" s="12">
        <v>30162</v>
      </c>
      <c r="R97" s="22">
        <v>0.70450000000000002</v>
      </c>
      <c r="S97" s="22">
        <v>0.819851</v>
      </c>
      <c r="T97" s="22">
        <v>51.174999999999997</v>
      </c>
      <c r="U97" s="22">
        <v>77.655817999999996</v>
      </c>
      <c r="V97" s="22">
        <v>90.162999999999997</v>
      </c>
    </row>
    <row r="98" spans="1:29" x14ac:dyDescent="0.3">
      <c r="A98" s="21">
        <v>43221</v>
      </c>
      <c r="B98" s="22">
        <v>67.551006999999998</v>
      </c>
      <c r="C98" s="22">
        <v>6.4096000000000002</v>
      </c>
      <c r="D98" s="23">
        <v>22763</v>
      </c>
      <c r="E98" s="22">
        <v>84.2</v>
      </c>
      <c r="F98" s="22">
        <v>7.8484999999999996</v>
      </c>
      <c r="G98" s="22">
        <v>3.890422</v>
      </c>
      <c r="H98" s="22">
        <v>155.6</v>
      </c>
      <c r="I98" s="9">
        <v>1.3107</v>
      </c>
      <c r="J98" s="22">
        <v>3.8620000000000001</v>
      </c>
      <c r="K98" s="13">
        <v>3.6726000000000001</v>
      </c>
      <c r="L98" s="12">
        <v>13760</v>
      </c>
      <c r="M98" s="14">
        <v>106.26</v>
      </c>
      <c r="N98" s="13">
        <v>32.644750999999999</v>
      </c>
      <c r="O98" s="13">
        <v>33.4</v>
      </c>
      <c r="P98" s="13">
        <v>29.661999999999999</v>
      </c>
      <c r="Q98" s="12">
        <v>30197</v>
      </c>
      <c r="R98" s="22">
        <v>0.73980000000000001</v>
      </c>
      <c r="S98" s="22">
        <v>0.84488799999999997</v>
      </c>
      <c r="T98" s="22">
        <v>49.793999999999997</v>
      </c>
      <c r="U98" s="22">
        <v>76.066263000000006</v>
      </c>
      <c r="V98" s="22">
        <v>86.247</v>
      </c>
    </row>
    <row r="99" spans="1:29" x14ac:dyDescent="0.3">
      <c r="A99" s="21">
        <v>43191</v>
      </c>
      <c r="B99" s="22">
        <v>65.702752000000004</v>
      </c>
      <c r="C99" s="22">
        <v>6.3324999999999996</v>
      </c>
      <c r="D99" s="23">
        <v>22793</v>
      </c>
      <c r="E99" s="22">
        <v>82.91</v>
      </c>
      <c r="F99" s="22">
        <v>7.8262</v>
      </c>
      <c r="G99" s="22">
        <v>3.7829489999999999</v>
      </c>
      <c r="H99" s="22">
        <v>154.94999999999999</v>
      </c>
      <c r="I99" s="9">
        <v>1.3246</v>
      </c>
      <c r="J99" s="22">
        <v>3.915</v>
      </c>
      <c r="K99" s="13">
        <v>3.6724000000000001</v>
      </c>
      <c r="L99" s="12">
        <v>13740</v>
      </c>
      <c r="M99" s="14">
        <v>106.67</v>
      </c>
      <c r="N99" s="13">
        <v>32.906177</v>
      </c>
      <c r="O99" s="13">
        <v>33.590000000000003</v>
      </c>
      <c r="P99" s="13">
        <v>29.984000000000002</v>
      </c>
      <c r="Q99" s="12">
        <v>30186</v>
      </c>
      <c r="R99" s="22">
        <v>0.73919999999999997</v>
      </c>
      <c r="S99" s="22">
        <v>0.85200900000000002</v>
      </c>
      <c r="T99" s="22">
        <v>48.786000000000001</v>
      </c>
      <c r="U99" s="22">
        <v>76.124841000000004</v>
      </c>
      <c r="V99" s="22">
        <v>87.209000000000003</v>
      </c>
    </row>
    <row r="100" spans="1:29" x14ac:dyDescent="0.3">
      <c r="A100" s="21">
        <v>43160</v>
      </c>
      <c r="B100" s="22">
        <v>65.054934000000003</v>
      </c>
      <c r="C100" s="22">
        <v>6.2725999999999997</v>
      </c>
      <c r="D100" s="23">
        <v>22756</v>
      </c>
      <c r="E100" s="22">
        <v>82.92</v>
      </c>
      <c r="F100" s="22">
        <v>7.8226000000000004</v>
      </c>
      <c r="G100" s="22">
        <v>3.7728679999999999</v>
      </c>
      <c r="H100" s="22">
        <v>153.9</v>
      </c>
      <c r="I100" s="9">
        <v>1.3117000000000001</v>
      </c>
      <c r="J100" s="22">
        <v>3.8995000000000002</v>
      </c>
      <c r="K100" s="13">
        <v>3.6722000000000001</v>
      </c>
      <c r="L100" s="12">
        <v>13387</v>
      </c>
      <c r="M100" s="14">
        <v>109.17</v>
      </c>
      <c r="N100" s="13">
        <v>33.233998</v>
      </c>
      <c r="O100" s="13">
        <v>34.15</v>
      </c>
      <c r="P100" s="13">
        <v>30.152999999999999</v>
      </c>
      <c r="Q100" s="12">
        <v>30130</v>
      </c>
      <c r="R100" s="22">
        <v>0.75280000000000002</v>
      </c>
      <c r="S100" s="22">
        <v>0.85066600000000003</v>
      </c>
      <c r="T100" s="22">
        <v>49.558</v>
      </c>
      <c r="U100" s="22">
        <v>76.497699999999995</v>
      </c>
      <c r="V100" s="22">
        <v>85.988</v>
      </c>
    </row>
    <row r="101" spans="1:29" x14ac:dyDescent="0.3">
      <c r="A101" s="21">
        <v>43132</v>
      </c>
      <c r="B101" s="22">
        <v>64.435411999999999</v>
      </c>
      <c r="C101" s="22">
        <v>6.3280000000000003</v>
      </c>
      <c r="D101" s="23">
        <v>22700</v>
      </c>
      <c r="E101" s="22">
        <v>82.87</v>
      </c>
      <c r="F101" s="22">
        <v>7.8125999999999998</v>
      </c>
      <c r="G101" s="22">
        <v>3.8450980000000001</v>
      </c>
      <c r="H101" s="22">
        <v>153.4</v>
      </c>
      <c r="I101" s="9">
        <v>1.3372999999999999</v>
      </c>
      <c r="J101" s="22">
        <v>4.0439999999999996</v>
      </c>
      <c r="K101" s="13">
        <v>3.6720999999999999</v>
      </c>
      <c r="L101" s="12">
        <v>13565</v>
      </c>
      <c r="M101" s="14">
        <v>112.67</v>
      </c>
      <c r="N101" s="13">
        <v>33.150528999999999</v>
      </c>
      <c r="O101" s="13">
        <v>33.83</v>
      </c>
      <c r="P101" s="13">
        <v>30.312999999999999</v>
      </c>
      <c r="Q101" s="12">
        <v>30086</v>
      </c>
      <c r="R101" s="22">
        <v>0.74639999999999995</v>
      </c>
      <c r="S101" s="22">
        <v>0.83934600000000004</v>
      </c>
      <c r="T101" s="22">
        <v>51.152999999999999</v>
      </c>
      <c r="U101" s="22">
        <v>76.800185999999997</v>
      </c>
      <c r="V101" s="22">
        <v>87.483000000000004</v>
      </c>
      <c r="AC101" s="5"/>
    </row>
    <row r="102" spans="1:29" x14ac:dyDescent="0.3">
      <c r="A102" s="21">
        <v>43101</v>
      </c>
      <c r="B102" s="22">
        <v>63.654439000000004</v>
      </c>
      <c r="C102" s="22">
        <v>6.2840999999999996</v>
      </c>
      <c r="D102" s="23">
        <v>22700</v>
      </c>
      <c r="E102" s="22">
        <v>82.65</v>
      </c>
      <c r="F102" s="22">
        <v>7.8097000000000003</v>
      </c>
      <c r="G102" s="22">
        <v>3.8943089999999998</v>
      </c>
      <c r="H102" s="22">
        <v>153.55000000000001</v>
      </c>
      <c r="I102" s="9">
        <v>1.3484</v>
      </c>
      <c r="J102" s="22">
        <v>4.0875000000000004</v>
      </c>
      <c r="K102" s="13">
        <v>3.6724000000000001</v>
      </c>
      <c r="L102" s="12">
        <v>13524</v>
      </c>
      <c r="M102" s="14">
        <v>112.52</v>
      </c>
      <c r="N102" s="13">
        <v>33.259610000000002</v>
      </c>
      <c r="O102" s="13">
        <v>32.49</v>
      </c>
      <c r="P102" s="13">
        <v>30.178999999999998</v>
      </c>
      <c r="Q102" s="12">
        <v>29957</v>
      </c>
      <c r="R102" s="22">
        <v>0.77329999999999999</v>
      </c>
      <c r="S102" s="22">
        <v>0.84696899999999997</v>
      </c>
      <c r="T102" s="22">
        <v>50.798999999999999</v>
      </c>
      <c r="U102" s="22">
        <v>75.551139000000006</v>
      </c>
      <c r="V102" s="22">
        <v>82.655000000000001</v>
      </c>
    </row>
    <row r="103" spans="1:29" x14ac:dyDescent="0.3">
      <c r="A103" s="21">
        <v>43070</v>
      </c>
      <c r="B103" s="22">
        <v>64.266334999999998</v>
      </c>
      <c r="C103" s="22">
        <v>6.5063000000000004</v>
      </c>
      <c r="D103" s="23">
        <v>22705</v>
      </c>
      <c r="E103" s="22">
        <v>82.22</v>
      </c>
      <c r="F103" s="22">
        <v>7.8009000000000004</v>
      </c>
      <c r="G103" s="22">
        <v>3.6778559999999998</v>
      </c>
      <c r="H103" s="22">
        <v>153.55000000000001</v>
      </c>
      <c r="I103" s="9">
        <v>1.3625</v>
      </c>
      <c r="J103" s="22">
        <v>4.2314999999999996</v>
      </c>
      <c r="K103" s="13">
        <v>3.6726000000000001</v>
      </c>
      <c r="L103" s="12">
        <v>13560</v>
      </c>
      <c r="M103" s="14">
        <v>113.62</v>
      </c>
      <c r="N103" s="13">
        <v>33.739341000000003</v>
      </c>
      <c r="O103" s="13">
        <v>33.1</v>
      </c>
      <c r="P103" s="13">
        <v>30.199000000000002</v>
      </c>
      <c r="Q103" s="12">
        <v>29956</v>
      </c>
      <c r="R103" s="22">
        <v>0.75670000000000004</v>
      </c>
      <c r="S103" s="22">
        <v>0.86883900000000003</v>
      </c>
      <c r="T103" s="22">
        <v>51.348999999999997</v>
      </c>
      <c r="U103" s="22">
        <v>74.194467000000003</v>
      </c>
      <c r="V103" s="22">
        <v>84.793999999999997</v>
      </c>
    </row>
    <row r="104" spans="1:29" x14ac:dyDescent="0.3">
      <c r="A104" s="21">
        <v>43040</v>
      </c>
      <c r="B104" s="22">
        <v>64.854237999999995</v>
      </c>
      <c r="C104" s="22">
        <v>6.609</v>
      </c>
      <c r="D104" s="23">
        <v>22700</v>
      </c>
      <c r="E104" s="22">
        <v>82.82</v>
      </c>
      <c r="F104" s="22">
        <v>7.8110999999999997</v>
      </c>
      <c r="G104" s="22">
        <v>3.4730189999999999</v>
      </c>
      <c r="H104" s="22">
        <v>152.97999999999999</v>
      </c>
      <c r="I104" s="9">
        <v>1.3572</v>
      </c>
      <c r="J104" s="22">
        <v>4.2190000000000003</v>
      </c>
      <c r="K104" s="13">
        <v>3.6726000000000001</v>
      </c>
      <c r="L104" s="12">
        <v>13470</v>
      </c>
      <c r="M104" s="14">
        <v>112.47</v>
      </c>
      <c r="N104" s="13">
        <v>34.000804000000002</v>
      </c>
      <c r="O104" s="13">
        <v>34.33</v>
      </c>
      <c r="P104" s="13">
        <v>30.417000000000002</v>
      </c>
      <c r="Q104" s="12">
        <v>29958</v>
      </c>
      <c r="R104" s="22">
        <v>0.76749999999999996</v>
      </c>
      <c r="S104" s="22">
        <v>0.89055499999999999</v>
      </c>
      <c r="T104" s="22">
        <v>49.662999999999997</v>
      </c>
      <c r="U104" s="22">
        <v>72.379750000000001</v>
      </c>
      <c r="V104" s="22">
        <v>84.161000000000001</v>
      </c>
    </row>
    <row r="105" spans="1:29" x14ac:dyDescent="0.3">
      <c r="A105" s="21">
        <v>43009</v>
      </c>
      <c r="B105" s="22">
        <v>65.071886000000006</v>
      </c>
      <c r="C105" s="22">
        <v>6.6327999999999996</v>
      </c>
      <c r="D105" s="23">
        <v>22720</v>
      </c>
      <c r="E105" s="22">
        <v>82.07</v>
      </c>
      <c r="F105" s="22">
        <v>7.8258000000000001</v>
      </c>
      <c r="G105" s="22">
        <v>3.5099719999999999</v>
      </c>
      <c r="H105" s="22">
        <v>152.69999999999999</v>
      </c>
      <c r="I105" s="9">
        <v>1.3555999999999999</v>
      </c>
      <c r="J105" s="22">
        <v>4.2690000000000001</v>
      </c>
      <c r="K105" s="13">
        <v>3.6726999999999999</v>
      </c>
      <c r="L105" s="12">
        <v>13342</v>
      </c>
      <c r="M105" s="14">
        <v>109.96</v>
      </c>
      <c r="N105" s="13">
        <v>34.460943</v>
      </c>
      <c r="O105" s="13">
        <v>34.619999999999997</v>
      </c>
      <c r="P105" s="13">
        <v>30.081</v>
      </c>
      <c r="Q105" s="12">
        <v>29600</v>
      </c>
      <c r="R105" s="22">
        <v>0.77569999999999995</v>
      </c>
      <c r="S105" s="22">
        <v>0.904505</v>
      </c>
      <c r="T105" s="22">
        <v>47.920999999999999</v>
      </c>
      <c r="U105" s="22">
        <v>71.268127000000007</v>
      </c>
      <c r="V105" s="22">
        <v>83.134</v>
      </c>
    </row>
    <row r="106" spans="1:29" x14ac:dyDescent="0.3">
      <c r="A106" s="21">
        <v>42979</v>
      </c>
      <c r="B106" s="22">
        <v>64.462391999999994</v>
      </c>
      <c r="C106" s="22">
        <v>6.6532999999999998</v>
      </c>
      <c r="D106" s="23">
        <v>22715</v>
      </c>
      <c r="E106" s="22">
        <v>80.88</v>
      </c>
      <c r="F106" s="22">
        <v>7.81</v>
      </c>
      <c r="G106" s="22">
        <v>3.5638350000000001</v>
      </c>
      <c r="H106" s="22">
        <v>153.5</v>
      </c>
      <c r="I106" s="9">
        <v>1.3545</v>
      </c>
      <c r="J106" s="22">
        <v>4.28</v>
      </c>
      <c r="K106" s="13">
        <v>3.6724000000000001</v>
      </c>
      <c r="L106" s="12">
        <v>13324</v>
      </c>
      <c r="M106" s="14">
        <v>110.25</v>
      </c>
      <c r="N106" s="13">
        <v>34.475181999999997</v>
      </c>
      <c r="O106" s="13">
        <v>34.67</v>
      </c>
      <c r="P106" s="13">
        <v>30.157</v>
      </c>
      <c r="Q106" s="12">
        <v>29319</v>
      </c>
      <c r="R106" s="22">
        <v>0.77190000000000003</v>
      </c>
      <c r="S106" s="22">
        <v>0.93270299999999995</v>
      </c>
      <c r="T106" s="22">
        <v>48.1</v>
      </c>
      <c r="U106" s="22">
        <v>69.201555999999997</v>
      </c>
      <c r="V106" s="22">
        <v>83.203999999999994</v>
      </c>
    </row>
    <row r="107" spans="1:29" x14ac:dyDescent="0.3">
      <c r="A107" s="21">
        <v>42948</v>
      </c>
      <c r="B107" s="22">
        <v>63.987231000000001</v>
      </c>
      <c r="C107" s="22">
        <v>6.5888</v>
      </c>
      <c r="D107" s="23">
        <v>22726</v>
      </c>
      <c r="E107" s="22">
        <v>81.2</v>
      </c>
      <c r="F107" s="22">
        <v>7.8068</v>
      </c>
      <c r="G107" s="22">
        <v>3.522383</v>
      </c>
      <c r="H107" s="22">
        <v>153</v>
      </c>
      <c r="I107" s="9">
        <v>1.3759999999999999</v>
      </c>
      <c r="J107" s="22">
        <v>4.2910000000000004</v>
      </c>
      <c r="K107" s="13">
        <v>3.6724000000000001</v>
      </c>
      <c r="L107" s="12">
        <v>13325</v>
      </c>
      <c r="M107" s="14">
        <v>112.35</v>
      </c>
      <c r="N107" s="13">
        <v>34.874769999999998</v>
      </c>
      <c r="O107" s="13">
        <v>35.03</v>
      </c>
      <c r="P107" s="13">
        <v>30.315000000000001</v>
      </c>
      <c r="Q107" s="12">
        <v>28829</v>
      </c>
      <c r="R107" s="22">
        <v>0.7964</v>
      </c>
      <c r="S107" s="22">
        <v>0.93601599999999996</v>
      </c>
      <c r="T107" s="22">
        <v>49.468000000000004</v>
      </c>
      <c r="U107" s="22">
        <v>70.323761000000005</v>
      </c>
      <c r="V107" s="22">
        <v>81.406000000000006</v>
      </c>
    </row>
    <row r="108" spans="1:29" x14ac:dyDescent="0.3">
      <c r="A108" s="21">
        <v>42917</v>
      </c>
      <c r="B108" s="22">
        <v>64.456379999999996</v>
      </c>
      <c r="C108" s="22">
        <v>6.7240000000000002</v>
      </c>
      <c r="D108" s="23">
        <v>22700</v>
      </c>
      <c r="E108" s="22">
        <v>80.569999999999993</v>
      </c>
      <c r="F108" s="22">
        <v>7.7915000000000001</v>
      </c>
      <c r="G108" s="22">
        <v>3.5689259999999998</v>
      </c>
      <c r="H108" s="22">
        <v>152.44999999999999</v>
      </c>
      <c r="I108" s="9">
        <v>1.3831</v>
      </c>
      <c r="J108" s="22">
        <v>4.2789999999999999</v>
      </c>
      <c r="K108" s="13">
        <v>3.6720000000000002</v>
      </c>
      <c r="L108" s="12">
        <v>13321</v>
      </c>
      <c r="M108" s="14">
        <v>110.75</v>
      </c>
      <c r="N108" s="13">
        <v>35.008310000000002</v>
      </c>
      <c r="O108" s="13">
        <v>35.33</v>
      </c>
      <c r="P108" s="13">
        <v>30.640999999999998</v>
      </c>
      <c r="Q108" s="12">
        <v>28369</v>
      </c>
      <c r="R108" s="22">
        <v>0.80769999999999997</v>
      </c>
      <c r="S108" s="22">
        <v>0.93966400000000005</v>
      </c>
      <c r="T108" s="22">
        <v>51.072000000000003</v>
      </c>
      <c r="U108" s="22">
        <v>71.290824999999998</v>
      </c>
      <c r="V108" s="22">
        <v>82.575000000000003</v>
      </c>
    </row>
    <row r="109" spans="1:29" x14ac:dyDescent="0.3">
      <c r="A109" s="21">
        <v>42887</v>
      </c>
      <c r="B109" s="22">
        <v>64.455022999999997</v>
      </c>
      <c r="C109" s="22">
        <v>6.7793000000000001</v>
      </c>
      <c r="D109" s="23">
        <v>22710</v>
      </c>
      <c r="E109" s="22">
        <v>80.680000000000007</v>
      </c>
      <c r="F109" s="22">
        <v>7.7778</v>
      </c>
      <c r="G109" s="22">
        <v>3.651656</v>
      </c>
      <c r="H109" s="22">
        <v>151.94999999999999</v>
      </c>
      <c r="I109" s="9">
        <v>1.3965000000000001</v>
      </c>
      <c r="J109" s="22">
        <v>4.3390000000000004</v>
      </c>
      <c r="K109" s="13">
        <v>3.6724000000000001</v>
      </c>
      <c r="L109" s="12">
        <v>13327</v>
      </c>
      <c r="M109" s="14">
        <v>111.53</v>
      </c>
      <c r="N109" s="13">
        <v>35.467840000000002</v>
      </c>
      <c r="O109" s="13">
        <v>35.4</v>
      </c>
      <c r="P109" s="13">
        <v>31.161999999999999</v>
      </c>
      <c r="Q109" s="12">
        <v>28045</v>
      </c>
      <c r="R109" s="22">
        <v>0.79479999999999995</v>
      </c>
      <c r="S109" s="22">
        <v>0.94220599999999999</v>
      </c>
      <c r="T109" s="22">
        <v>51.177999999999997</v>
      </c>
      <c r="U109" s="22">
        <v>72.282268000000002</v>
      </c>
      <c r="V109" s="22">
        <v>84.882000000000005</v>
      </c>
    </row>
    <row r="110" spans="1:29" x14ac:dyDescent="0.3">
      <c r="A110" s="21">
        <v>42856</v>
      </c>
      <c r="B110" s="22">
        <v>64.450710999999998</v>
      </c>
      <c r="C110" s="22">
        <v>6.8098000000000001</v>
      </c>
      <c r="D110" s="23">
        <v>22740</v>
      </c>
      <c r="E110" s="22">
        <v>81.459999999999994</v>
      </c>
      <c r="F110" s="22">
        <v>7.7708000000000004</v>
      </c>
      <c r="G110" s="22">
        <v>3.671799</v>
      </c>
      <c r="H110" s="22">
        <v>151.72</v>
      </c>
      <c r="I110" s="9">
        <v>1.3967000000000001</v>
      </c>
      <c r="J110" s="22">
        <v>4.4240000000000004</v>
      </c>
      <c r="K110" s="13">
        <v>3.6724000000000001</v>
      </c>
      <c r="L110" s="12">
        <v>13323</v>
      </c>
      <c r="M110" s="14">
        <v>111.38</v>
      </c>
      <c r="N110" s="13">
        <v>35.789088</v>
      </c>
      <c r="O110" s="13">
        <v>35.85</v>
      </c>
      <c r="P110" s="13">
        <v>32.439</v>
      </c>
      <c r="Q110" s="12">
        <v>27705</v>
      </c>
      <c r="R110" s="22">
        <v>0.81030000000000002</v>
      </c>
      <c r="S110" s="22">
        <v>0.94863600000000003</v>
      </c>
      <c r="T110" s="22">
        <v>49.021999999999998</v>
      </c>
      <c r="U110" s="22">
        <v>71.538976000000005</v>
      </c>
      <c r="V110" s="22">
        <v>83.816000000000003</v>
      </c>
    </row>
    <row r="111" spans="1:29" x14ac:dyDescent="0.3">
      <c r="A111" s="21">
        <v>42826</v>
      </c>
      <c r="B111" s="22">
        <v>64.539287999999999</v>
      </c>
      <c r="C111" s="22">
        <v>6.89</v>
      </c>
      <c r="D111" s="23">
        <v>22750</v>
      </c>
      <c r="E111" s="22">
        <v>80.2</v>
      </c>
      <c r="F111" s="22">
        <v>7.7621000000000002</v>
      </c>
      <c r="G111" s="22">
        <v>3.665216</v>
      </c>
      <c r="H111" s="22">
        <v>152.34</v>
      </c>
      <c r="I111" s="9">
        <v>1.4029</v>
      </c>
      <c r="J111" s="22">
        <v>4.4379999999999997</v>
      </c>
      <c r="K111" s="13">
        <v>3.6722999999999999</v>
      </c>
      <c r="L111" s="12">
        <v>13331</v>
      </c>
      <c r="M111" s="14">
        <v>112.75</v>
      </c>
      <c r="N111" s="13">
        <v>35.337054000000002</v>
      </c>
      <c r="O111" s="13">
        <v>35.840000000000003</v>
      </c>
      <c r="P111" s="13">
        <v>31.882999999999999</v>
      </c>
      <c r="Q111" s="12">
        <v>27530</v>
      </c>
      <c r="R111" s="22">
        <v>0.79949999999999999</v>
      </c>
      <c r="S111" s="22">
        <v>0.92632599999999998</v>
      </c>
      <c r="T111" s="22">
        <v>50.631999999999998</v>
      </c>
      <c r="U111" s="22">
        <v>73.054976999999994</v>
      </c>
      <c r="V111" s="22">
        <v>85.763000000000005</v>
      </c>
    </row>
    <row r="112" spans="1:29" x14ac:dyDescent="0.3">
      <c r="A112" s="21">
        <v>42795</v>
      </c>
      <c r="B112" s="22">
        <v>65.823712999999998</v>
      </c>
      <c r="C112" s="22">
        <v>6.8832000000000004</v>
      </c>
      <c r="D112" s="23">
        <v>22750</v>
      </c>
      <c r="E112" s="22">
        <v>79.569999999999993</v>
      </c>
      <c r="F112" s="22">
        <v>7.7587999999999999</v>
      </c>
      <c r="G112" s="22">
        <v>3.7554799999999999</v>
      </c>
      <c r="H112" s="22">
        <v>149.94999999999999</v>
      </c>
      <c r="I112" s="9">
        <v>1.4097</v>
      </c>
      <c r="J112" s="22">
        <v>4.4279999999999999</v>
      </c>
      <c r="K112" s="13">
        <v>3.6728999999999998</v>
      </c>
      <c r="L112" s="12">
        <v>13347</v>
      </c>
      <c r="M112" s="14">
        <v>112.78</v>
      </c>
      <c r="N112" s="13">
        <v>35.068686999999997</v>
      </c>
      <c r="O112" s="13">
        <v>35.69</v>
      </c>
      <c r="P112" s="13">
        <v>31.516999999999999</v>
      </c>
      <c r="Q112" s="12">
        <v>27138</v>
      </c>
      <c r="R112" s="22">
        <v>0.81659999999999999</v>
      </c>
      <c r="S112" s="22">
        <v>0.90703599999999995</v>
      </c>
      <c r="T112" s="22">
        <v>50.732999999999997</v>
      </c>
      <c r="U112" s="22">
        <v>73.577518999999995</v>
      </c>
      <c r="V112" s="22">
        <v>81.623999999999995</v>
      </c>
    </row>
    <row r="113" spans="1:29" x14ac:dyDescent="0.3">
      <c r="A113" s="21">
        <v>42767</v>
      </c>
      <c r="B113" s="22">
        <v>66.984848</v>
      </c>
      <c r="C113" s="22">
        <v>6.8665000000000003</v>
      </c>
      <c r="D113" s="23">
        <v>22590</v>
      </c>
      <c r="E113" s="22">
        <v>79.489999999999995</v>
      </c>
      <c r="F113" s="22">
        <v>7.7541000000000002</v>
      </c>
      <c r="G113" s="22">
        <v>3.5018440000000002</v>
      </c>
      <c r="H113" s="22">
        <v>149.6</v>
      </c>
      <c r="I113" s="9">
        <v>1.4478</v>
      </c>
      <c r="J113" s="22">
        <v>4.4844999999999997</v>
      </c>
      <c r="K113" s="13">
        <v>3.6726000000000001</v>
      </c>
      <c r="L113" s="12">
        <v>13470</v>
      </c>
      <c r="M113" s="14">
        <v>116.87</v>
      </c>
      <c r="N113" s="13">
        <v>34.725388000000002</v>
      </c>
      <c r="O113" s="13">
        <v>35.33</v>
      </c>
      <c r="P113" s="13">
        <v>31.305</v>
      </c>
      <c r="Q113" s="12">
        <v>26815</v>
      </c>
      <c r="R113" s="22">
        <v>0.77049999999999996</v>
      </c>
      <c r="S113" s="22">
        <v>0.89190700000000001</v>
      </c>
      <c r="T113" s="22">
        <v>50.933999999999997</v>
      </c>
      <c r="U113" s="22">
        <v>74.822000000000003</v>
      </c>
      <c r="V113" s="22">
        <v>86.343000000000004</v>
      </c>
      <c r="AC113" s="5"/>
    </row>
    <row r="114" spans="1:29" x14ac:dyDescent="0.3">
      <c r="A114" s="21">
        <v>42736</v>
      </c>
      <c r="B114" s="22">
        <v>68.098877000000002</v>
      </c>
      <c r="C114" s="22">
        <v>6.8768000000000002</v>
      </c>
      <c r="D114" s="23">
        <v>22770</v>
      </c>
      <c r="E114" s="22">
        <v>78.92</v>
      </c>
      <c r="F114" s="22">
        <v>7.7563000000000004</v>
      </c>
      <c r="G114" s="22">
        <v>3.2893870000000001</v>
      </c>
      <c r="H114" s="22">
        <v>148.55000000000001</v>
      </c>
      <c r="I114" s="9">
        <v>1.4332</v>
      </c>
      <c r="J114" s="22">
        <v>4.4640000000000004</v>
      </c>
      <c r="K114" s="13">
        <v>3.6726000000000001</v>
      </c>
      <c r="L114" s="12">
        <v>13550</v>
      </c>
      <c r="M114" s="14">
        <v>114.44</v>
      </c>
      <c r="N114" s="13">
        <v>34.710296</v>
      </c>
      <c r="O114" s="13">
        <v>35.049999999999997</v>
      </c>
      <c r="P114" s="13">
        <v>31.731999999999999</v>
      </c>
      <c r="Q114" s="12">
        <v>26706</v>
      </c>
      <c r="R114" s="22">
        <v>0.7611</v>
      </c>
      <c r="S114" s="22">
        <v>0.89196500000000001</v>
      </c>
      <c r="T114" s="22">
        <v>50.316000000000003</v>
      </c>
      <c r="U114" s="22">
        <v>75.030299999999997</v>
      </c>
      <c r="V114" s="22">
        <v>87.968999999999994</v>
      </c>
    </row>
    <row r="115" spans="1:29" x14ac:dyDescent="0.3">
      <c r="A115" s="21">
        <v>42705</v>
      </c>
      <c r="B115" s="22">
        <v>67.856139999999996</v>
      </c>
      <c r="C115" s="22">
        <v>6.9429999999999996</v>
      </c>
      <c r="D115" s="23">
        <v>22640</v>
      </c>
      <c r="E115" s="22">
        <v>79.11</v>
      </c>
      <c r="F115" s="22">
        <v>7.7549000000000001</v>
      </c>
      <c r="G115" s="22">
        <v>3.0757720000000002</v>
      </c>
      <c r="H115" s="22">
        <v>147.4</v>
      </c>
      <c r="I115" s="9">
        <v>1.3905000000000001</v>
      </c>
      <c r="J115" s="22">
        <v>4.1900000000000004</v>
      </c>
      <c r="K115" s="13">
        <v>3.673</v>
      </c>
      <c r="L115" s="12">
        <v>13047</v>
      </c>
      <c r="M115" s="14">
        <v>104.81</v>
      </c>
      <c r="N115" s="13">
        <v>35.048833999999999</v>
      </c>
      <c r="O115" s="13">
        <v>35.25</v>
      </c>
      <c r="P115" s="13">
        <v>31.818000000000001</v>
      </c>
      <c r="Q115" s="12">
        <v>26668</v>
      </c>
      <c r="R115" s="22">
        <v>0.75600000000000001</v>
      </c>
      <c r="S115" s="22">
        <v>0.90348399999999995</v>
      </c>
      <c r="T115" s="22">
        <v>50.604999999999997</v>
      </c>
      <c r="U115" s="22">
        <v>74.373829000000001</v>
      </c>
      <c r="V115" s="22">
        <v>88.117999999999995</v>
      </c>
    </row>
    <row r="116" spans="1:29" x14ac:dyDescent="0.3">
      <c r="A116" s="21">
        <v>42675</v>
      </c>
      <c r="B116" s="22">
        <v>67.664608000000001</v>
      </c>
      <c r="C116" s="22">
        <v>6.8837000000000002</v>
      </c>
      <c r="D116" s="23">
        <v>22284</v>
      </c>
      <c r="E116" s="22">
        <v>78.23</v>
      </c>
      <c r="F116" s="22">
        <v>7.7556000000000003</v>
      </c>
      <c r="G116" s="22">
        <v>2.9686159999999999</v>
      </c>
      <c r="H116" s="22">
        <v>146.30000000000001</v>
      </c>
      <c r="I116" s="9">
        <v>1.3623000000000001</v>
      </c>
      <c r="J116" s="22">
        <v>4.1319999999999997</v>
      </c>
      <c r="K116" s="13">
        <v>3.6726000000000001</v>
      </c>
      <c r="L116" s="12">
        <v>13047</v>
      </c>
      <c r="M116" s="14">
        <v>101.33</v>
      </c>
      <c r="N116" s="13">
        <v>35.287754</v>
      </c>
      <c r="O116" s="13">
        <v>35.47</v>
      </c>
      <c r="P116" s="13">
        <v>32.212000000000003</v>
      </c>
      <c r="Q116" s="12">
        <v>26601</v>
      </c>
      <c r="R116" s="22">
        <v>0.75109999999999999</v>
      </c>
      <c r="S116" s="22">
        <v>0.89064600000000005</v>
      </c>
      <c r="T116" s="22">
        <v>50.262</v>
      </c>
      <c r="U116" s="22">
        <v>75.559235999999999</v>
      </c>
      <c r="V116" s="22">
        <v>89.826999999999998</v>
      </c>
    </row>
    <row r="117" spans="1:29" x14ac:dyDescent="0.3">
      <c r="A117" s="21">
        <v>42644</v>
      </c>
      <c r="B117" s="22">
        <v>66.731599000000003</v>
      </c>
      <c r="C117" s="22">
        <v>6.7735000000000003</v>
      </c>
      <c r="D117" s="23">
        <v>22281</v>
      </c>
      <c r="E117" s="22">
        <v>78.430000000000007</v>
      </c>
      <c r="F117" s="22">
        <v>7.7565</v>
      </c>
      <c r="G117" s="22">
        <v>2.9618199999999999</v>
      </c>
      <c r="H117" s="22">
        <v>145.30000000000001</v>
      </c>
      <c r="I117" s="9">
        <v>1.3622000000000001</v>
      </c>
      <c r="J117" s="22">
        <v>4.048</v>
      </c>
      <c r="K117" s="13">
        <v>3.6726000000000001</v>
      </c>
      <c r="L117" s="12">
        <v>13265</v>
      </c>
      <c r="M117" s="14">
        <v>103.42</v>
      </c>
      <c r="N117" s="13">
        <v>35.422834000000002</v>
      </c>
      <c r="O117" s="13">
        <v>35.4</v>
      </c>
      <c r="P117" s="13">
        <v>32.584000000000003</v>
      </c>
      <c r="Q117" s="12">
        <v>26303</v>
      </c>
      <c r="R117" s="22">
        <v>0.69069999999999998</v>
      </c>
      <c r="S117" s="22">
        <v>0.88420399999999999</v>
      </c>
      <c r="T117" s="22">
        <v>48.578000000000003</v>
      </c>
      <c r="U117" s="22">
        <v>75.701564000000005</v>
      </c>
      <c r="V117" s="22">
        <v>97.284000000000006</v>
      </c>
    </row>
    <row r="118" spans="1:29" x14ac:dyDescent="0.3">
      <c r="A118" s="21">
        <v>42614</v>
      </c>
      <c r="B118" s="22">
        <v>66.733506000000006</v>
      </c>
      <c r="C118" s="22">
        <v>6.6684999999999999</v>
      </c>
      <c r="D118" s="23">
        <v>22300</v>
      </c>
      <c r="E118" s="22">
        <v>78.349999999999994</v>
      </c>
      <c r="F118" s="22">
        <v>7.7571000000000003</v>
      </c>
      <c r="G118" s="22">
        <v>2.9623119999999998</v>
      </c>
      <c r="H118" s="22">
        <v>144.76</v>
      </c>
      <c r="I118" s="9">
        <v>1.3392999999999999</v>
      </c>
      <c r="J118" s="22">
        <v>4.0670000000000002</v>
      </c>
      <c r="K118" s="13">
        <v>3.6728999999999998</v>
      </c>
      <c r="L118" s="12">
        <v>13097</v>
      </c>
      <c r="M118" s="14">
        <v>102.05</v>
      </c>
      <c r="N118" s="13">
        <v>35.081740000000003</v>
      </c>
      <c r="O118" s="13">
        <v>34.89</v>
      </c>
      <c r="P118" s="13">
        <v>32.286000000000001</v>
      </c>
      <c r="Q118" s="12">
        <v>25651</v>
      </c>
      <c r="R118" s="22">
        <v>0.68420000000000003</v>
      </c>
      <c r="S118" s="22">
        <v>0.881915</v>
      </c>
      <c r="T118" s="22">
        <v>50.488999999999997</v>
      </c>
      <c r="U118" s="22">
        <v>75.382318999999995</v>
      </c>
      <c r="V118" s="22">
        <v>97.039000000000001</v>
      </c>
    </row>
    <row r="119" spans="1:29" x14ac:dyDescent="0.3">
      <c r="A119" s="21">
        <v>42583</v>
      </c>
      <c r="B119" s="22">
        <v>66.920762999999994</v>
      </c>
      <c r="C119" s="22">
        <v>6.6776</v>
      </c>
      <c r="D119" s="23">
        <v>22273</v>
      </c>
      <c r="E119" s="22">
        <v>78.319999999999993</v>
      </c>
      <c r="F119" s="22">
        <v>7.7590000000000003</v>
      </c>
      <c r="G119" s="22">
        <v>2.9155009999999999</v>
      </c>
      <c r="H119" s="22">
        <v>145.35</v>
      </c>
      <c r="I119" s="9">
        <v>1.3468</v>
      </c>
      <c r="J119" s="22">
        <v>4.0250000000000004</v>
      </c>
      <c r="K119" s="13">
        <v>3.6726000000000001</v>
      </c>
      <c r="L119" s="12">
        <v>13210</v>
      </c>
      <c r="M119" s="14">
        <v>103.25</v>
      </c>
      <c r="N119" s="13">
        <v>35.218325</v>
      </c>
      <c r="O119" s="13">
        <v>35.08</v>
      </c>
      <c r="P119" s="13">
        <v>32.201999999999998</v>
      </c>
      <c r="Q119" s="12">
        <v>25582</v>
      </c>
      <c r="R119" s="22">
        <v>0.69610000000000005</v>
      </c>
      <c r="S119" s="22">
        <v>0.901115</v>
      </c>
      <c r="T119" s="22">
        <v>50.707999999999998</v>
      </c>
      <c r="U119" s="22">
        <v>74.3018</v>
      </c>
      <c r="V119" s="22">
        <v>95.122</v>
      </c>
    </row>
    <row r="120" spans="1:29" x14ac:dyDescent="0.3">
      <c r="A120" s="21">
        <v>42552</v>
      </c>
      <c r="B120" s="22">
        <v>67.194143999999994</v>
      </c>
      <c r="C120" s="22">
        <v>6.6371000000000002</v>
      </c>
      <c r="D120" s="23">
        <v>22281</v>
      </c>
      <c r="E120" s="22">
        <v>78.33</v>
      </c>
      <c r="F120" s="22">
        <v>7.7708000000000004</v>
      </c>
      <c r="G120" s="22">
        <v>2.938256</v>
      </c>
      <c r="H120" s="22">
        <v>147.35</v>
      </c>
      <c r="I120" s="9">
        <v>1.3772</v>
      </c>
      <c r="J120" s="22">
        <v>4.1230000000000002</v>
      </c>
      <c r="K120" s="13">
        <v>3.6726000000000001</v>
      </c>
      <c r="L120" s="12">
        <v>13655</v>
      </c>
      <c r="M120" s="14">
        <v>110.68</v>
      </c>
      <c r="N120" s="13">
        <v>35.615903000000003</v>
      </c>
      <c r="O120" s="13">
        <v>35.81</v>
      </c>
      <c r="P120" s="13">
        <v>33.24</v>
      </c>
      <c r="Q120" s="12">
        <v>25518</v>
      </c>
      <c r="R120" s="22">
        <v>0.71850000000000003</v>
      </c>
      <c r="S120" s="22">
        <v>0.90159999999999996</v>
      </c>
      <c r="T120" s="22">
        <v>48.68</v>
      </c>
      <c r="U120" s="22">
        <v>75.717170999999993</v>
      </c>
      <c r="V120" s="22">
        <v>94.897999999999996</v>
      </c>
    </row>
    <row r="121" spans="1:29" x14ac:dyDescent="0.3">
      <c r="A121" s="21">
        <v>42522</v>
      </c>
      <c r="B121" s="22">
        <v>67.292874999999995</v>
      </c>
      <c r="C121" s="22">
        <v>6.6459000000000001</v>
      </c>
      <c r="D121" s="23">
        <v>22366</v>
      </c>
      <c r="E121" s="22">
        <v>78.599999999999994</v>
      </c>
      <c r="F121" s="22">
        <v>7.7568000000000001</v>
      </c>
      <c r="G121" s="22">
        <v>2.834063</v>
      </c>
      <c r="H121" s="22">
        <v>145.85</v>
      </c>
      <c r="I121" s="9">
        <v>1.3435999999999999</v>
      </c>
      <c r="J121" s="22">
        <v>3.903</v>
      </c>
      <c r="K121" s="13">
        <v>3.6728999999999998</v>
      </c>
      <c r="L121" s="12">
        <v>13180</v>
      </c>
      <c r="M121" s="14">
        <v>106.35</v>
      </c>
      <c r="N121" s="13">
        <v>36.141840000000002</v>
      </c>
      <c r="O121" s="13">
        <v>35.9</v>
      </c>
      <c r="P121" s="13">
        <v>33.482999999999997</v>
      </c>
      <c r="Q121" s="12">
        <v>25444</v>
      </c>
      <c r="R121" s="22">
        <v>0.70179999999999998</v>
      </c>
      <c r="S121" s="22">
        <v>0.92086000000000001</v>
      </c>
      <c r="T121" s="22">
        <v>48.064</v>
      </c>
      <c r="U121" s="22">
        <v>73.203644999999995</v>
      </c>
      <c r="V121" s="22">
        <v>96.677999999999997</v>
      </c>
    </row>
    <row r="122" spans="1:29" x14ac:dyDescent="0.3">
      <c r="A122" s="21">
        <v>42491</v>
      </c>
      <c r="B122" s="22">
        <v>66.930688000000004</v>
      </c>
      <c r="C122" s="22">
        <v>6.5797999999999996</v>
      </c>
      <c r="D122" s="23">
        <v>22244</v>
      </c>
      <c r="E122" s="22">
        <v>78.27</v>
      </c>
      <c r="F122" s="22">
        <v>7.7565</v>
      </c>
      <c r="G122" s="22">
        <v>2.889872</v>
      </c>
      <c r="H122" s="22">
        <v>145.35</v>
      </c>
      <c r="I122" s="9">
        <v>1.3480000000000001</v>
      </c>
      <c r="J122" s="22">
        <v>3.9</v>
      </c>
      <c r="K122" s="13">
        <v>3.6716000000000002</v>
      </c>
      <c r="L122" s="12">
        <v>13255</v>
      </c>
      <c r="M122" s="14">
        <v>112.56</v>
      </c>
      <c r="N122" s="13">
        <v>36.002918000000001</v>
      </c>
      <c r="O122" s="13">
        <v>35.700000000000003</v>
      </c>
      <c r="P122" s="13">
        <v>32.814999999999998</v>
      </c>
      <c r="Q122" s="12">
        <v>24898</v>
      </c>
      <c r="R122" s="22">
        <v>0.6784</v>
      </c>
      <c r="S122" s="22">
        <v>0.91945100000000002</v>
      </c>
      <c r="T122" s="22">
        <v>48.158999999999999</v>
      </c>
      <c r="U122" s="22">
        <v>72.385050000000007</v>
      </c>
      <c r="V122" s="22">
        <v>97.563000000000002</v>
      </c>
    </row>
    <row r="123" spans="1:29" x14ac:dyDescent="0.3">
      <c r="A123" s="21">
        <v>42461</v>
      </c>
      <c r="B123" s="22">
        <v>66.479806999999994</v>
      </c>
      <c r="C123" s="22">
        <v>6.4737999999999998</v>
      </c>
      <c r="D123" s="23">
        <v>22264</v>
      </c>
      <c r="E123" s="22">
        <v>78.22</v>
      </c>
      <c r="F123" s="22">
        <v>7.7770000000000001</v>
      </c>
      <c r="G123" s="22">
        <v>2.9423490000000001</v>
      </c>
      <c r="H123" s="22">
        <v>144.16999999999999</v>
      </c>
      <c r="I123" s="9">
        <v>1.4064000000000001</v>
      </c>
      <c r="J123" s="22">
        <v>4.2</v>
      </c>
      <c r="K123" s="13">
        <v>3.6726000000000001</v>
      </c>
      <c r="L123" s="12">
        <v>13367</v>
      </c>
      <c r="M123" s="14">
        <v>112.66</v>
      </c>
      <c r="N123" s="13">
        <v>35.798155999999999</v>
      </c>
      <c r="O123" s="13">
        <v>36.18</v>
      </c>
      <c r="P123" s="13">
        <v>32.69</v>
      </c>
      <c r="Q123" s="12">
        <v>24866</v>
      </c>
      <c r="R123" s="22">
        <v>0.66410000000000002</v>
      </c>
      <c r="S123" s="22">
        <v>0.93157699999999999</v>
      </c>
      <c r="T123" s="22">
        <v>48.018999999999998</v>
      </c>
      <c r="U123" s="22">
        <v>71.040648000000004</v>
      </c>
      <c r="V123" s="22">
        <v>100.03700000000001</v>
      </c>
    </row>
    <row r="124" spans="1:29" x14ac:dyDescent="0.3">
      <c r="A124" s="21">
        <v>42430</v>
      </c>
      <c r="B124" s="22">
        <v>66.945571999999999</v>
      </c>
      <c r="C124" s="22">
        <v>6.4480000000000004</v>
      </c>
      <c r="D124" s="23">
        <v>22277</v>
      </c>
      <c r="E124" s="22">
        <v>78.349999999999994</v>
      </c>
      <c r="F124" s="22">
        <v>7.7801</v>
      </c>
      <c r="G124" s="22">
        <v>3.0122870000000002</v>
      </c>
      <c r="H124" s="22">
        <v>143.81</v>
      </c>
      <c r="I124" s="9">
        <v>1.4238999999999999</v>
      </c>
      <c r="J124" s="22">
        <v>4.1500000000000004</v>
      </c>
      <c r="K124" s="13">
        <v>3.6724999999999999</v>
      </c>
      <c r="L124" s="12">
        <v>13770</v>
      </c>
      <c r="M124" s="14">
        <v>121.03</v>
      </c>
      <c r="N124" s="13">
        <v>35.685982000000003</v>
      </c>
      <c r="O124" s="13">
        <v>35.78</v>
      </c>
      <c r="P124" s="13">
        <v>32.436999999999998</v>
      </c>
      <c r="Q124" s="12">
        <v>24774</v>
      </c>
      <c r="R124" s="22">
        <v>0.64810000000000001</v>
      </c>
      <c r="S124" s="22">
        <v>0.89022100000000004</v>
      </c>
      <c r="T124" s="22">
        <v>46.685000000000002</v>
      </c>
      <c r="U124" s="22">
        <v>73.111591000000004</v>
      </c>
      <c r="V124" s="22">
        <v>100.919</v>
      </c>
    </row>
    <row r="125" spans="1:29" x14ac:dyDescent="0.3">
      <c r="A125" s="21">
        <v>42401</v>
      </c>
      <c r="B125" s="22">
        <v>68.257846000000001</v>
      </c>
      <c r="C125" s="22">
        <v>6.5525000000000002</v>
      </c>
      <c r="D125" s="23">
        <v>22198</v>
      </c>
      <c r="E125" s="22">
        <v>78.33</v>
      </c>
      <c r="F125" s="22">
        <v>7.7500999999999998</v>
      </c>
      <c r="G125" s="22">
        <v>2.923327</v>
      </c>
      <c r="H125" s="22">
        <v>144.15</v>
      </c>
      <c r="I125" s="9">
        <v>1.4175</v>
      </c>
      <c r="J125" s="22">
        <v>4.29</v>
      </c>
      <c r="K125" s="13">
        <v>3.6724000000000001</v>
      </c>
      <c r="L125" s="12">
        <v>13785</v>
      </c>
      <c r="M125" s="14">
        <v>120.3</v>
      </c>
      <c r="N125" s="13">
        <v>36.027450000000002</v>
      </c>
      <c r="O125" s="13">
        <v>35.270000000000003</v>
      </c>
      <c r="P125" s="13">
        <v>32.988</v>
      </c>
      <c r="Q125" s="12">
        <v>24829</v>
      </c>
      <c r="R125" s="22">
        <v>0.66090000000000004</v>
      </c>
      <c r="S125" s="22">
        <v>0.89120699999999997</v>
      </c>
      <c r="T125" s="22">
        <v>45.966000000000001</v>
      </c>
      <c r="U125" s="22">
        <v>74.299018000000004</v>
      </c>
      <c r="V125" s="22">
        <v>99.091999999999999</v>
      </c>
      <c r="AC125" s="5"/>
    </row>
    <row r="126" spans="1:29" x14ac:dyDescent="0.3">
      <c r="A126" s="21">
        <v>42370</v>
      </c>
      <c r="B126" s="22">
        <v>67.407629</v>
      </c>
      <c r="C126" s="22">
        <v>6.5751999999999997</v>
      </c>
      <c r="D126" s="23">
        <v>22480</v>
      </c>
      <c r="E126" s="22">
        <v>78.08</v>
      </c>
      <c r="F126" s="22">
        <v>7.7523</v>
      </c>
      <c r="G126" s="22">
        <v>2.873621</v>
      </c>
      <c r="H126" s="22">
        <v>142.47999999999999</v>
      </c>
      <c r="I126" s="9">
        <v>1.4101999999999999</v>
      </c>
      <c r="J126" s="22">
        <v>4.2560000000000002</v>
      </c>
      <c r="K126" s="13">
        <v>3.6728000000000001</v>
      </c>
      <c r="L126" s="12">
        <v>13830</v>
      </c>
      <c r="M126" s="14">
        <v>123.08</v>
      </c>
      <c r="N126" s="13">
        <v>35.426692000000003</v>
      </c>
      <c r="O126" s="13">
        <v>35</v>
      </c>
      <c r="P126" s="13">
        <v>32.496000000000002</v>
      </c>
      <c r="Q126" s="12">
        <v>24955</v>
      </c>
      <c r="R126" s="22">
        <v>0.65169999999999995</v>
      </c>
      <c r="S126" s="22">
        <v>0.89797800000000005</v>
      </c>
      <c r="T126" s="22">
        <v>47.212000000000003</v>
      </c>
      <c r="U126" s="22">
        <v>72.536105000000006</v>
      </c>
      <c r="V126" s="22">
        <v>101.874</v>
      </c>
    </row>
    <row r="127" spans="1:29" x14ac:dyDescent="0.3">
      <c r="A127" s="21">
        <v>42339</v>
      </c>
      <c r="B127" s="22">
        <v>66.547421</v>
      </c>
      <c r="C127" s="22">
        <v>6.4920999999999998</v>
      </c>
      <c r="D127" s="23">
        <v>22468</v>
      </c>
      <c r="E127" s="22">
        <v>77.97</v>
      </c>
      <c r="F127" s="22">
        <v>7.7504999999999997</v>
      </c>
      <c r="G127" s="22">
        <v>2.9272010000000002</v>
      </c>
      <c r="H127" s="22">
        <v>140.94999999999999</v>
      </c>
      <c r="I127" s="9">
        <v>1.4005000000000001</v>
      </c>
      <c r="J127" s="22">
        <v>4.2919999999999998</v>
      </c>
      <c r="K127" s="13">
        <v>3.6724000000000001</v>
      </c>
      <c r="L127" s="12">
        <v>13675</v>
      </c>
      <c r="M127" s="14">
        <v>120.61</v>
      </c>
      <c r="N127" s="13">
        <v>34.341951999999999</v>
      </c>
      <c r="O127" s="13">
        <v>35.32</v>
      </c>
      <c r="P127" s="13">
        <v>31.641999999999999</v>
      </c>
      <c r="Q127" s="12">
        <v>24812</v>
      </c>
      <c r="R127" s="22">
        <v>0.64</v>
      </c>
      <c r="S127" s="22">
        <v>0.90949199999999997</v>
      </c>
      <c r="T127" s="22">
        <v>46.716999999999999</v>
      </c>
      <c r="U127" s="22">
        <v>69.996026000000001</v>
      </c>
      <c r="V127" s="22">
        <v>99.945999999999998</v>
      </c>
    </row>
    <row r="128" spans="1:29" x14ac:dyDescent="0.3">
      <c r="A128" s="21">
        <v>42309</v>
      </c>
      <c r="B128" s="22">
        <v>66.173863999999995</v>
      </c>
      <c r="C128" s="22">
        <v>6.3981000000000003</v>
      </c>
      <c r="D128" s="23">
        <v>22309</v>
      </c>
      <c r="E128" s="22">
        <v>77.77</v>
      </c>
      <c r="F128" s="22">
        <v>7.7499000000000002</v>
      </c>
      <c r="G128" s="22">
        <v>3.0152570000000001</v>
      </c>
      <c r="H128" s="22">
        <v>140.88999999999999</v>
      </c>
      <c r="I128" s="9">
        <v>1.4219999999999999</v>
      </c>
      <c r="J128" s="22">
        <v>4.3940000000000001</v>
      </c>
      <c r="K128" s="13">
        <v>3.6728000000000001</v>
      </c>
      <c r="L128" s="12">
        <v>14645</v>
      </c>
      <c r="M128" s="14">
        <v>119.84</v>
      </c>
      <c r="N128" s="13">
        <v>33.726154999999999</v>
      </c>
      <c r="O128" s="13">
        <v>34.799999999999997</v>
      </c>
      <c r="P128" s="13">
        <v>30.866</v>
      </c>
      <c r="Q128" s="12">
        <v>24787</v>
      </c>
      <c r="R128" s="22">
        <v>0.63639999999999997</v>
      </c>
      <c r="S128" s="22">
        <v>0.89187000000000005</v>
      </c>
      <c r="T128" s="22">
        <v>48.993000000000002</v>
      </c>
      <c r="U128" s="22">
        <v>71.587267999999995</v>
      </c>
      <c r="V128" s="22">
        <v>99.873999999999995</v>
      </c>
    </row>
    <row r="129" spans="1:29" x14ac:dyDescent="0.3">
      <c r="A129" s="21">
        <v>42278</v>
      </c>
      <c r="B129" s="22">
        <v>65.075531999999995</v>
      </c>
      <c r="C129" s="22">
        <v>6.3179999999999996</v>
      </c>
      <c r="D129" s="23">
        <v>22471</v>
      </c>
      <c r="E129" s="22">
        <v>77.75</v>
      </c>
      <c r="F129" s="22">
        <v>7.7495000000000003</v>
      </c>
      <c r="G129" s="22">
        <v>2.856325</v>
      </c>
      <c r="H129" s="22">
        <v>134.5</v>
      </c>
      <c r="I129" s="9">
        <v>1.411</v>
      </c>
      <c r="J129" s="22">
        <v>4.1920000000000002</v>
      </c>
      <c r="K129" s="13">
        <v>3.673</v>
      </c>
      <c r="L129" s="12">
        <v>14045</v>
      </c>
      <c r="M129" s="14">
        <v>121.22</v>
      </c>
      <c r="N129" s="13">
        <v>33.552596999999999</v>
      </c>
      <c r="O129" s="13">
        <v>35.200000000000003</v>
      </c>
      <c r="P129" s="13">
        <v>30.818000000000001</v>
      </c>
      <c r="Q129" s="12">
        <v>24790</v>
      </c>
      <c r="R129" s="22">
        <v>0.65390000000000004</v>
      </c>
      <c r="S129" s="22">
        <v>0.89706799999999998</v>
      </c>
      <c r="T129" s="22">
        <v>48.667000000000002</v>
      </c>
      <c r="U129" s="22">
        <v>71.115300000000005</v>
      </c>
      <c r="V129" s="22">
        <v>97.435000000000002</v>
      </c>
    </row>
    <row r="130" spans="1:29" x14ac:dyDescent="0.3">
      <c r="A130" s="21">
        <v>42248</v>
      </c>
      <c r="B130" s="22">
        <v>66.213695999999999</v>
      </c>
      <c r="C130" s="22">
        <v>6.3555999999999999</v>
      </c>
      <c r="D130" s="23">
        <v>22480</v>
      </c>
      <c r="E130" s="22">
        <v>77.75</v>
      </c>
      <c r="F130" s="22">
        <v>7.7527999999999997</v>
      </c>
      <c r="G130" s="22">
        <v>2.7015090000000002</v>
      </c>
      <c r="H130" s="22">
        <v>133.66</v>
      </c>
      <c r="I130" s="9">
        <v>1.3715999999999999</v>
      </c>
      <c r="J130" s="22">
        <v>3.8155999999999999</v>
      </c>
      <c r="K130" s="13">
        <v>3.6726999999999999</v>
      </c>
      <c r="L130" s="12">
        <v>13525</v>
      </c>
      <c r="M130" s="14">
        <v>123.92</v>
      </c>
      <c r="N130" s="13">
        <v>32.535328</v>
      </c>
      <c r="O130" s="13">
        <v>34.35</v>
      </c>
      <c r="P130" s="13">
        <v>30.61</v>
      </c>
      <c r="Q130" s="12">
        <v>12278.5</v>
      </c>
      <c r="R130" s="22">
        <v>0.65129999999999999</v>
      </c>
      <c r="S130" s="22">
        <v>0.92789299999999997</v>
      </c>
      <c r="T130" s="22">
        <v>50.198999999999998</v>
      </c>
      <c r="U130" s="22">
        <v>67.643190000000004</v>
      </c>
      <c r="V130" s="22">
        <v>97.495999999999995</v>
      </c>
    </row>
    <row r="131" spans="1:29" x14ac:dyDescent="0.3">
      <c r="A131" s="21">
        <v>42217</v>
      </c>
      <c r="B131" s="22">
        <v>65.104408000000006</v>
      </c>
      <c r="C131" s="22">
        <v>6.3760000000000003</v>
      </c>
      <c r="D131" s="23">
        <v>21813</v>
      </c>
      <c r="E131" s="22">
        <v>77.75</v>
      </c>
      <c r="F131" s="22">
        <v>7.7508999999999997</v>
      </c>
      <c r="G131" s="22">
        <v>2.7020209999999998</v>
      </c>
      <c r="H131" s="22">
        <v>133.80000000000001</v>
      </c>
      <c r="I131" s="9">
        <v>1.3471</v>
      </c>
      <c r="J131" s="22">
        <v>3.7719999999999998</v>
      </c>
      <c r="K131" s="13">
        <v>3.6728000000000001</v>
      </c>
      <c r="L131" s="12">
        <v>13330</v>
      </c>
      <c r="M131" s="14">
        <v>122.49</v>
      </c>
      <c r="N131" s="13">
        <v>32.625487</v>
      </c>
      <c r="O131" s="13">
        <v>36.4</v>
      </c>
      <c r="P131" s="13">
        <v>31.242999999999999</v>
      </c>
      <c r="Q131" s="12">
        <v>12260</v>
      </c>
      <c r="R131" s="22">
        <v>0.67479999999999996</v>
      </c>
      <c r="S131" s="22">
        <v>0.92302200000000001</v>
      </c>
      <c r="T131" s="22">
        <v>47.365000000000002</v>
      </c>
      <c r="U131" s="22">
        <v>67.738722999999993</v>
      </c>
      <c r="V131" s="22">
        <v>92.275999999999996</v>
      </c>
    </row>
    <row r="132" spans="1:29" x14ac:dyDescent="0.3">
      <c r="A132" s="21">
        <v>42186</v>
      </c>
      <c r="B132" s="22">
        <v>63.657459000000003</v>
      </c>
      <c r="C132" s="22">
        <v>6.2096999999999998</v>
      </c>
      <c r="D132" s="23">
        <v>21802</v>
      </c>
      <c r="E132" s="22">
        <v>77.73</v>
      </c>
      <c r="F132" s="22">
        <v>7.7529000000000003</v>
      </c>
      <c r="G132" s="22">
        <v>2.6451009999999999</v>
      </c>
      <c r="H132" s="22">
        <v>133.9</v>
      </c>
      <c r="I132" s="9">
        <v>1.3474999999999999</v>
      </c>
      <c r="J132" s="22">
        <v>3.6640000000000001</v>
      </c>
      <c r="K132" s="13">
        <v>3.6726999999999999</v>
      </c>
      <c r="L132" s="12">
        <v>13223</v>
      </c>
      <c r="M132" s="14">
        <v>124.11</v>
      </c>
      <c r="N132" s="13">
        <v>32.567219999999999</v>
      </c>
      <c r="O132" s="13">
        <v>33.49</v>
      </c>
      <c r="P132" s="13">
        <v>31.422000000000001</v>
      </c>
      <c r="Q132" s="12">
        <v>12260</v>
      </c>
      <c r="R132" s="22">
        <v>0.64780000000000004</v>
      </c>
      <c r="S132" s="22">
        <v>0.88110599999999994</v>
      </c>
      <c r="T132" s="22">
        <v>48.142000000000003</v>
      </c>
      <c r="U132" s="22">
        <v>70.435630000000003</v>
      </c>
      <c r="V132" s="22">
        <v>95.137</v>
      </c>
    </row>
    <row r="133" spans="1:29" x14ac:dyDescent="0.3">
      <c r="A133" s="21">
        <v>42156</v>
      </c>
      <c r="B133" s="22">
        <v>63.841814999999997</v>
      </c>
      <c r="C133" s="22">
        <v>6.2</v>
      </c>
      <c r="D133" s="23">
        <v>21785</v>
      </c>
      <c r="E133" s="22">
        <v>77.75</v>
      </c>
      <c r="F133" s="22">
        <v>7.75</v>
      </c>
      <c r="G133" s="22">
        <v>2.6666159999999999</v>
      </c>
      <c r="H133" s="22">
        <v>133.1</v>
      </c>
      <c r="I133" s="9">
        <v>1.323</v>
      </c>
      <c r="J133" s="22">
        <v>3.56</v>
      </c>
      <c r="K133" s="13">
        <v>3.673</v>
      </c>
      <c r="L133" s="12">
        <v>12960</v>
      </c>
      <c r="M133" s="14">
        <v>119.34</v>
      </c>
      <c r="N133" s="13">
        <v>32.744084000000001</v>
      </c>
      <c r="O133" s="13">
        <v>32.549999999999997</v>
      </c>
      <c r="P133" s="13">
        <v>31.73</v>
      </c>
      <c r="Q133" s="12">
        <v>12260</v>
      </c>
      <c r="R133" s="22">
        <v>0.66349999999999998</v>
      </c>
      <c r="S133" s="22">
        <v>0.86086499999999999</v>
      </c>
      <c r="T133" s="22">
        <v>48.156999999999996</v>
      </c>
      <c r="U133" s="22">
        <v>72.214085999999995</v>
      </c>
      <c r="V133" s="22">
        <v>93.424000000000007</v>
      </c>
    </row>
    <row r="134" spans="1:29" x14ac:dyDescent="0.3">
      <c r="A134" s="21">
        <v>42125</v>
      </c>
      <c r="B134" s="22">
        <v>63.783290000000001</v>
      </c>
      <c r="C134" s="22">
        <v>6.1980000000000004</v>
      </c>
      <c r="D134" s="23">
        <v>21550</v>
      </c>
      <c r="E134" s="22">
        <v>77.8</v>
      </c>
      <c r="F134" s="22">
        <v>7.7523</v>
      </c>
      <c r="G134" s="22">
        <v>2.5911580000000001</v>
      </c>
      <c r="H134" s="22">
        <v>132.94999999999999</v>
      </c>
      <c r="I134" s="9">
        <v>1.3715999999999999</v>
      </c>
      <c r="J134" s="22">
        <v>3.702</v>
      </c>
      <c r="K134" s="13">
        <v>3.6728999999999998</v>
      </c>
      <c r="L134" s="12">
        <v>13070</v>
      </c>
      <c r="M134" s="14">
        <v>120.12</v>
      </c>
      <c r="N134" s="13">
        <v>32.895040000000002</v>
      </c>
      <c r="O134" s="13">
        <v>31.43</v>
      </c>
      <c r="P134" s="13">
        <v>31.62</v>
      </c>
      <c r="Q134" s="12">
        <v>12278.5</v>
      </c>
      <c r="R134" s="22">
        <v>0.64200000000000002</v>
      </c>
      <c r="S134" s="22">
        <v>0.81100499999999998</v>
      </c>
      <c r="T134" s="22">
        <v>51.482999999999997</v>
      </c>
      <c r="U134" s="22">
        <v>77.378095000000002</v>
      </c>
      <c r="V134" s="22">
        <v>98.156999999999996</v>
      </c>
    </row>
    <row r="135" spans="1:29" x14ac:dyDescent="0.3">
      <c r="A135" s="21">
        <v>42095</v>
      </c>
      <c r="B135" s="22">
        <v>62.749088</v>
      </c>
      <c r="C135" s="22">
        <v>6.2018000000000004</v>
      </c>
      <c r="D135" s="23">
        <v>21520</v>
      </c>
      <c r="E135" s="22">
        <v>77.8</v>
      </c>
      <c r="F135" s="22">
        <v>7.7557</v>
      </c>
      <c r="G135" s="22">
        <v>2.4634</v>
      </c>
      <c r="H135" s="22">
        <v>133</v>
      </c>
      <c r="I135" s="9">
        <v>1.3627</v>
      </c>
      <c r="J135" s="22">
        <v>3.61</v>
      </c>
      <c r="K135" s="13">
        <v>3.673</v>
      </c>
      <c r="L135" s="12">
        <v>12920</v>
      </c>
      <c r="M135" s="14">
        <v>119.51</v>
      </c>
      <c r="N135" s="13">
        <v>32.799419</v>
      </c>
      <c r="O135" s="13">
        <v>31.495000000000001</v>
      </c>
      <c r="P135" s="13">
        <v>30.986000000000001</v>
      </c>
      <c r="Q135" s="12">
        <v>12278.5</v>
      </c>
      <c r="R135" s="22">
        <v>0.63890000000000002</v>
      </c>
      <c r="S135" s="22">
        <v>0.80179199999999995</v>
      </c>
      <c r="T135" s="22">
        <v>52.921999999999997</v>
      </c>
      <c r="U135" s="22">
        <v>76.956609999999998</v>
      </c>
      <c r="V135" s="22">
        <v>97.31</v>
      </c>
    </row>
    <row r="136" spans="1:29" x14ac:dyDescent="0.3">
      <c r="A136" s="21">
        <v>42064</v>
      </c>
      <c r="B136" s="22">
        <v>62.507221999999999</v>
      </c>
      <c r="C136" s="22">
        <v>6.1989999999999998</v>
      </c>
      <c r="D136" s="23">
        <v>21320</v>
      </c>
      <c r="E136" s="22">
        <v>77.8</v>
      </c>
      <c r="F136" s="22">
        <v>7.7516999999999996</v>
      </c>
      <c r="G136" s="22">
        <v>2.3369949999999999</v>
      </c>
      <c r="H136" s="22">
        <v>132.15</v>
      </c>
      <c r="I136" s="9">
        <v>1.353</v>
      </c>
      <c r="J136" s="22">
        <v>3.629</v>
      </c>
      <c r="K136" s="13">
        <v>3.6728999999999998</v>
      </c>
      <c r="L136" s="12">
        <v>12665</v>
      </c>
      <c r="M136" s="14">
        <v>117.44</v>
      </c>
      <c r="N136" s="13">
        <v>32.462761999999998</v>
      </c>
      <c r="O136" s="13">
        <v>31.33</v>
      </c>
      <c r="P136" s="13">
        <v>30.43</v>
      </c>
      <c r="Q136" s="12">
        <v>12275</v>
      </c>
      <c r="R136" s="22">
        <v>0.625</v>
      </c>
      <c r="S136" s="22">
        <v>0.78912099999999996</v>
      </c>
      <c r="T136" s="22">
        <v>53.985999999999997</v>
      </c>
      <c r="U136" s="22">
        <v>77.789582999999993</v>
      </c>
      <c r="V136" s="22">
        <v>98.192999999999998</v>
      </c>
    </row>
    <row r="137" spans="1:29" x14ac:dyDescent="0.3">
      <c r="A137" s="21">
        <v>42036</v>
      </c>
      <c r="B137" s="22">
        <v>62.060003000000002</v>
      </c>
      <c r="C137" s="22">
        <v>6.2694999999999999</v>
      </c>
      <c r="D137" s="23">
        <v>21267</v>
      </c>
      <c r="E137" s="22">
        <v>77.349999999999994</v>
      </c>
      <c r="F137" s="22">
        <v>7.7538</v>
      </c>
      <c r="G137" s="22">
        <v>2.2953610000000002</v>
      </c>
      <c r="H137" s="22">
        <v>131.15</v>
      </c>
      <c r="I137" s="9">
        <v>1.3253999999999999</v>
      </c>
      <c r="J137" s="22">
        <v>3.4950000000000001</v>
      </c>
      <c r="K137" s="13">
        <v>3.6726000000000001</v>
      </c>
      <c r="L137" s="12">
        <v>12380</v>
      </c>
      <c r="M137" s="14">
        <v>119.68</v>
      </c>
      <c r="N137" s="13">
        <v>32.196199</v>
      </c>
      <c r="O137" s="13">
        <v>31.27</v>
      </c>
      <c r="P137" s="13">
        <v>30.425999999999998</v>
      </c>
      <c r="Q137" s="12">
        <v>12305</v>
      </c>
      <c r="R137" s="22">
        <v>0.61670000000000003</v>
      </c>
      <c r="S137" s="22">
        <v>0.77519800000000005</v>
      </c>
      <c r="T137" s="22">
        <v>54.152999999999999</v>
      </c>
      <c r="U137" s="22">
        <v>78.567559000000003</v>
      </c>
      <c r="V137" s="22">
        <v>100.393</v>
      </c>
      <c r="AC137" s="5"/>
    </row>
    <row r="138" spans="1:29" x14ac:dyDescent="0.3">
      <c r="A138" s="21">
        <v>42005</v>
      </c>
      <c r="B138" s="22">
        <v>62.127985000000002</v>
      </c>
      <c r="C138" s="22">
        <v>6.2495000000000003</v>
      </c>
      <c r="D138" s="23">
        <v>21370</v>
      </c>
      <c r="E138" s="22">
        <v>77.8</v>
      </c>
      <c r="F138" s="22">
        <v>7.7545000000000002</v>
      </c>
      <c r="G138" s="22">
        <v>2.2357659999999999</v>
      </c>
      <c r="H138" s="22">
        <v>131</v>
      </c>
      <c r="I138" s="9">
        <v>1.3041</v>
      </c>
      <c r="J138" s="22">
        <v>3.3809999999999998</v>
      </c>
      <c r="K138" s="13">
        <v>3.6728999999999998</v>
      </c>
      <c r="L138" s="12">
        <v>12199</v>
      </c>
      <c r="M138" s="14">
        <v>118.61</v>
      </c>
      <c r="N138" s="13">
        <v>32.024104000000001</v>
      </c>
      <c r="O138" s="13">
        <v>30.85</v>
      </c>
      <c r="P138" s="13">
        <v>29.864999999999998</v>
      </c>
      <c r="Q138" s="12">
        <v>12350</v>
      </c>
      <c r="R138" s="22">
        <v>0.60240000000000005</v>
      </c>
      <c r="S138" s="22">
        <v>0.751</v>
      </c>
      <c r="T138" s="22">
        <v>56.469000000000001</v>
      </c>
      <c r="U138" s="22">
        <v>81.070932999999997</v>
      </c>
      <c r="V138" s="22">
        <v>100.42</v>
      </c>
    </row>
    <row r="139" spans="1:29" x14ac:dyDescent="0.3">
      <c r="A139" s="21">
        <v>41974</v>
      </c>
      <c r="B139" s="22">
        <v>62.750776999999999</v>
      </c>
      <c r="C139" s="22">
        <v>6.2046000000000001</v>
      </c>
      <c r="D139" s="23">
        <v>21300</v>
      </c>
      <c r="E139" s="22">
        <v>77.180000000000007</v>
      </c>
      <c r="F139" s="22">
        <v>7.7544000000000004</v>
      </c>
      <c r="G139" s="22">
        <v>2.255061</v>
      </c>
      <c r="H139" s="22">
        <v>130.75</v>
      </c>
      <c r="I139" s="9">
        <v>1.2863</v>
      </c>
      <c r="J139" s="22">
        <v>3.2894999999999999</v>
      </c>
      <c r="K139" s="13">
        <v>3.673</v>
      </c>
      <c r="L139" s="12">
        <v>12080</v>
      </c>
      <c r="M139" s="14">
        <v>112.3</v>
      </c>
      <c r="N139" s="13">
        <v>32.105960000000003</v>
      </c>
      <c r="O139" s="13">
        <v>30.3</v>
      </c>
      <c r="P139" s="13">
        <v>30.059000000000001</v>
      </c>
      <c r="Q139" s="12">
        <v>12282.5</v>
      </c>
      <c r="R139" s="22">
        <v>0.59209999999999996</v>
      </c>
      <c r="S139" s="22">
        <v>0.73862799999999995</v>
      </c>
      <c r="T139" s="22">
        <v>56.280999999999999</v>
      </c>
      <c r="U139" s="22">
        <v>81.305803999999995</v>
      </c>
      <c r="V139" s="22">
        <v>102.233</v>
      </c>
    </row>
    <row r="140" spans="1:29" x14ac:dyDescent="0.3">
      <c r="A140" s="21">
        <v>41944</v>
      </c>
      <c r="B140" s="22">
        <v>61.702491999999999</v>
      </c>
      <c r="C140" s="22">
        <v>6.1429</v>
      </c>
      <c r="D140" s="23">
        <v>21255</v>
      </c>
      <c r="E140" s="22">
        <v>77.3</v>
      </c>
      <c r="F140" s="22">
        <v>7.7649999999999997</v>
      </c>
      <c r="G140" s="22">
        <v>2.2128040000000002</v>
      </c>
      <c r="H140" s="22">
        <v>130.26</v>
      </c>
      <c r="I140" s="9">
        <v>1.2756000000000001</v>
      </c>
      <c r="J140" s="22">
        <v>3.2789999999999999</v>
      </c>
      <c r="K140" s="13">
        <v>3.6726999999999999</v>
      </c>
      <c r="L140" s="12">
        <v>12180</v>
      </c>
      <c r="M140" s="14">
        <v>109.64</v>
      </c>
      <c r="N140" s="13">
        <v>32.514077999999998</v>
      </c>
      <c r="O140" s="13">
        <v>30.23</v>
      </c>
      <c r="P140" s="13">
        <v>29.864999999999998</v>
      </c>
      <c r="Q140" s="12">
        <v>12259.5</v>
      </c>
      <c r="R140" s="22">
        <v>0.58450000000000002</v>
      </c>
      <c r="S140" s="22">
        <v>0.73571200000000003</v>
      </c>
      <c r="T140" s="22">
        <v>56.622</v>
      </c>
      <c r="U140" s="22">
        <v>81.204594999999998</v>
      </c>
      <c r="V140" s="22">
        <v>102.69499999999999</v>
      </c>
    </row>
    <row r="141" spans="1:29" x14ac:dyDescent="0.3">
      <c r="A141" s="21">
        <v>41913</v>
      </c>
      <c r="B141" s="22">
        <v>61.383819000000003</v>
      </c>
      <c r="C141" s="22">
        <v>6.1124000000000001</v>
      </c>
      <c r="D141" s="23">
        <v>21190</v>
      </c>
      <c r="E141" s="22">
        <v>77.319999999999993</v>
      </c>
      <c r="F141" s="22">
        <v>7.75</v>
      </c>
      <c r="G141" s="22">
        <v>2.1616330000000001</v>
      </c>
      <c r="H141" s="22">
        <v>130.21</v>
      </c>
      <c r="I141" s="9">
        <v>1.2483</v>
      </c>
      <c r="J141" s="22">
        <v>3.15</v>
      </c>
      <c r="K141" s="13">
        <v>3.6724999999999999</v>
      </c>
      <c r="L141" s="12">
        <v>11685</v>
      </c>
      <c r="M141" s="14">
        <v>104.05</v>
      </c>
      <c r="N141" s="13">
        <v>32.542214999999999</v>
      </c>
      <c r="O141" s="13">
        <v>30.215</v>
      </c>
      <c r="P141" s="13">
        <v>29.99</v>
      </c>
      <c r="Q141" s="12">
        <v>12259.5</v>
      </c>
      <c r="R141" s="22">
        <v>0.59689999999999999</v>
      </c>
      <c r="S141" s="22">
        <v>0.728267</v>
      </c>
      <c r="T141" s="22">
        <v>55.091000000000001</v>
      </c>
      <c r="U141" s="22">
        <v>81.431770999999998</v>
      </c>
      <c r="V141" s="22">
        <v>99.126999999999995</v>
      </c>
    </row>
    <row r="142" spans="1:29" x14ac:dyDescent="0.3">
      <c r="A142" s="21">
        <v>41883</v>
      </c>
      <c r="B142" s="22">
        <v>60.902123000000003</v>
      </c>
      <c r="C142" s="22">
        <v>6.1379999999999999</v>
      </c>
      <c r="D142" s="23">
        <v>21170</v>
      </c>
      <c r="E142" s="22">
        <v>77.02</v>
      </c>
      <c r="F142" s="22">
        <v>7.7497999999999996</v>
      </c>
      <c r="G142" s="22">
        <v>2.1196899999999999</v>
      </c>
      <c r="H142" s="22">
        <v>130.19999999999999</v>
      </c>
      <c r="I142" s="9">
        <v>1.2477</v>
      </c>
      <c r="J142" s="22">
        <v>3.1960000000000002</v>
      </c>
      <c r="K142" s="13">
        <v>3.6728999999999998</v>
      </c>
      <c r="L142" s="12">
        <v>11575</v>
      </c>
      <c r="M142" s="14">
        <v>102.79</v>
      </c>
      <c r="N142" s="13">
        <v>32.330879000000003</v>
      </c>
      <c r="O142" s="13">
        <v>30.03</v>
      </c>
      <c r="P142" s="13">
        <v>30.15</v>
      </c>
      <c r="Q142" s="12">
        <v>12283.5</v>
      </c>
      <c r="R142" s="22">
        <v>0.59260000000000002</v>
      </c>
      <c r="S142" s="22">
        <v>0.72398899999999999</v>
      </c>
      <c r="T142" s="22">
        <v>56.014000000000003</v>
      </c>
      <c r="U142" s="22">
        <v>83.362354999999994</v>
      </c>
      <c r="V142" s="22">
        <v>101.794</v>
      </c>
    </row>
    <row r="143" spans="1:29" x14ac:dyDescent="0.3">
      <c r="A143" s="21">
        <v>41852</v>
      </c>
      <c r="B143" s="22">
        <v>60.880533999999997</v>
      </c>
      <c r="C143" s="22">
        <v>6.1429999999999998</v>
      </c>
      <c r="D143" s="23">
        <v>21200</v>
      </c>
      <c r="E143" s="22">
        <v>77.319999999999993</v>
      </c>
      <c r="F143" s="22">
        <v>7.7503000000000002</v>
      </c>
      <c r="G143" s="22">
        <v>2.1194250000000001</v>
      </c>
      <c r="H143" s="22">
        <v>130.30000000000001</v>
      </c>
      <c r="I143" s="9">
        <v>1.2462</v>
      </c>
      <c r="J143" s="22">
        <v>3.2094999999999998</v>
      </c>
      <c r="K143" s="13">
        <v>3.6728999999999998</v>
      </c>
      <c r="L143" s="12">
        <v>11845</v>
      </c>
      <c r="M143" s="14">
        <v>101.3</v>
      </c>
      <c r="N143" s="13">
        <v>32.385730000000002</v>
      </c>
      <c r="O143" s="13">
        <v>30.1</v>
      </c>
      <c r="P143" s="13">
        <v>30.445</v>
      </c>
      <c r="Q143" s="12">
        <v>12290</v>
      </c>
      <c r="R143" s="22">
        <v>0.60009999999999997</v>
      </c>
      <c r="S143" s="22">
        <v>0.72347399999999995</v>
      </c>
      <c r="T143" s="22">
        <v>55.576999999999998</v>
      </c>
      <c r="U143" s="22">
        <v>84.299014</v>
      </c>
      <c r="V143" s="22">
        <v>99.98</v>
      </c>
    </row>
    <row r="144" spans="1:29" x14ac:dyDescent="0.3">
      <c r="A144" s="21">
        <v>41821</v>
      </c>
      <c r="B144" s="22">
        <v>60.053117999999998</v>
      </c>
      <c r="C144" s="22">
        <v>6.1737000000000002</v>
      </c>
      <c r="D144" s="23">
        <v>21300</v>
      </c>
      <c r="E144" s="22">
        <v>77.52</v>
      </c>
      <c r="F144" s="22">
        <v>7.7526000000000002</v>
      </c>
      <c r="G144" s="22">
        <v>2.092635</v>
      </c>
      <c r="H144" s="22">
        <v>130.35</v>
      </c>
      <c r="I144" s="9">
        <v>1.2534000000000001</v>
      </c>
      <c r="J144" s="22">
        <v>3.2149999999999999</v>
      </c>
      <c r="K144" s="13">
        <v>3.6728000000000001</v>
      </c>
      <c r="L144" s="12">
        <v>11670</v>
      </c>
      <c r="M144" s="14">
        <v>101.78</v>
      </c>
      <c r="N144" s="13">
        <v>32.630768000000003</v>
      </c>
      <c r="O144" s="13">
        <v>30.1</v>
      </c>
      <c r="P144" s="13">
        <v>30.303999999999998</v>
      </c>
      <c r="Q144" s="12">
        <v>12290</v>
      </c>
      <c r="R144" s="22">
        <v>0.59709999999999996</v>
      </c>
      <c r="S144" s="22">
        <v>0.73217699999999997</v>
      </c>
      <c r="T144" s="22">
        <v>55.154000000000003</v>
      </c>
      <c r="U144" s="22">
        <v>84.950329999999994</v>
      </c>
      <c r="V144" s="22">
        <v>103.455</v>
      </c>
    </row>
    <row r="145" spans="1:22" x14ac:dyDescent="0.3">
      <c r="A145" s="21">
        <v>41791</v>
      </c>
      <c r="B145" s="22">
        <v>59.742615999999998</v>
      </c>
      <c r="C145" s="22">
        <v>6.2035999999999998</v>
      </c>
      <c r="D145" s="23">
        <v>21135</v>
      </c>
      <c r="E145" s="22">
        <v>77.36</v>
      </c>
      <c r="F145" s="22">
        <v>7.7525000000000004</v>
      </c>
      <c r="G145" s="22">
        <v>2.1279919999999999</v>
      </c>
      <c r="H145" s="22">
        <v>130.63</v>
      </c>
      <c r="I145" s="9">
        <v>1.2535000000000001</v>
      </c>
      <c r="J145" s="22">
        <v>3.2610000000000001</v>
      </c>
      <c r="K145" s="13">
        <v>3.6728000000000001</v>
      </c>
      <c r="L145" s="12">
        <v>11558</v>
      </c>
      <c r="M145" s="14">
        <v>102.24</v>
      </c>
      <c r="N145" s="13">
        <v>32.932592999999997</v>
      </c>
      <c r="O145" s="13">
        <v>30.14</v>
      </c>
      <c r="P145" s="13">
        <v>30.32</v>
      </c>
      <c r="Q145" s="12">
        <v>12256.5</v>
      </c>
      <c r="R145" s="22">
        <v>0.60829999999999995</v>
      </c>
      <c r="S145" s="22">
        <v>0.73474899999999999</v>
      </c>
      <c r="T145" s="22">
        <v>54.863999999999997</v>
      </c>
      <c r="U145" s="22">
        <v>84.509945000000002</v>
      </c>
      <c r="V145" s="22">
        <v>102.996</v>
      </c>
    </row>
    <row r="146" spans="1:22" x14ac:dyDescent="0.3">
      <c r="A146" s="21">
        <v>41760</v>
      </c>
      <c r="B146" s="22">
        <v>59.296067999999998</v>
      </c>
      <c r="C146" s="22">
        <v>6.2470999999999997</v>
      </c>
      <c r="D146" s="23">
        <v>21060</v>
      </c>
      <c r="E146" s="22">
        <v>77.53</v>
      </c>
      <c r="F146" s="22">
        <v>7.7565</v>
      </c>
      <c r="G146" s="22">
        <v>2.2158820000000001</v>
      </c>
      <c r="H146" s="22">
        <v>130.65</v>
      </c>
      <c r="I146" s="9">
        <v>1.2573000000000001</v>
      </c>
      <c r="J146" s="22">
        <v>3.2629999999999999</v>
      </c>
      <c r="K146" s="13">
        <v>3.6728999999999998</v>
      </c>
      <c r="L146" s="12">
        <v>11355</v>
      </c>
      <c r="M146" s="14">
        <v>103.19</v>
      </c>
      <c r="N146" s="13">
        <v>32.343634999999999</v>
      </c>
      <c r="O146" s="13">
        <v>30.254999999999999</v>
      </c>
      <c r="P146" s="13">
        <v>29.815000000000001</v>
      </c>
      <c r="Q146" s="12">
        <v>12280</v>
      </c>
      <c r="R146" s="22">
        <v>0.60389999999999999</v>
      </c>
      <c r="S146" s="22">
        <v>0.72975900000000005</v>
      </c>
      <c r="T146" s="22">
        <v>55.082000000000001</v>
      </c>
      <c r="U146" s="22">
        <v>84.763144999999994</v>
      </c>
      <c r="V146" s="22">
        <v>102.316</v>
      </c>
    </row>
    <row r="147" spans="1:22" x14ac:dyDescent="0.3">
      <c r="A147" s="21">
        <v>41730</v>
      </c>
      <c r="B147" s="22">
        <v>60.352524000000003</v>
      </c>
      <c r="C147" s="22">
        <v>6.2591000000000001</v>
      </c>
      <c r="D147" s="23">
        <v>21075</v>
      </c>
      <c r="E147" s="22">
        <v>77.540000000000006</v>
      </c>
      <c r="F147" s="22">
        <v>7.7601000000000004</v>
      </c>
      <c r="G147" s="22">
        <v>2.2099880000000001</v>
      </c>
      <c r="H147" s="22">
        <v>130.69999999999999</v>
      </c>
      <c r="I147" s="9">
        <v>1.2672000000000001</v>
      </c>
      <c r="J147" s="22">
        <v>3.2759999999999998</v>
      </c>
      <c r="K147" s="13">
        <v>3.6728000000000001</v>
      </c>
      <c r="L147" s="12">
        <v>11604</v>
      </c>
      <c r="M147" s="14">
        <v>101.8</v>
      </c>
      <c r="N147" s="13">
        <v>31.642019000000001</v>
      </c>
      <c r="O147" s="13">
        <v>30.4</v>
      </c>
      <c r="P147" s="13">
        <v>29.593</v>
      </c>
      <c r="Q147" s="12">
        <v>11325</v>
      </c>
      <c r="R147" s="22">
        <v>0.6109</v>
      </c>
      <c r="S147" s="22">
        <v>0.741147</v>
      </c>
      <c r="T147" s="22">
        <v>56.835999999999999</v>
      </c>
      <c r="U147" s="22">
        <v>84.498975999999999</v>
      </c>
      <c r="V147" s="22">
        <v>102.1</v>
      </c>
    </row>
    <row r="148" spans="1:22" x14ac:dyDescent="0.3">
      <c r="A148" s="21">
        <v>41699</v>
      </c>
      <c r="B148" s="22">
        <v>60.986502999999999</v>
      </c>
      <c r="C148" s="22">
        <v>6.2164000000000001</v>
      </c>
      <c r="D148" s="23">
        <v>21080</v>
      </c>
      <c r="E148" s="22">
        <v>77.37</v>
      </c>
      <c r="F148" s="22">
        <v>7.7632000000000003</v>
      </c>
      <c r="G148" s="22">
        <v>2.226054</v>
      </c>
      <c r="H148" s="22">
        <v>130.69999999999999</v>
      </c>
      <c r="I148" s="9">
        <v>1.2763</v>
      </c>
      <c r="J148" s="22">
        <v>3.3450000000000002</v>
      </c>
      <c r="K148" s="13">
        <v>3.6728000000000001</v>
      </c>
      <c r="L148" s="12">
        <v>12205</v>
      </c>
      <c r="M148" s="14">
        <v>102.03</v>
      </c>
      <c r="N148" s="13">
        <v>31.206377</v>
      </c>
      <c r="O148" s="13">
        <v>30.1</v>
      </c>
      <c r="P148" s="13">
        <v>29.42</v>
      </c>
      <c r="Q148" s="12">
        <v>11172.5</v>
      </c>
      <c r="R148" s="22">
        <v>0.62319999999999998</v>
      </c>
      <c r="S148" s="22">
        <v>0.73344600000000004</v>
      </c>
      <c r="T148" s="22">
        <v>58.274999999999999</v>
      </c>
      <c r="U148" s="22">
        <v>84.007086999999999</v>
      </c>
      <c r="V148" s="22">
        <v>98.828999999999994</v>
      </c>
    </row>
    <row r="149" spans="1:22" x14ac:dyDescent="0.3">
      <c r="A149" s="21">
        <v>41671</v>
      </c>
      <c r="B149" s="22">
        <v>62.197125999999997</v>
      </c>
      <c r="C149" s="22">
        <v>6.1448</v>
      </c>
      <c r="D149" s="23">
        <v>21035</v>
      </c>
      <c r="E149" s="22">
        <v>77.52</v>
      </c>
      <c r="F149" s="22">
        <v>7.7538</v>
      </c>
      <c r="G149" s="22">
        <v>2.0633460000000001</v>
      </c>
      <c r="H149" s="22">
        <v>130.75</v>
      </c>
      <c r="I149" s="9">
        <v>1.2629999999999999</v>
      </c>
      <c r="J149" s="22">
        <v>3.2770000000000001</v>
      </c>
      <c r="K149" s="13">
        <v>3.6728999999999998</v>
      </c>
      <c r="L149" s="12">
        <v>12160</v>
      </c>
      <c r="M149" s="14">
        <v>105.3</v>
      </c>
      <c r="N149" s="13">
        <v>31.704039000000002</v>
      </c>
      <c r="O149" s="13">
        <v>30.4</v>
      </c>
      <c r="P149" s="13">
        <v>29.558</v>
      </c>
      <c r="Q149" s="12">
        <v>10877.5</v>
      </c>
      <c r="R149" s="22">
        <v>0.61770000000000003</v>
      </c>
      <c r="S149" s="22">
        <v>0.74926499999999996</v>
      </c>
      <c r="T149" s="22">
        <v>58.27</v>
      </c>
      <c r="U149" s="22">
        <v>85.267762000000005</v>
      </c>
      <c r="V149" s="22">
        <v>101.271</v>
      </c>
    </row>
    <row r="150" spans="1:22" x14ac:dyDescent="0.3">
      <c r="A150" s="21">
        <v>41640</v>
      </c>
      <c r="B150" s="22">
        <v>62.092844999999997</v>
      </c>
      <c r="C150" s="22">
        <v>6.06</v>
      </c>
      <c r="D150" s="23">
        <v>21075</v>
      </c>
      <c r="E150" s="22">
        <v>77.16</v>
      </c>
      <c r="F150" s="22">
        <v>7.7525000000000004</v>
      </c>
      <c r="G150" s="22">
        <v>2.0245299999999999</v>
      </c>
      <c r="H150" s="22">
        <v>131.19999999999999</v>
      </c>
      <c r="I150" s="9">
        <v>1.2544999999999999</v>
      </c>
      <c r="J150" s="22">
        <v>3.2229999999999999</v>
      </c>
      <c r="K150" s="13">
        <v>3.6728000000000001</v>
      </c>
      <c r="L150" s="12">
        <v>11955</v>
      </c>
      <c r="M150" s="14">
        <v>102.41</v>
      </c>
      <c r="N150" s="13">
        <v>31.610194</v>
      </c>
      <c r="O150" s="13">
        <v>30.7</v>
      </c>
      <c r="P150" s="13">
        <v>29.9</v>
      </c>
      <c r="Q150" s="12">
        <v>10777</v>
      </c>
      <c r="R150" s="22">
        <v>0.64470000000000005</v>
      </c>
      <c r="S150" s="22">
        <v>0.751355</v>
      </c>
      <c r="T150" s="22">
        <v>58.447000000000003</v>
      </c>
      <c r="U150" s="22">
        <v>83.948044999999993</v>
      </c>
      <c r="V150" s="22">
        <v>101.88800000000001</v>
      </c>
    </row>
    <row r="151" spans="1:22" x14ac:dyDescent="0.3">
      <c r="A151" s="21">
        <v>41609</v>
      </c>
      <c r="B151" s="22">
        <v>61.855358000000003</v>
      </c>
      <c r="C151" s="22">
        <v>6.0537000000000001</v>
      </c>
      <c r="D151" s="23">
        <v>21090</v>
      </c>
      <c r="E151" s="22">
        <v>77.55</v>
      </c>
      <c r="F151" s="22">
        <v>7.7525000000000004</v>
      </c>
      <c r="G151" s="22">
        <v>1.9872399999999999</v>
      </c>
      <c r="H151" s="22">
        <v>130.85</v>
      </c>
      <c r="I151" s="9">
        <v>1.2414000000000001</v>
      </c>
      <c r="J151" s="22">
        <v>3.1549999999999998</v>
      </c>
      <c r="K151" s="13">
        <v>3.6728999999999998</v>
      </c>
      <c r="L151" s="12">
        <v>11265</v>
      </c>
      <c r="M151" s="14">
        <v>98.35</v>
      </c>
      <c r="N151" s="13">
        <v>31.126861999999999</v>
      </c>
      <c r="O151" s="13">
        <v>30.85</v>
      </c>
      <c r="P151" s="13">
        <v>29.984999999999999</v>
      </c>
      <c r="Q151" s="12">
        <v>10737.5</v>
      </c>
      <c r="R151" s="22">
        <v>0.65749999999999997</v>
      </c>
      <c r="S151" s="22">
        <v>0.76460899999999998</v>
      </c>
      <c r="T151" s="22">
        <v>54.634</v>
      </c>
      <c r="U151" s="22">
        <v>78.176174000000003</v>
      </c>
      <c r="V151" s="22">
        <v>92.513000000000005</v>
      </c>
    </row>
    <row r="152" spans="1:22" x14ac:dyDescent="0.3">
      <c r="A152" s="21">
        <v>41579</v>
      </c>
      <c r="B152" s="22">
        <v>62.626136000000002</v>
      </c>
      <c r="C152" s="22">
        <v>6.0922000000000001</v>
      </c>
      <c r="D152" s="23">
        <v>21080</v>
      </c>
      <c r="E152" s="22">
        <v>77.069999999999993</v>
      </c>
      <c r="F152" s="22">
        <v>7.7557999999999998</v>
      </c>
      <c r="G152" s="22">
        <v>2.019415</v>
      </c>
      <c r="H152" s="22">
        <v>131.9</v>
      </c>
      <c r="I152" s="9">
        <v>1.2552000000000001</v>
      </c>
      <c r="J152" s="22">
        <v>3.2559999999999998</v>
      </c>
      <c r="K152" s="13">
        <v>3.6728999999999998</v>
      </c>
      <c r="L152" s="12">
        <v>11570</v>
      </c>
      <c r="M152" s="14">
        <v>98.21</v>
      </c>
      <c r="N152" s="13">
        <v>30.832274000000002</v>
      </c>
      <c r="O152" s="13">
        <v>31.1</v>
      </c>
      <c r="P152" s="13">
        <v>29.937000000000001</v>
      </c>
      <c r="Q152" s="12">
        <v>10605</v>
      </c>
      <c r="R152" s="22">
        <v>0.6573</v>
      </c>
      <c r="S152" s="22">
        <v>0.75828600000000002</v>
      </c>
      <c r="T152" s="22">
        <v>54.38</v>
      </c>
      <c r="U152" s="22">
        <v>77.028400000000005</v>
      </c>
      <c r="V152" s="22">
        <v>90.54</v>
      </c>
    </row>
    <row r="153" spans="1:22" x14ac:dyDescent="0.3">
      <c r="A153" s="21">
        <v>41548</v>
      </c>
      <c r="B153" s="22">
        <v>61.612586999999998</v>
      </c>
      <c r="C153" s="22">
        <v>6.0942999999999996</v>
      </c>
      <c r="D153" s="23">
        <v>21112</v>
      </c>
      <c r="E153" s="22">
        <v>77.22</v>
      </c>
      <c r="F153" s="22">
        <v>7.7545000000000002</v>
      </c>
      <c r="G153" s="22">
        <v>1.9628589999999999</v>
      </c>
      <c r="H153" s="22">
        <v>132.80000000000001</v>
      </c>
      <c r="I153" s="9">
        <v>1.2743</v>
      </c>
      <c r="J153" s="22">
        <v>3.2850000000000001</v>
      </c>
      <c r="K153" s="13">
        <v>3.6728999999999998</v>
      </c>
      <c r="L153" s="12">
        <v>10910</v>
      </c>
      <c r="M153" s="14">
        <v>98.15</v>
      </c>
      <c r="N153" s="13">
        <v>29.786123</v>
      </c>
      <c r="O153" s="13">
        <v>31</v>
      </c>
      <c r="P153" s="13">
        <v>29.934999999999999</v>
      </c>
      <c r="Q153" s="12">
        <v>10549</v>
      </c>
      <c r="R153" s="22">
        <v>0.65790000000000004</v>
      </c>
      <c r="S153" s="22">
        <v>0.77034199999999997</v>
      </c>
      <c r="T153" s="22">
        <v>54.137</v>
      </c>
      <c r="U153" s="22">
        <v>71.475999999999999</v>
      </c>
      <c r="V153" s="22">
        <v>85.974999999999994</v>
      </c>
    </row>
    <row r="154" spans="1:22" x14ac:dyDescent="0.3">
      <c r="A154" s="21">
        <v>41518</v>
      </c>
      <c r="B154" s="22">
        <v>63.896438000000003</v>
      </c>
      <c r="C154" s="22">
        <v>6.12</v>
      </c>
      <c r="D154" s="23">
        <v>21120</v>
      </c>
      <c r="E154" s="22">
        <v>77.22</v>
      </c>
      <c r="F154" s="22">
        <v>7.7556000000000003</v>
      </c>
      <c r="G154" s="22">
        <v>1.9323399999999999</v>
      </c>
      <c r="H154" s="22">
        <v>131.65</v>
      </c>
      <c r="I154" s="9">
        <v>1.2703</v>
      </c>
      <c r="J154" s="22">
        <v>3.2450000000000001</v>
      </c>
      <c r="K154" s="13">
        <v>3.6728999999999998</v>
      </c>
      <c r="L154" s="12">
        <v>10270</v>
      </c>
      <c r="M154" s="14">
        <v>97.86</v>
      </c>
      <c r="N154" s="13">
        <v>29.063309</v>
      </c>
      <c r="O154" s="13">
        <v>31.05</v>
      </c>
      <c r="P154" s="13">
        <v>29.474</v>
      </c>
      <c r="Q154" s="12">
        <v>10668.5</v>
      </c>
      <c r="R154" s="22">
        <v>0.64370000000000005</v>
      </c>
      <c r="S154" s="22">
        <v>0.76773499999999995</v>
      </c>
      <c r="T154" s="22">
        <v>55.661000000000001</v>
      </c>
      <c r="U154" s="22">
        <v>70.773809999999997</v>
      </c>
      <c r="V154" s="22">
        <v>83.37</v>
      </c>
    </row>
    <row r="155" spans="1:22" x14ac:dyDescent="0.3">
      <c r="A155" s="21">
        <v>41487</v>
      </c>
      <c r="B155" s="22">
        <v>63.071268000000003</v>
      </c>
      <c r="C155" s="22">
        <v>6.1193</v>
      </c>
      <c r="D155" s="23">
        <v>21140</v>
      </c>
      <c r="E155" s="22">
        <v>77.7</v>
      </c>
      <c r="F155" s="22">
        <v>7.7561999999999998</v>
      </c>
      <c r="G155" s="22">
        <v>1.897845</v>
      </c>
      <c r="H155" s="22">
        <v>130.4</v>
      </c>
      <c r="I155" s="9">
        <v>1.2678</v>
      </c>
      <c r="J155" s="22">
        <v>3.1579999999999999</v>
      </c>
      <c r="K155" s="13">
        <v>3.6728999999999998</v>
      </c>
      <c r="L155" s="12">
        <v>9920</v>
      </c>
      <c r="M155" s="14">
        <v>99.12</v>
      </c>
      <c r="N155" s="13">
        <v>29.515601</v>
      </c>
      <c r="O155" s="13">
        <v>31.2</v>
      </c>
      <c r="P155" s="13">
        <v>29.806000000000001</v>
      </c>
      <c r="Q155" s="12">
        <v>10600</v>
      </c>
      <c r="R155" s="22">
        <v>0.65749999999999997</v>
      </c>
      <c r="S155" s="22">
        <v>0.77142200000000005</v>
      </c>
      <c r="T155" s="22">
        <v>56.542999999999999</v>
      </c>
      <c r="U155" s="22">
        <v>70.557865000000007</v>
      </c>
      <c r="V155" s="22">
        <v>82.533000000000001</v>
      </c>
    </row>
    <row r="156" spans="1:22" x14ac:dyDescent="0.3">
      <c r="A156" s="21">
        <v>41456</v>
      </c>
      <c r="B156" s="22">
        <v>59.769353000000002</v>
      </c>
      <c r="C156" s="22">
        <v>6.1284000000000001</v>
      </c>
      <c r="D156" s="23">
        <v>21170</v>
      </c>
      <c r="E156" s="22">
        <v>77.7</v>
      </c>
      <c r="F156" s="22">
        <v>7.7625999999999999</v>
      </c>
      <c r="G156" s="22">
        <v>1.828786</v>
      </c>
      <c r="H156" s="22">
        <v>126.45</v>
      </c>
      <c r="I156" s="9">
        <v>1.2638</v>
      </c>
      <c r="J156" s="22">
        <v>3.0975000000000001</v>
      </c>
      <c r="K156" s="13">
        <v>3.6728999999999998</v>
      </c>
      <c r="L156" s="12">
        <v>9790</v>
      </c>
      <c r="M156" s="14">
        <v>100.46</v>
      </c>
      <c r="N156" s="13">
        <v>29.821936999999998</v>
      </c>
      <c r="O156" s="13">
        <v>30.95</v>
      </c>
      <c r="P156" s="13">
        <v>29.648</v>
      </c>
      <c r="Q156" s="12">
        <v>10465</v>
      </c>
      <c r="R156" s="22">
        <v>0.65920000000000001</v>
      </c>
      <c r="S156" s="22">
        <v>0.74866100000000002</v>
      </c>
      <c r="T156" s="22">
        <v>55.533999999999999</v>
      </c>
      <c r="U156" s="22">
        <v>71.934155000000004</v>
      </c>
      <c r="V156" s="22">
        <v>82.454999999999998</v>
      </c>
    </row>
    <row r="157" spans="1:22" x14ac:dyDescent="0.3">
      <c r="A157" s="21">
        <v>41426</v>
      </c>
      <c r="B157" s="22">
        <v>58.406112999999998</v>
      </c>
      <c r="C157" s="22">
        <v>6.1374000000000004</v>
      </c>
      <c r="D157" s="23">
        <v>20990</v>
      </c>
      <c r="E157" s="22">
        <v>77.72</v>
      </c>
      <c r="F157" s="22">
        <v>7.7595999999999998</v>
      </c>
      <c r="G157" s="22">
        <v>1.7968789999999999</v>
      </c>
      <c r="H157" s="22">
        <v>126.7</v>
      </c>
      <c r="I157" s="9">
        <v>1.2310000000000001</v>
      </c>
      <c r="J157" s="22">
        <v>3.0415000000000001</v>
      </c>
      <c r="K157" s="13">
        <v>3.6728999999999998</v>
      </c>
      <c r="L157" s="12">
        <v>9720</v>
      </c>
      <c r="M157" s="14">
        <v>97.41</v>
      </c>
      <c r="N157" s="13">
        <v>30.047955000000002</v>
      </c>
      <c r="O157" s="13">
        <v>30.45</v>
      </c>
      <c r="P157" s="13">
        <v>29.53</v>
      </c>
      <c r="Q157" s="12">
        <v>10420</v>
      </c>
      <c r="R157" s="22">
        <v>0.63049999999999995</v>
      </c>
      <c r="S157" s="22">
        <v>0.75265899999999997</v>
      </c>
      <c r="T157" s="22">
        <v>55.545000000000002</v>
      </c>
      <c r="U157" s="22">
        <v>72.071595000000002</v>
      </c>
      <c r="V157" s="22">
        <v>84.448999999999998</v>
      </c>
    </row>
    <row r="158" spans="1:22" x14ac:dyDescent="0.3">
      <c r="A158" s="21">
        <v>41395</v>
      </c>
      <c r="B158" s="22">
        <v>55.061478999999999</v>
      </c>
      <c r="C158" s="22">
        <v>6.1345000000000001</v>
      </c>
      <c r="D158" s="23">
        <v>20810</v>
      </c>
      <c r="E158" s="22">
        <v>77.92</v>
      </c>
      <c r="F158" s="22">
        <v>7.7629999999999999</v>
      </c>
      <c r="G158" s="22">
        <v>1.8091710000000001</v>
      </c>
      <c r="H158" s="22">
        <v>126.7</v>
      </c>
      <c r="I158" s="9">
        <v>1.2402</v>
      </c>
      <c r="J158" s="22">
        <v>3.0920000000000001</v>
      </c>
      <c r="K158" s="13">
        <v>3.6730999999999998</v>
      </c>
      <c r="L158" s="12">
        <v>9715</v>
      </c>
      <c r="M158" s="14">
        <v>94.19</v>
      </c>
      <c r="N158" s="13">
        <v>30.632027000000001</v>
      </c>
      <c r="O158" s="13">
        <v>30.5</v>
      </c>
      <c r="P158" s="13">
        <v>29.045000000000002</v>
      </c>
      <c r="Q158" s="12">
        <v>10325</v>
      </c>
      <c r="R158" s="22">
        <v>0.61580000000000001</v>
      </c>
      <c r="S158" s="22">
        <v>0.76228300000000004</v>
      </c>
      <c r="T158" s="22">
        <v>57.005000000000003</v>
      </c>
      <c r="U158" s="22">
        <v>71.694568000000004</v>
      </c>
      <c r="V158" s="22">
        <v>89.057000000000002</v>
      </c>
    </row>
    <row r="159" spans="1:22" x14ac:dyDescent="0.3">
      <c r="A159" s="21">
        <v>41365</v>
      </c>
      <c r="B159" s="22">
        <v>54.333561000000003</v>
      </c>
      <c r="C159" s="22">
        <v>6.1646999999999998</v>
      </c>
      <c r="D159" s="23">
        <v>20925</v>
      </c>
      <c r="E159" s="22">
        <v>78.05</v>
      </c>
      <c r="F159" s="22">
        <v>7.7549000000000001</v>
      </c>
      <c r="G159" s="22">
        <v>1.777115</v>
      </c>
      <c r="H159" s="22">
        <v>127.45</v>
      </c>
      <c r="I159" s="9">
        <v>1.2383999999999999</v>
      </c>
      <c r="J159" s="22">
        <v>3.0910000000000002</v>
      </c>
      <c r="K159" s="13">
        <v>3.673</v>
      </c>
      <c r="L159" s="12">
        <v>9660</v>
      </c>
      <c r="M159" s="14">
        <v>92.53</v>
      </c>
      <c r="N159" s="13">
        <v>30.707765999999999</v>
      </c>
      <c r="O159" s="13">
        <v>30.9</v>
      </c>
      <c r="P159" s="13">
        <v>29.05</v>
      </c>
      <c r="Q159" s="12">
        <v>10385</v>
      </c>
      <c r="R159" s="22">
        <v>0.62409999999999999</v>
      </c>
      <c r="S159" s="22">
        <v>0.77960799999999997</v>
      </c>
      <c r="T159" s="22">
        <v>56.62</v>
      </c>
      <c r="U159" s="22">
        <v>70.324955000000003</v>
      </c>
      <c r="V159" s="22">
        <v>86.93</v>
      </c>
    </row>
    <row r="160" spans="1:22" x14ac:dyDescent="0.3">
      <c r="A160" s="21">
        <v>41334</v>
      </c>
      <c r="B160" s="22">
        <v>54.427458999999999</v>
      </c>
      <c r="C160" s="22">
        <v>6.2106000000000003</v>
      </c>
      <c r="D160" s="23">
        <v>20930</v>
      </c>
      <c r="E160" s="22">
        <v>78.84</v>
      </c>
      <c r="F160" s="22">
        <v>7.7550999999999997</v>
      </c>
      <c r="G160" s="22">
        <v>1.771795</v>
      </c>
      <c r="H160" s="22">
        <v>126.2</v>
      </c>
      <c r="I160" s="9">
        <v>1.2364999999999999</v>
      </c>
      <c r="J160" s="22">
        <v>3.105</v>
      </c>
      <c r="K160" s="13">
        <v>3.673</v>
      </c>
      <c r="L160" s="12">
        <v>9690</v>
      </c>
      <c r="M160" s="14">
        <v>91.72</v>
      </c>
      <c r="N160" s="13">
        <v>30.684518000000001</v>
      </c>
      <c r="O160" s="13">
        <v>30.9</v>
      </c>
      <c r="P160" s="13">
        <v>29.2</v>
      </c>
      <c r="Q160" s="12">
        <v>10350</v>
      </c>
      <c r="R160" s="22">
        <v>0.61990000000000001</v>
      </c>
      <c r="S160" s="22">
        <v>0.77078199999999997</v>
      </c>
      <c r="T160" s="22">
        <v>55.801000000000002</v>
      </c>
      <c r="U160" s="22">
        <v>68.858864999999994</v>
      </c>
      <c r="V160" s="22">
        <v>86.769000000000005</v>
      </c>
    </row>
    <row r="161" spans="1:22" x14ac:dyDescent="0.3">
      <c r="A161" s="21">
        <v>41306</v>
      </c>
      <c r="B161" s="22">
        <v>53.850726999999999</v>
      </c>
      <c r="C161" s="22">
        <v>6.2213000000000003</v>
      </c>
      <c r="D161" s="23">
        <v>20810</v>
      </c>
      <c r="E161" s="22">
        <v>78.849999999999994</v>
      </c>
      <c r="F161" s="22">
        <v>7.75</v>
      </c>
      <c r="G161" s="22">
        <v>1.7866139999999999</v>
      </c>
      <c r="H161" s="22">
        <v>127.5</v>
      </c>
      <c r="I161" s="9">
        <v>1.2210000000000001</v>
      </c>
      <c r="J161" s="22">
        <v>3.0569999999999999</v>
      </c>
      <c r="K161" s="13">
        <v>3.673</v>
      </c>
      <c r="L161" s="12">
        <v>9630</v>
      </c>
      <c r="M161" s="14">
        <v>86.74</v>
      </c>
      <c r="N161" s="13">
        <v>30.993839999999999</v>
      </c>
      <c r="O161" s="13">
        <v>30.675000000000001</v>
      </c>
      <c r="P161" s="13">
        <v>29.292999999999999</v>
      </c>
      <c r="Q161" s="12">
        <v>10405</v>
      </c>
      <c r="R161" s="22">
        <v>0.61850000000000005</v>
      </c>
      <c r="S161" s="22">
        <v>0.77799200000000002</v>
      </c>
      <c r="T161" s="22">
        <v>54.822000000000003</v>
      </c>
      <c r="U161" s="22">
        <v>70.045180000000002</v>
      </c>
      <c r="V161" s="22">
        <v>85.411000000000001</v>
      </c>
    </row>
    <row r="162" spans="1:22" x14ac:dyDescent="0.3">
      <c r="A162" s="21">
        <v>41275</v>
      </c>
      <c r="B162" s="22">
        <v>54.243630000000003</v>
      </c>
      <c r="C162" s="22">
        <v>6.2187999999999999</v>
      </c>
      <c r="D162" s="23">
        <v>20820</v>
      </c>
      <c r="E162" s="22">
        <v>79.55</v>
      </c>
      <c r="F162" s="22">
        <v>7.75</v>
      </c>
      <c r="G162" s="22">
        <v>1.793779</v>
      </c>
      <c r="H162" s="22">
        <v>130.1</v>
      </c>
      <c r="I162" s="9">
        <v>1.2199</v>
      </c>
      <c r="J162" s="22">
        <v>3.0390000000000001</v>
      </c>
      <c r="K162" s="13">
        <v>3.673</v>
      </c>
      <c r="L162" s="12">
        <v>9588</v>
      </c>
      <c r="M162" s="14">
        <v>82.45</v>
      </c>
      <c r="N162" s="13">
        <v>31.431294999999999</v>
      </c>
      <c r="O162" s="13">
        <v>30.574999999999999</v>
      </c>
      <c r="P162" s="13">
        <v>29.872</v>
      </c>
      <c r="Q162" s="12">
        <v>10425</v>
      </c>
      <c r="R162" s="22">
        <v>0.63019999999999998</v>
      </c>
      <c r="S162" s="22">
        <v>0.80651899999999999</v>
      </c>
      <c r="T162" s="22">
        <v>57.28</v>
      </c>
      <c r="U162" s="22">
        <v>68.863174000000001</v>
      </c>
      <c r="V162" s="22">
        <v>88.087999999999994</v>
      </c>
    </row>
    <row r="163" spans="1:22" x14ac:dyDescent="0.3">
      <c r="A163" s="21">
        <v>41244</v>
      </c>
      <c r="B163" s="22">
        <v>54.646414</v>
      </c>
      <c r="C163" s="22">
        <v>6.2302999999999997</v>
      </c>
      <c r="D163" s="23">
        <v>20835</v>
      </c>
      <c r="E163" s="22">
        <v>81.099999999999994</v>
      </c>
      <c r="F163" s="22">
        <v>7.7496</v>
      </c>
      <c r="G163" s="22">
        <v>1.8023640000000001</v>
      </c>
      <c r="H163" s="22">
        <v>130.1</v>
      </c>
      <c r="I163" s="9">
        <v>1.22</v>
      </c>
      <c r="J163" s="22">
        <v>3.0445000000000002</v>
      </c>
      <c r="K163" s="13">
        <v>3.673</v>
      </c>
      <c r="L163" s="12">
        <v>9600</v>
      </c>
      <c r="M163" s="14">
        <v>79.760000000000005</v>
      </c>
      <c r="N163" s="13">
        <v>31.634312999999999</v>
      </c>
      <c r="O163" s="13">
        <v>30.7</v>
      </c>
      <c r="P163" s="13">
        <v>29.939</v>
      </c>
      <c r="Q163" s="12">
        <v>10240</v>
      </c>
      <c r="R163" s="22">
        <v>0.63790000000000002</v>
      </c>
      <c r="S163" s="22">
        <v>0.81387500000000002</v>
      </c>
      <c r="T163" s="22">
        <v>58.293999999999997</v>
      </c>
      <c r="U163" s="22">
        <v>68.106091000000006</v>
      </c>
      <c r="V163" s="22">
        <v>87.069000000000003</v>
      </c>
    </row>
    <row r="164" spans="1:22" x14ac:dyDescent="0.3">
      <c r="A164" s="21">
        <v>41214</v>
      </c>
      <c r="B164" s="22">
        <v>54.822263</v>
      </c>
      <c r="C164" s="22">
        <v>6.2267000000000001</v>
      </c>
      <c r="D164" s="23">
        <v>20825</v>
      </c>
      <c r="E164" s="22">
        <v>81.2</v>
      </c>
      <c r="F164" s="22">
        <v>7.7541000000000002</v>
      </c>
      <c r="G164" s="22">
        <v>1.8029580000000001</v>
      </c>
      <c r="H164" s="22">
        <v>129.35</v>
      </c>
      <c r="I164" s="9">
        <v>1.2266999999999999</v>
      </c>
      <c r="J164" s="22">
        <v>3.0550000000000002</v>
      </c>
      <c r="K164" s="13">
        <v>3.6728999999999998</v>
      </c>
      <c r="L164" s="12">
        <v>9565</v>
      </c>
      <c r="M164" s="14">
        <v>77.900000000000006</v>
      </c>
      <c r="N164" s="13">
        <v>31.646263999999999</v>
      </c>
      <c r="O164" s="13">
        <v>31.1</v>
      </c>
      <c r="P164" s="13">
        <v>29.779</v>
      </c>
      <c r="Q164" s="12">
        <v>10000</v>
      </c>
      <c r="R164" s="22">
        <v>0.63649999999999995</v>
      </c>
      <c r="S164" s="22">
        <v>0.79836200000000002</v>
      </c>
      <c r="T164" s="22">
        <v>56.792999999999999</v>
      </c>
      <c r="U164" s="22">
        <v>70.167286000000004</v>
      </c>
      <c r="V164" s="22">
        <v>87.162999999999997</v>
      </c>
    </row>
    <row r="165" spans="1:22" x14ac:dyDescent="0.3">
      <c r="A165" s="21">
        <v>41183</v>
      </c>
      <c r="B165" s="22">
        <v>53.073239999999998</v>
      </c>
      <c r="C165" s="22">
        <v>6.2371999999999996</v>
      </c>
      <c r="D165" s="23">
        <v>20875</v>
      </c>
      <c r="E165" s="22">
        <v>81.599999999999994</v>
      </c>
      <c r="F165" s="22">
        <v>7.7556000000000003</v>
      </c>
      <c r="G165" s="22">
        <v>1.7976030000000001</v>
      </c>
      <c r="H165" s="22">
        <v>132.30000000000001</v>
      </c>
      <c r="I165" s="9">
        <v>1.2470000000000001</v>
      </c>
      <c r="J165" s="22">
        <v>3.1230000000000002</v>
      </c>
      <c r="K165" s="13">
        <v>3.673</v>
      </c>
      <c r="L165" s="12">
        <v>9530</v>
      </c>
      <c r="M165" s="14">
        <v>78.37</v>
      </c>
      <c r="N165" s="13">
        <v>31.342662000000001</v>
      </c>
      <c r="O165" s="13">
        <v>29.7</v>
      </c>
      <c r="P165" s="13">
        <v>29.846</v>
      </c>
      <c r="Q165" s="12">
        <v>10000</v>
      </c>
      <c r="R165" s="22">
        <v>0.64910000000000001</v>
      </c>
      <c r="S165" s="22">
        <v>0.782165</v>
      </c>
      <c r="T165" s="22">
        <v>54.5</v>
      </c>
      <c r="U165" s="22">
        <v>69.640658999999999</v>
      </c>
      <c r="V165" s="22">
        <v>86.302999999999997</v>
      </c>
    </row>
    <row r="166" spans="1:22" x14ac:dyDescent="0.3">
      <c r="A166" s="21">
        <v>41153</v>
      </c>
      <c r="B166" s="22">
        <v>54.494210000000002</v>
      </c>
      <c r="C166" s="22">
        <v>6.2845000000000004</v>
      </c>
      <c r="D166" s="23">
        <v>20790</v>
      </c>
      <c r="E166" s="22">
        <v>81.7</v>
      </c>
      <c r="F166" s="22">
        <v>7.7542</v>
      </c>
      <c r="G166" s="22">
        <v>1.813248</v>
      </c>
      <c r="H166" s="22">
        <v>131.69999999999999</v>
      </c>
      <c r="I166" s="9">
        <v>1.2444999999999999</v>
      </c>
      <c r="J166" s="22">
        <v>3.1230000000000002</v>
      </c>
      <c r="K166" s="13">
        <v>3.673</v>
      </c>
      <c r="L166" s="12">
        <v>9440</v>
      </c>
      <c r="M166" s="14">
        <v>78.11</v>
      </c>
      <c r="N166" s="13">
        <v>30.876436000000002</v>
      </c>
      <c r="O166" s="13">
        <v>29.1</v>
      </c>
      <c r="P166" s="13">
        <v>29.13</v>
      </c>
      <c r="Q166" s="12">
        <v>10000</v>
      </c>
      <c r="R166" s="22">
        <v>0.61599999999999999</v>
      </c>
      <c r="S166" s="22">
        <v>0.75980199999999998</v>
      </c>
      <c r="T166" s="22">
        <v>54.881999999999998</v>
      </c>
      <c r="U166" s="22">
        <v>68.193946999999994</v>
      </c>
      <c r="V166" s="22">
        <v>85.456000000000003</v>
      </c>
    </row>
    <row r="167" spans="1:22" x14ac:dyDescent="0.3">
      <c r="A167" s="21">
        <v>41122</v>
      </c>
      <c r="B167" s="22">
        <v>55.535195000000002</v>
      </c>
      <c r="C167" s="22">
        <v>6.3484999999999996</v>
      </c>
      <c r="D167" s="23">
        <v>20850</v>
      </c>
      <c r="E167" s="22">
        <v>81.650000000000006</v>
      </c>
      <c r="F167" s="22">
        <v>7.7568999999999999</v>
      </c>
      <c r="G167" s="22">
        <v>1.8232060000000001</v>
      </c>
      <c r="H167" s="22">
        <v>132.86000000000001</v>
      </c>
      <c r="I167" s="9">
        <v>1.2649999999999999</v>
      </c>
      <c r="J167" s="22">
        <v>3.1680000000000001</v>
      </c>
      <c r="K167" s="13">
        <v>3.673</v>
      </c>
      <c r="L167" s="12">
        <v>9385</v>
      </c>
      <c r="M167" s="14">
        <v>79.77</v>
      </c>
      <c r="N167" s="13">
        <v>30.722774000000001</v>
      </c>
      <c r="O167" s="13">
        <v>29</v>
      </c>
      <c r="P167" s="13">
        <v>29.51</v>
      </c>
      <c r="Q167" s="12">
        <v>10020</v>
      </c>
      <c r="R167" s="22">
        <v>0.62439999999999996</v>
      </c>
      <c r="S167" s="22">
        <v>0.75755300000000003</v>
      </c>
      <c r="T167" s="22">
        <v>52.604999999999997</v>
      </c>
      <c r="U167" s="22">
        <v>66.539923000000002</v>
      </c>
      <c r="V167" s="22">
        <v>81.442999999999998</v>
      </c>
    </row>
    <row r="168" spans="1:22" x14ac:dyDescent="0.3">
      <c r="A168" s="21">
        <v>41091</v>
      </c>
      <c r="B168" s="22">
        <v>55.426468999999997</v>
      </c>
      <c r="C168" s="22">
        <v>6.3620000000000001</v>
      </c>
      <c r="D168" s="23">
        <v>20880</v>
      </c>
      <c r="E168" s="22">
        <v>81.75</v>
      </c>
      <c r="F168" s="22">
        <v>7.7619999999999996</v>
      </c>
      <c r="G168" s="22">
        <v>1.8106009999999999</v>
      </c>
      <c r="H168" s="22">
        <v>131.11000000000001</v>
      </c>
      <c r="I168" s="9">
        <v>1.2885</v>
      </c>
      <c r="J168" s="22">
        <v>3.17</v>
      </c>
      <c r="K168" s="13">
        <v>3.673</v>
      </c>
      <c r="L168" s="12">
        <v>9390</v>
      </c>
      <c r="M168" s="14">
        <v>78.349999999999994</v>
      </c>
      <c r="N168" s="13">
        <v>30.714302</v>
      </c>
      <c r="O168" s="13">
        <v>28.95</v>
      </c>
      <c r="P168" s="13">
        <v>29.378</v>
      </c>
      <c r="Q168" s="12">
        <v>9895</v>
      </c>
      <c r="R168" s="22">
        <v>0.62809999999999999</v>
      </c>
      <c r="S168" s="22">
        <v>0.75626400000000005</v>
      </c>
      <c r="T168" s="22">
        <v>52.704000000000001</v>
      </c>
      <c r="U168" s="22">
        <v>65.058904999999996</v>
      </c>
      <c r="V168" s="22">
        <v>78.156999999999996</v>
      </c>
    </row>
    <row r="169" spans="1:22" x14ac:dyDescent="0.3">
      <c r="A169" s="21">
        <v>41061</v>
      </c>
      <c r="B169" s="22">
        <v>56.016390000000001</v>
      </c>
      <c r="C169" s="22">
        <v>6.3536999999999999</v>
      </c>
      <c r="D169" s="23">
        <v>20820</v>
      </c>
      <c r="E169" s="22">
        <v>81.7</v>
      </c>
      <c r="F169" s="22">
        <v>7.758</v>
      </c>
      <c r="G169" s="22">
        <v>1.7870539999999999</v>
      </c>
      <c r="H169" s="22">
        <v>129.21</v>
      </c>
      <c r="I169" s="9">
        <v>1.2370000000000001</v>
      </c>
      <c r="J169" s="22">
        <v>3.0232000000000001</v>
      </c>
      <c r="K169" s="13">
        <v>3.6730999999999998</v>
      </c>
      <c r="L169" s="12">
        <v>9188</v>
      </c>
      <c r="M169" s="14">
        <v>79.78</v>
      </c>
      <c r="N169" s="13">
        <v>31.554836999999999</v>
      </c>
      <c r="O169" s="13">
        <v>29.3</v>
      </c>
      <c r="P169" s="13">
        <v>29.614999999999998</v>
      </c>
      <c r="Q169" s="12">
        <v>9900</v>
      </c>
      <c r="R169" s="22">
        <v>0.63460000000000005</v>
      </c>
      <c r="S169" s="22">
        <v>0.77500400000000003</v>
      </c>
      <c r="T169" s="22">
        <v>52.533999999999999</v>
      </c>
      <c r="U169" s="22">
        <v>66.060136</v>
      </c>
      <c r="V169" s="22">
        <v>77.971999999999994</v>
      </c>
    </row>
    <row r="170" spans="1:22" x14ac:dyDescent="0.3">
      <c r="A170" s="21">
        <v>41030</v>
      </c>
      <c r="B170" s="22">
        <v>54.471380000000003</v>
      </c>
      <c r="C170" s="22">
        <v>6.3688000000000002</v>
      </c>
      <c r="D170" s="23">
        <v>20830</v>
      </c>
      <c r="E170" s="22">
        <v>81.650000000000006</v>
      </c>
      <c r="F170" s="22">
        <v>7.7656000000000001</v>
      </c>
      <c r="G170" s="22">
        <v>1.79017</v>
      </c>
      <c r="H170" s="22">
        <v>128.1</v>
      </c>
      <c r="I170" s="9">
        <v>1.2572000000000001</v>
      </c>
      <c r="J170" s="22">
        <v>3.0605000000000002</v>
      </c>
      <c r="K170" s="13">
        <v>3.6728999999999998</v>
      </c>
      <c r="L170" s="12">
        <v>9139</v>
      </c>
      <c r="M170" s="14">
        <v>82.79</v>
      </c>
      <c r="N170" s="13">
        <v>31.188842999999999</v>
      </c>
      <c r="O170" s="13">
        <v>29.4</v>
      </c>
      <c r="P170" s="13">
        <v>30.27</v>
      </c>
      <c r="Q170" s="12">
        <v>9887.5</v>
      </c>
      <c r="R170" s="22">
        <v>0.64349999999999996</v>
      </c>
      <c r="S170" s="22">
        <v>0.75894200000000001</v>
      </c>
      <c r="T170" s="22">
        <v>54.182000000000002</v>
      </c>
      <c r="U170" s="22">
        <v>69.206619000000003</v>
      </c>
      <c r="V170" s="22">
        <v>82.350999999999999</v>
      </c>
    </row>
    <row r="171" spans="1:22" x14ac:dyDescent="0.3">
      <c r="A171" s="21">
        <v>41000</v>
      </c>
      <c r="B171" s="22">
        <v>51.812474000000002</v>
      </c>
      <c r="C171" s="22">
        <v>6.3098999999999998</v>
      </c>
      <c r="D171" s="23">
        <v>20820</v>
      </c>
      <c r="E171" s="22">
        <v>81.75</v>
      </c>
      <c r="F171" s="22">
        <v>7.7557999999999998</v>
      </c>
      <c r="G171" s="22">
        <v>1.759242</v>
      </c>
      <c r="H171" s="22">
        <v>121.8</v>
      </c>
      <c r="I171" s="9">
        <v>1.2504</v>
      </c>
      <c r="J171" s="22">
        <v>2.9940000000000002</v>
      </c>
      <c r="K171" s="13">
        <v>3.673</v>
      </c>
      <c r="L171" s="12">
        <v>9010</v>
      </c>
      <c r="M171" s="14">
        <v>81.22</v>
      </c>
      <c r="N171" s="13">
        <v>30.962714999999999</v>
      </c>
      <c r="O171" s="13">
        <v>29.05</v>
      </c>
      <c r="P171" s="13">
        <v>30.31</v>
      </c>
      <c r="Q171" s="12">
        <v>9900</v>
      </c>
      <c r="R171" s="22">
        <v>0.6371</v>
      </c>
      <c r="S171" s="22">
        <v>0.73780199999999996</v>
      </c>
      <c r="T171" s="22">
        <v>53.552999999999997</v>
      </c>
      <c r="U171" s="22">
        <v>68.833022999999997</v>
      </c>
      <c r="V171" s="22">
        <v>81.787000000000006</v>
      </c>
    </row>
    <row r="172" spans="1:22" x14ac:dyDescent="0.3">
      <c r="A172" s="21">
        <v>40969</v>
      </c>
      <c r="B172" s="22">
        <v>50.403962</v>
      </c>
      <c r="C172" s="22">
        <v>6.298</v>
      </c>
      <c r="D172" s="23">
        <v>20830</v>
      </c>
      <c r="E172" s="22">
        <v>81.680000000000007</v>
      </c>
      <c r="F172" s="22">
        <v>7.7549000000000001</v>
      </c>
      <c r="G172" s="22">
        <v>1.841326</v>
      </c>
      <c r="H172" s="22">
        <v>113.85</v>
      </c>
      <c r="I172" s="9">
        <v>1.2581</v>
      </c>
      <c r="J172" s="22">
        <v>3.04</v>
      </c>
      <c r="K172" s="13">
        <v>3.673</v>
      </c>
      <c r="L172" s="12">
        <v>8980</v>
      </c>
      <c r="M172" s="14">
        <v>76.19</v>
      </c>
      <c r="N172" s="13">
        <v>30.862828</v>
      </c>
      <c r="O172" s="13">
        <v>28.9</v>
      </c>
      <c r="P172" s="13">
        <v>29.93</v>
      </c>
      <c r="Q172" s="12">
        <v>9902</v>
      </c>
      <c r="R172" s="22">
        <v>0.62129999999999996</v>
      </c>
      <c r="S172" s="22">
        <v>0.729854</v>
      </c>
      <c r="T172" s="22">
        <v>51.3</v>
      </c>
      <c r="U172" s="22">
        <v>67.551856999999998</v>
      </c>
      <c r="V172" s="22">
        <v>78.322999999999993</v>
      </c>
    </row>
    <row r="173" spans="1:22" x14ac:dyDescent="0.3">
      <c r="A173" s="21">
        <v>40940</v>
      </c>
      <c r="B173" s="22">
        <v>49.197800000000001</v>
      </c>
      <c r="C173" s="22">
        <v>6.2938000000000001</v>
      </c>
      <c r="D173" s="23">
        <v>21000</v>
      </c>
      <c r="E173" s="22">
        <v>84.45</v>
      </c>
      <c r="F173" s="22">
        <v>7.7660999999999998</v>
      </c>
      <c r="G173" s="22">
        <v>1.869397</v>
      </c>
      <c r="H173" s="22">
        <v>113.85</v>
      </c>
      <c r="I173" s="9">
        <v>1.2968</v>
      </c>
      <c r="J173" s="22">
        <v>3.169</v>
      </c>
      <c r="K173" s="13">
        <v>3.673</v>
      </c>
      <c r="L173" s="12">
        <v>9060</v>
      </c>
      <c r="M173" s="14">
        <v>76.94</v>
      </c>
      <c r="N173" s="13">
        <v>30.436426000000001</v>
      </c>
      <c r="O173" s="13">
        <v>29</v>
      </c>
      <c r="P173" s="13">
        <v>30.45</v>
      </c>
      <c r="Q173" s="12">
        <v>9920</v>
      </c>
      <c r="R173" s="22">
        <v>0.64159999999999995</v>
      </c>
      <c r="S173" s="22">
        <v>0.72645700000000002</v>
      </c>
      <c r="T173" s="22">
        <v>47.334000000000003</v>
      </c>
      <c r="U173" s="22">
        <v>65.596408999999994</v>
      </c>
      <c r="V173" s="22">
        <v>76.367000000000004</v>
      </c>
    </row>
    <row r="174" spans="1:22" x14ac:dyDescent="0.3">
      <c r="A174" s="21">
        <v>40909</v>
      </c>
      <c r="B174" s="22">
        <v>51.197583000000002</v>
      </c>
      <c r="C174" s="22">
        <v>6.3090000000000002</v>
      </c>
      <c r="D174" s="23">
        <v>21031</v>
      </c>
      <c r="E174" s="22">
        <v>81.78</v>
      </c>
      <c r="F174" s="22">
        <v>7.7675999999999998</v>
      </c>
      <c r="G174" s="22">
        <v>1.8125880000000001</v>
      </c>
      <c r="H174" s="22">
        <v>113.82</v>
      </c>
      <c r="I174" s="9">
        <v>1.2817000000000001</v>
      </c>
      <c r="J174" s="22">
        <v>3.177</v>
      </c>
      <c r="K174" s="13">
        <v>3.6728000000000001</v>
      </c>
      <c r="L174" s="12">
        <v>9105</v>
      </c>
      <c r="M174" s="14">
        <v>77.5</v>
      </c>
      <c r="N174" s="13">
        <v>29.892052</v>
      </c>
      <c r="O174" s="13">
        <v>27.9</v>
      </c>
      <c r="P174" s="13">
        <v>28.98</v>
      </c>
      <c r="Q174" s="12">
        <v>9905</v>
      </c>
      <c r="R174" s="22">
        <v>0.61519999999999997</v>
      </c>
      <c r="S174" s="22">
        <v>0.69723000000000002</v>
      </c>
      <c r="T174" s="22">
        <v>49</v>
      </c>
      <c r="U174" s="22">
        <v>65.071696000000003</v>
      </c>
      <c r="V174" s="22">
        <v>74.418000000000006</v>
      </c>
    </row>
    <row r="175" spans="1:22" x14ac:dyDescent="0.3">
      <c r="A175" s="21">
        <v>40878</v>
      </c>
      <c r="B175" s="22">
        <v>52.522753000000002</v>
      </c>
      <c r="C175" s="22">
        <v>6.2938999999999998</v>
      </c>
      <c r="D175" s="23">
        <v>21000</v>
      </c>
      <c r="E175" s="22">
        <v>76.8</v>
      </c>
      <c r="F175" s="22">
        <v>7.7682000000000002</v>
      </c>
      <c r="G175" s="22">
        <v>1.831113</v>
      </c>
      <c r="H175" s="22">
        <v>110.06</v>
      </c>
      <c r="I175" s="9">
        <v>1.2544999999999999</v>
      </c>
      <c r="J175" s="22">
        <v>3.0670000000000002</v>
      </c>
      <c r="K175" s="13">
        <v>3.673</v>
      </c>
      <c r="L175" s="12">
        <v>8850</v>
      </c>
      <c r="M175" s="14">
        <v>78.2</v>
      </c>
      <c r="N175" s="13">
        <v>30.109418000000002</v>
      </c>
      <c r="O175" s="13">
        <v>27.9</v>
      </c>
      <c r="P175" s="13">
        <v>28.87</v>
      </c>
      <c r="Q175" s="12">
        <v>9902.5</v>
      </c>
      <c r="R175" s="22">
        <v>0.6089</v>
      </c>
      <c r="S175" s="22">
        <v>0.70113300000000001</v>
      </c>
      <c r="T175" s="22">
        <v>48.567</v>
      </c>
      <c r="U175" s="22">
        <v>63.353667000000002</v>
      </c>
      <c r="V175" s="22">
        <v>72.567999999999998</v>
      </c>
    </row>
    <row r="176" spans="1:22" x14ac:dyDescent="0.3">
      <c r="A176" s="21">
        <v>40848</v>
      </c>
      <c r="B176" s="22">
        <v>50.791083</v>
      </c>
      <c r="C176" s="22">
        <v>6.3788</v>
      </c>
      <c r="D176" s="23">
        <v>21000</v>
      </c>
      <c r="E176" s="22">
        <v>75.7</v>
      </c>
      <c r="F176" s="22">
        <v>7.7840999999999996</v>
      </c>
      <c r="G176" s="22">
        <v>1.7970060000000001</v>
      </c>
      <c r="H176" s="22">
        <v>109.96</v>
      </c>
      <c r="I176" s="9">
        <v>1.3069</v>
      </c>
      <c r="J176" s="22">
        <v>3.1869999999999998</v>
      </c>
      <c r="K176" s="13">
        <v>3.673</v>
      </c>
      <c r="L176" s="12">
        <v>8780</v>
      </c>
      <c r="M176" s="14">
        <v>77.040000000000006</v>
      </c>
      <c r="N176" s="13">
        <v>30.528040000000001</v>
      </c>
      <c r="O176" s="13">
        <v>28.35</v>
      </c>
      <c r="P176" s="13">
        <v>28.725000000000001</v>
      </c>
      <c r="Q176" s="12">
        <v>9905</v>
      </c>
      <c r="R176" s="22">
        <v>0.62309999999999999</v>
      </c>
      <c r="S176" s="22">
        <v>0.695079</v>
      </c>
      <c r="T176" s="22">
        <v>47.893999999999998</v>
      </c>
      <c r="U176" s="22">
        <v>64.520017999999993</v>
      </c>
      <c r="V176" s="22">
        <v>71.700999999999993</v>
      </c>
    </row>
    <row r="177" spans="1:22" x14ac:dyDescent="0.3">
      <c r="A177" s="21">
        <v>40817</v>
      </c>
      <c r="B177" s="22">
        <v>49.285598</v>
      </c>
      <c r="C177" s="22">
        <v>6.3552</v>
      </c>
      <c r="D177" s="23">
        <v>20825</v>
      </c>
      <c r="E177" s="22">
        <v>75</v>
      </c>
      <c r="F177" s="22">
        <v>7.7854000000000001</v>
      </c>
      <c r="G177" s="22">
        <v>1.7531909999999999</v>
      </c>
      <c r="H177" s="22">
        <v>109.65</v>
      </c>
      <c r="I177" s="9">
        <v>1.2038</v>
      </c>
      <c r="J177" s="22">
        <v>2.9809999999999999</v>
      </c>
      <c r="K177" s="13">
        <v>3.673</v>
      </c>
      <c r="L177" s="12">
        <v>8528</v>
      </c>
      <c r="M177" s="14">
        <v>76.59</v>
      </c>
      <c r="N177" s="13">
        <v>30.247699999999998</v>
      </c>
      <c r="O177" s="13">
        <v>28.5</v>
      </c>
      <c r="P177" s="13">
        <v>28.64</v>
      </c>
      <c r="Q177" s="12">
        <v>9955</v>
      </c>
      <c r="R177" s="22">
        <v>0.60780000000000001</v>
      </c>
      <c r="S177" s="22">
        <v>0.69714299999999996</v>
      </c>
      <c r="T177" s="22">
        <v>48.069000000000003</v>
      </c>
      <c r="U177" s="22">
        <v>64.473455000000001</v>
      </c>
      <c r="V177" s="22">
        <v>74.114999999999995</v>
      </c>
    </row>
    <row r="178" spans="1:22" x14ac:dyDescent="0.3">
      <c r="A178" s="21">
        <v>40787</v>
      </c>
      <c r="B178" s="22">
        <v>47.658523000000002</v>
      </c>
      <c r="C178" s="22">
        <v>6.3822000000000001</v>
      </c>
      <c r="D178" s="23">
        <v>20830</v>
      </c>
      <c r="E178" s="22">
        <v>73.599999999999994</v>
      </c>
      <c r="F178" s="22">
        <v>7.7938000000000001</v>
      </c>
      <c r="G178" s="22">
        <v>1.658261</v>
      </c>
      <c r="H178" s="22">
        <v>109.4</v>
      </c>
      <c r="I178" s="9">
        <v>1.2033</v>
      </c>
      <c r="J178" s="22">
        <v>2.964</v>
      </c>
      <c r="K178" s="13">
        <v>3.6730999999999998</v>
      </c>
      <c r="L178" s="12">
        <v>8495</v>
      </c>
      <c r="M178" s="14">
        <v>76.73</v>
      </c>
      <c r="N178" s="13">
        <v>30.076806000000001</v>
      </c>
      <c r="O178" s="13">
        <v>27</v>
      </c>
      <c r="P178" s="13">
        <v>28.67</v>
      </c>
      <c r="Q178" s="12">
        <v>9955</v>
      </c>
      <c r="R178" s="22">
        <v>0.59860000000000002</v>
      </c>
      <c r="S178" s="22">
        <v>0.69255900000000004</v>
      </c>
      <c r="T178" s="22">
        <v>48.509</v>
      </c>
      <c r="U178" s="22">
        <v>64.112789000000006</v>
      </c>
      <c r="V178" s="22">
        <v>73.885000000000005</v>
      </c>
    </row>
    <row r="179" spans="1:22" x14ac:dyDescent="0.3">
      <c r="A179" s="21">
        <v>40756</v>
      </c>
      <c r="B179" s="22">
        <v>45.364960000000004</v>
      </c>
      <c r="C179" s="22">
        <v>6.3789999999999996</v>
      </c>
      <c r="D179" s="23">
        <v>20580</v>
      </c>
      <c r="E179" s="22">
        <v>74.650000000000006</v>
      </c>
      <c r="F179" s="22">
        <v>7.782</v>
      </c>
      <c r="G179" s="22">
        <v>1.603985</v>
      </c>
      <c r="H179" s="22">
        <v>109.45</v>
      </c>
      <c r="I179" s="9">
        <v>1.2278</v>
      </c>
      <c r="J179" s="22">
        <v>3.0179999999999998</v>
      </c>
      <c r="K179" s="13">
        <v>3.6728000000000001</v>
      </c>
      <c r="L179" s="12">
        <v>8573</v>
      </c>
      <c r="M179" s="14">
        <v>80.52</v>
      </c>
      <c r="N179" s="13">
        <v>30.364742</v>
      </c>
      <c r="O179" s="13">
        <v>28.4</v>
      </c>
      <c r="P179" s="13">
        <v>29.4</v>
      </c>
      <c r="Q179" s="12">
        <v>9680.5</v>
      </c>
      <c r="R179" s="22">
        <v>0.62370000000000003</v>
      </c>
      <c r="S179" s="22">
        <v>0.71453199999999994</v>
      </c>
      <c r="T179" s="22">
        <v>45.975999999999999</v>
      </c>
      <c r="U179" s="22">
        <v>62.941743000000002</v>
      </c>
      <c r="V179" s="22">
        <v>71.37</v>
      </c>
    </row>
    <row r="180" spans="1:22" x14ac:dyDescent="0.3">
      <c r="A180" s="21">
        <v>40725</v>
      </c>
      <c r="B180" s="22">
        <v>44.415067000000001</v>
      </c>
      <c r="C180" s="22">
        <v>6.4370000000000003</v>
      </c>
      <c r="D180" s="23">
        <v>20510</v>
      </c>
      <c r="E180" s="22">
        <v>74.2</v>
      </c>
      <c r="F180" s="22">
        <v>7.7771999999999997</v>
      </c>
      <c r="G180" s="22">
        <v>1.575647</v>
      </c>
      <c r="H180" s="22">
        <v>109.65</v>
      </c>
      <c r="I180" s="9">
        <v>1.2330000000000001</v>
      </c>
      <c r="J180" s="22">
        <v>3.008</v>
      </c>
      <c r="K180" s="13">
        <v>3.673</v>
      </c>
      <c r="L180" s="12">
        <v>8532</v>
      </c>
      <c r="M180" s="14">
        <v>81.52</v>
      </c>
      <c r="N180" s="13">
        <v>30.711226</v>
      </c>
      <c r="O180" s="13">
        <v>29.4</v>
      </c>
      <c r="P180" s="13">
        <v>29.745000000000001</v>
      </c>
      <c r="Q180" s="12">
        <v>9875</v>
      </c>
      <c r="R180" s="22">
        <v>0.61499999999999999</v>
      </c>
      <c r="S180" s="22">
        <v>0.73270299999999999</v>
      </c>
      <c r="T180" s="22">
        <v>46.088000000000001</v>
      </c>
      <c r="U180" s="22">
        <v>62.014225000000003</v>
      </c>
      <c r="V180" s="22">
        <v>73.575000000000003</v>
      </c>
    </row>
    <row r="181" spans="1:22" x14ac:dyDescent="0.3">
      <c r="A181" s="21">
        <v>40695</v>
      </c>
      <c r="B181" s="22">
        <v>44.842587000000002</v>
      </c>
      <c r="C181" s="22">
        <v>6.4641999999999999</v>
      </c>
      <c r="D181" s="23">
        <v>20500</v>
      </c>
      <c r="E181" s="22">
        <v>73.55</v>
      </c>
      <c r="F181" s="22">
        <v>7.7659000000000002</v>
      </c>
      <c r="G181" s="22">
        <v>1.5216700000000001</v>
      </c>
      <c r="H181" s="22">
        <v>109.85</v>
      </c>
      <c r="I181" s="9">
        <v>1.2239</v>
      </c>
      <c r="J181" s="22">
        <v>2.9609999999999999</v>
      </c>
      <c r="K181" s="13">
        <v>3.673</v>
      </c>
      <c r="L181" s="12">
        <v>8563</v>
      </c>
      <c r="M181" s="14">
        <v>81.209999999999994</v>
      </c>
      <c r="N181" s="13">
        <v>30.556581999999999</v>
      </c>
      <c r="O181" s="13">
        <v>29.25</v>
      </c>
      <c r="P181" s="13">
        <v>29.03</v>
      </c>
      <c r="Q181" s="12">
        <v>9735</v>
      </c>
      <c r="R181" s="22">
        <v>0.62409999999999999</v>
      </c>
      <c r="S181" s="22">
        <v>0.748811</v>
      </c>
      <c r="T181" s="22">
        <v>45.634999999999998</v>
      </c>
      <c r="U181" s="22">
        <v>60.716085999999997</v>
      </c>
      <c r="V181" s="22">
        <v>73.352999999999994</v>
      </c>
    </row>
    <row r="182" spans="1:22" x14ac:dyDescent="0.3">
      <c r="A182" s="21">
        <v>40664</v>
      </c>
      <c r="B182" s="22">
        <v>44.937699000000002</v>
      </c>
      <c r="C182" s="22">
        <v>6.4794999999999998</v>
      </c>
      <c r="D182" s="23">
        <v>20570</v>
      </c>
      <c r="E182" s="22">
        <v>72.849999999999994</v>
      </c>
      <c r="F182" s="22">
        <v>7.7786</v>
      </c>
      <c r="G182" s="22">
        <v>1.5794220000000001</v>
      </c>
      <c r="H182" s="22">
        <v>110.37</v>
      </c>
      <c r="I182" s="9">
        <v>1.2607999999999999</v>
      </c>
      <c r="J182" s="22">
        <v>3.0249999999999999</v>
      </c>
      <c r="K182" s="13">
        <v>3.673</v>
      </c>
      <c r="L182" s="12">
        <v>8705</v>
      </c>
      <c r="M182" s="14">
        <v>83.15</v>
      </c>
      <c r="N182" s="13">
        <v>30.109431000000001</v>
      </c>
      <c r="O182" s="13">
        <v>30.3</v>
      </c>
      <c r="P182" s="13">
        <v>29.164999999999999</v>
      </c>
      <c r="Q182" s="12">
        <v>9700</v>
      </c>
      <c r="R182" s="22">
        <v>0.64090000000000003</v>
      </c>
      <c r="S182" s="22">
        <v>0.75646199999999997</v>
      </c>
      <c r="T182" s="22">
        <v>45.728000000000002</v>
      </c>
      <c r="U182" s="22">
        <v>59.647174</v>
      </c>
      <c r="V182" s="22">
        <v>69.727999999999994</v>
      </c>
    </row>
    <row r="183" spans="1:22" x14ac:dyDescent="0.3">
      <c r="A183" s="21">
        <v>40634</v>
      </c>
      <c r="B183" s="22">
        <v>44.394224999999999</v>
      </c>
      <c r="C183" s="22">
        <v>6.4909999999999997</v>
      </c>
      <c r="D183" s="23">
        <v>20880</v>
      </c>
      <c r="E183" s="22">
        <v>72.5</v>
      </c>
      <c r="F183" s="22">
        <v>7.7877999999999998</v>
      </c>
      <c r="G183" s="22">
        <v>1.589987</v>
      </c>
      <c r="H183" s="22">
        <v>110.75</v>
      </c>
      <c r="I183" s="9">
        <v>1.2715000000000001</v>
      </c>
      <c r="J183" s="22">
        <v>3.0489999999999999</v>
      </c>
      <c r="K183" s="13">
        <v>3.673</v>
      </c>
      <c r="L183" s="12">
        <v>8818</v>
      </c>
      <c r="M183" s="14">
        <v>81.78</v>
      </c>
      <c r="N183" s="13">
        <v>29.889006999999999</v>
      </c>
      <c r="O183" s="13">
        <v>30.5</v>
      </c>
      <c r="P183" s="13">
        <v>30.47</v>
      </c>
      <c r="Q183" s="12">
        <v>9700</v>
      </c>
      <c r="R183" s="22">
        <v>0.64280000000000004</v>
      </c>
      <c r="S183" s="22">
        <v>0.73240499999999997</v>
      </c>
      <c r="T183" s="22">
        <v>43.844000000000001</v>
      </c>
      <c r="U183" s="22">
        <v>61.453904999999999</v>
      </c>
      <c r="V183" s="22">
        <v>71.191999999999993</v>
      </c>
    </row>
    <row r="184" spans="1:22" x14ac:dyDescent="0.3">
      <c r="A184" s="21">
        <v>40603</v>
      </c>
      <c r="B184" s="22">
        <v>44.971035999999998</v>
      </c>
      <c r="C184" s="22">
        <v>6.5486000000000004</v>
      </c>
      <c r="D184" s="23">
        <v>20875</v>
      </c>
      <c r="E184" s="22">
        <v>70.900000000000006</v>
      </c>
      <c r="F184" s="22">
        <v>7.7968000000000002</v>
      </c>
      <c r="G184" s="22">
        <v>1.565768</v>
      </c>
      <c r="H184" s="22">
        <v>110.85</v>
      </c>
      <c r="I184" s="9">
        <v>1.2791999999999999</v>
      </c>
      <c r="J184" s="22">
        <v>3.06</v>
      </c>
      <c r="K184" s="13">
        <v>3.6726999999999999</v>
      </c>
      <c r="L184" s="12">
        <v>9043</v>
      </c>
      <c r="M184" s="14">
        <v>82.08</v>
      </c>
      <c r="N184" s="13">
        <v>29.959184</v>
      </c>
      <c r="O184" s="13">
        <v>29.5</v>
      </c>
      <c r="P184" s="13">
        <v>30.6</v>
      </c>
      <c r="Q184" s="12">
        <v>9825</v>
      </c>
      <c r="R184" s="22">
        <v>0.62329999999999997</v>
      </c>
      <c r="S184" s="22">
        <v>0.71957700000000002</v>
      </c>
      <c r="T184" s="22">
        <v>43.573999999999998</v>
      </c>
      <c r="U184" s="22">
        <v>61.739905</v>
      </c>
      <c r="V184" s="22">
        <v>71.063999999999993</v>
      </c>
    </row>
    <row r="185" spans="1:22" x14ac:dyDescent="0.3">
      <c r="A185" s="21">
        <v>40575</v>
      </c>
      <c r="B185" s="22">
        <v>45.435447000000003</v>
      </c>
      <c r="C185" s="22">
        <v>6.5716000000000001</v>
      </c>
      <c r="D185" s="23">
        <v>19495</v>
      </c>
      <c r="E185" s="22">
        <v>70.599999999999994</v>
      </c>
      <c r="F185" s="22">
        <v>7.7732000000000001</v>
      </c>
      <c r="G185" s="22">
        <v>1.52494</v>
      </c>
      <c r="H185" s="22">
        <v>110.92</v>
      </c>
      <c r="I185" s="9">
        <v>1.2829999999999999</v>
      </c>
      <c r="J185" s="22">
        <v>3.0819999999999999</v>
      </c>
      <c r="K185" s="13">
        <v>3.6728000000000001</v>
      </c>
      <c r="L185" s="12">
        <v>9005</v>
      </c>
      <c r="M185" s="14">
        <v>81.17</v>
      </c>
      <c r="N185" s="13">
        <v>30.817654999999998</v>
      </c>
      <c r="O185" s="13">
        <v>30</v>
      </c>
      <c r="P185" s="13">
        <v>31.19</v>
      </c>
      <c r="Q185" s="12">
        <v>10105</v>
      </c>
      <c r="R185" s="22">
        <v>0.63629999999999998</v>
      </c>
      <c r="S185" s="22">
        <v>0.76570199999999999</v>
      </c>
      <c r="T185" s="22">
        <v>43.076000000000001</v>
      </c>
      <c r="U185" s="22">
        <v>60.077081999999997</v>
      </c>
      <c r="V185" s="22">
        <v>70.033000000000001</v>
      </c>
    </row>
    <row r="186" spans="1:22" x14ac:dyDescent="0.3">
      <c r="A186" s="21">
        <v>40544</v>
      </c>
      <c r="B186" s="22">
        <v>45.444251999999999</v>
      </c>
      <c r="C186" s="22">
        <v>6.6050000000000004</v>
      </c>
      <c r="D186" s="23">
        <v>19495</v>
      </c>
      <c r="E186" s="22">
        <v>70.45</v>
      </c>
      <c r="F186" s="22">
        <v>7.7652999999999999</v>
      </c>
      <c r="G186" s="22">
        <v>1.4440390000000001</v>
      </c>
      <c r="H186" s="22">
        <v>111.35</v>
      </c>
      <c r="I186" s="9">
        <v>1.3201000000000001</v>
      </c>
      <c r="J186" s="22">
        <v>3.165</v>
      </c>
      <c r="K186" s="13">
        <v>3.6726999999999999</v>
      </c>
      <c r="L186" s="12">
        <v>9029</v>
      </c>
      <c r="M186" s="14">
        <v>83.69</v>
      </c>
      <c r="N186" s="13">
        <v>31.744313999999999</v>
      </c>
      <c r="O186" s="13">
        <v>30.9</v>
      </c>
      <c r="P186" s="13">
        <v>32.015000000000001</v>
      </c>
      <c r="Q186" s="12">
        <v>9922.5</v>
      </c>
      <c r="R186" s="22">
        <v>0.65139999999999998</v>
      </c>
      <c r="S186" s="22">
        <v>0.77575799999999995</v>
      </c>
      <c r="T186" s="22">
        <v>41.893000000000001</v>
      </c>
      <c r="U186" s="22">
        <v>60.047474000000001</v>
      </c>
      <c r="V186" s="22">
        <v>72.254000000000005</v>
      </c>
    </row>
    <row r="187" spans="1:22" x14ac:dyDescent="0.3">
      <c r="A187" s="21">
        <v>40513</v>
      </c>
      <c r="B187" s="22">
        <v>45.119177999999998</v>
      </c>
      <c r="C187" s="22">
        <v>6.5906000000000002</v>
      </c>
      <c r="D187" s="23">
        <v>19498</v>
      </c>
      <c r="E187" s="22">
        <v>70.349999999999994</v>
      </c>
      <c r="F187" s="22">
        <v>7.7507999999999999</v>
      </c>
      <c r="G187" s="22">
        <v>1.4247860000000001</v>
      </c>
      <c r="H187" s="22">
        <v>111.6</v>
      </c>
      <c r="I187" s="9">
        <v>1.2936000000000001</v>
      </c>
      <c r="J187" s="22">
        <v>3.11</v>
      </c>
      <c r="K187" s="13">
        <v>3.6728999999999998</v>
      </c>
      <c r="L187" s="12">
        <v>8935</v>
      </c>
      <c r="M187" s="14">
        <v>80.39</v>
      </c>
      <c r="N187" s="13">
        <v>32.320723999999998</v>
      </c>
      <c r="O187" s="13">
        <v>30.45</v>
      </c>
      <c r="P187" s="13">
        <v>31.95</v>
      </c>
      <c r="Q187" s="12">
        <v>9602.5</v>
      </c>
      <c r="R187" s="22">
        <v>0.63749999999999996</v>
      </c>
      <c r="S187" s="22">
        <v>0.78345699999999996</v>
      </c>
      <c r="T187" s="22">
        <v>41.957999999999998</v>
      </c>
      <c r="U187" s="22">
        <v>59.801451999999998</v>
      </c>
      <c r="V187" s="22">
        <v>72.784000000000006</v>
      </c>
    </row>
    <row r="188" spans="1:22" x14ac:dyDescent="0.3">
      <c r="A188" s="21">
        <v>40483</v>
      </c>
      <c r="B188" s="22">
        <v>44.998573999999998</v>
      </c>
      <c r="C188" s="22">
        <v>6.6669999999999998</v>
      </c>
      <c r="D188" s="23">
        <v>19480</v>
      </c>
      <c r="E188" s="22">
        <v>70.7</v>
      </c>
      <c r="F188" s="22">
        <v>7.7598000000000003</v>
      </c>
      <c r="G188" s="22">
        <v>1.494847</v>
      </c>
      <c r="H188" s="22">
        <v>111.7</v>
      </c>
      <c r="I188" s="9">
        <v>1.3148</v>
      </c>
      <c r="J188" s="22">
        <v>3.0859999999999999</v>
      </c>
      <c r="K188" s="13">
        <v>3.6728999999999998</v>
      </c>
      <c r="L188" s="12">
        <v>8925</v>
      </c>
      <c r="M188" s="14">
        <v>83.47</v>
      </c>
      <c r="N188" s="13">
        <v>32.466329999999999</v>
      </c>
      <c r="O188" s="13">
        <v>31.85</v>
      </c>
      <c r="P188" s="13">
        <v>32.274999999999999</v>
      </c>
      <c r="Q188" s="12">
        <v>9572</v>
      </c>
      <c r="R188" s="22">
        <v>0.66900000000000004</v>
      </c>
      <c r="S188" s="22">
        <v>0.81919299999999995</v>
      </c>
      <c r="T188" s="22">
        <v>39.014000000000003</v>
      </c>
      <c r="U188" s="22">
        <v>56.842492999999997</v>
      </c>
      <c r="V188" s="22">
        <v>69.427999999999997</v>
      </c>
    </row>
    <row r="189" spans="1:22" x14ac:dyDescent="0.3">
      <c r="A189" s="21">
        <v>40452</v>
      </c>
      <c r="B189" s="22">
        <v>44.425030999999997</v>
      </c>
      <c r="C189" s="22">
        <v>6.6707000000000001</v>
      </c>
      <c r="D189" s="23">
        <v>19450</v>
      </c>
      <c r="E189" s="22">
        <v>69.2</v>
      </c>
      <c r="F189" s="22">
        <v>7.7785000000000002</v>
      </c>
      <c r="G189" s="22">
        <v>1.5112730000000001</v>
      </c>
      <c r="H189" s="22">
        <v>112.7</v>
      </c>
      <c r="I189" s="9">
        <v>1.3555999999999999</v>
      </c>
      <c r="J189" s="22">
        <v>3.149</v>
      </c>
      <c r="K189" s="13">
        <v>3.6730999999999998</v>
      </c>
      <c r="L189" s="12">
        <v>9035</v>
      </c>
      <c r="M189" s="14">
        <v>84.17</v>
      </c>
      <c r="N189" s="13">
        <v>32.402926999999998</v>
      </c>
      <c r="O189" s="13">
        <v>33.25</v>
      </c>
      <c r="P189" s="13">
        <v>31.99</v>
      </c>
      <c r="Q189" s="12">
        <v>9310</v>
      </c>
      <c r="R189" s="22">
        <v>0.68779999999999997</v>
      </c>
      <c r="S189" s="22">
        <v>0.79625299999999999</v>
      </c>
      <c r="T189" s="22">
        <v>39.25</v>
      </c>
      <c r="U189" s="22">
        <v>57.631630999999999</v>
      </c>
      <c r="V189" s="22">
        <v>67.414000000000001</v>
      </c>
    </row>
    <row r="190" spans="1:22" x14ac:dyDescent="0.3">
      <c r="A190" s="21">
        <v>40422</v>
      </c>
      <c r="B190" s="22">
        <v>45.990425999999999</v>
      </c>
      <c r="C190" s="22">
        <v>6.6917</v>
      </c>
      <c r="D190" s="23">
        <v>19490</v>
      </c>
      <c r="E190" s="22">
        <v>69.400000000000006</v>
      </c>
      <c r="F190" s="22">
        <v>7.7666000000000004</v>
      </c>
      <c r="G190" s="22">
        <v>1.5403629999999999</v>
      </c>
      <c r="H190" s="22">
        <v>112.75</v>
      </c>
      <c r="I190" s="9">
        <v>1.3602000000000001</v>
      </c>
      <c r="J190" s="22">
        <v>3.1825000000000001</v>
      </c>
      <c r="K190" s="13">
        <v>3.673</v>
      </c>
      <c r="L190" s="12">
        <v>8940</v>
      </c>
      <c r="M190" s="14">
        <v>86.47</v>
      </c>
      <c r="N190" s="13">
        <v>32.284030000000001</v>
      </c>
      <c r="O190" s="13">
        <v>31.05</v>
      </c>
      <c r="P190" s="13">
        <v>31.324999999999999</v>
      </c>
      <c r="Q190" s="12">
        <v>9193</v>
      </c>
      <c r="R190" s="22">
        <v>0.65490000000000004</v>
      </c>
      <c r="S190" s="22">
        <v>0.74600599999999995</v>
      </c>
      <c r="T190" s="22">
        <v>40.939</v>
      </c>
      <c r="U190" s="22">
        <v>59.632232000000002</v>
      </c>
      <c r="V190" s="22">
        <v>67.61</v>
      </c>
    </row>
    <row r="191" spans="1:22" x14ac:dyDescent="0.3">
      <c r="A191" s="21">
        <v>40391</v>
      </c>
      <c r="B191" s="22">
        <v>46.574164000000003</v>
      </c>
      <c r="C191" s="22">
        <v>6.8075000000000001</v>
      </c>
      <c r="D191" s="23">
        <v>19050</v>
      </c>
      <c r="E191" s="22">
        <v>69.525000000000006</v>
      </c>
      <c r="F191" s="22">
        <v>7.7881</v>
      </c>
      <c r="G191" s="22">
        <v>1.57884</v>
      </c>
      <c r="H191" s="22">
        <v>113.55</v>
      </c>
      <c r="I191" s="9">
        <v>1.3994</v>
      </c>
      <c r="J191" s="22">
        <v>3.242</v>
      </c>
      <c r="K191" s="13">
        <v>3.6728000000000001</v>
      </c>
      <c r="L191" s="12">
        <v>9060</v>
      </c>
      <c r="M191" s="14">
        <v>88.41</v>
      </c>
      <c r="N191" s="13">
        <v>32.509687999999997</v>
      </c>
      <c r="O191" s="13">
        <v>30.65</v>
      </c>
      <c r="P191" s="13">
        <v>31.79</v>
      </c>
      <c r="Q191" s="12">
        <v>9185</v>
      </c>
      <c r="R191" s="22">
        <v>0.65859999999999996</v>
      </c>
      <c r="S191" s="22">
        <v>0.73706000000000005</v>
      </c>
      <c r="T191" s="22">
        <v>41.106000000000002</v>
      </c>
      <c r="U191" s="22">
        <v>61.712099000000002</v>
      </c>
      <c r="V191" s="22">
        <v>68.061999999999998</v>
      </c>
    </row>
    <row r="192" spans="1:22" x14ac:dyDescent="0.3">
      <c r="A192" s="21">
        <v>40360</v>
      </c>
      <c r="B192" s="22">
        <v>46.838614999999997</v>
      </c>
      <c r="C192" s="22">
        <v>6.774</v>
      </c>
      <c r="D192" s="23">
        <v>19080</v>
      </c>
      <c r="E192" s="22">
        <v>69.625</v>
      </c>
      <c r="F192" s="22">
        <v>7.7864000000000004</v>
      </c>
      <c r="G192" s="22">
        <v>1.5491740000000001</v>
      </c>
      <c r="H192" s="22">
        <v>113.8</v>
      </c>
      <c r="I192" s="9">
        <v>1.3991</v>
      </c>
      <c r="J192" s="22">
        <v>3.2614999999999998</v>
      </c>
      <c r="K192" s="13">
        <v>3.673</v>
      </c>
      <c r="L192" s="12">
        <v>9175</v>
      </c>
      <c r="M192" s="14">
        <v>91.25</v>
      </c>
      <c r="N192" s="13">
        <v>33.143802999999998</v>
      </c>
      <c r="O192" s="13">
        <v>30.65</v>
      </c>
      <c r="P192" s="13">
        <v>32.130000000000003</v>
      </c>
      <c r="Q192" s="12">
        <v>9211.5</v>
      </c>
      <c r="R192" s="22">
        <v>0.65580000000000005</v>
      </c>
      <c r="S192" s="22">
        <v>0.730765</v>
      </c>
      <c r="T192" s="22">
        <v>41.268999999999998</v>
      </c>
      <c r="U192" s="22">
        <v>63.409582</v>
      </c>
      <c r="V192" s="22">
        <v>70.305000000000007</v>
      </c>
    </row>
    <row r="193" spans="1:22" x14ac:dyDescent="0.3">
      <c r="A193" s="21">
        <v>40330</v>
      </c>
      <c r="B193" s="22">
        <v>46.563110999999999</v>
      </c>
      <c r="C193" s="22">
        <v>6.7816999999999998</v>
      </c>
      <c r="D193" s="23">
        <v>18875</v>
      </c>
      <c r="E193" s="22">
        <v>69.025000000000006</v>
      </c>
      <c r="F193" s="22">
        <v>7.7641</v>
      </c>
      <c r="G193" s="22">
        <v>1.490626</v>
      </c>
      <c r="H193" s="22">
        <v>113.95</v>
      </c>
      <c r="I193" s="9">
        <v>1.3706</v>
      </c>
      <c r="J193" s="22">
        <v>3.1855000000000002</v>
      </c>
      <c r="K193" s="13">
        <v>3.6730999999999998</v>
      </c>
      <c r="L193" s="12">
        <v>9012.5</v>
      </c>
      <c r="M193" s="14">
        <v>93.83</v>
      </c>
      <c r="N193" s="13">
        <v>33.036335000000001</v>
      </c>
      <c r="O193" s="13">
        <v>29.75</v>
      </c>
      <c r="P193" s="13">
        <v>31.965</v>
      </c>
      <c r="Q193" s="12">
        <v>9105</v>
      </c>
      <c r="R193" s="22">
        <v>0.62490000000000001</v>
      </c>
      <c r="S193" s="22">
        <v>0.70077900000000004</v>
      </c>
      <c r="T193" s="22">
        <v>40.823</v>
      </c>
      <c r="U193" s="22">
        <v>65.550577000000004</v>
      </c>
      <c r="V193" s="22">
        <v>73.822999999999993</v>
      </c>
    </row>
    <row r="194" spans="1:22" x14ac:dyDescent="0.3">
      <c r="A194" s="21">
        <v>40299</v>
      </c>
      <c r="B194" s="22">
        <v>45.882964999999999</v>
      </c>
      <c r="C194" s="22">
        <v>6.8277999999999999</v>
      </c>
      <c r="D194" s="23">
        <v>18975</v>
      </c>
      <c r="E194" s="22">
        <v>69.075000000000003</v>
      </c>
      <c r="F194" s="22">
        <v>7.7645</v>
      </c>
      <c r="G194" s="22">
        <v>1.534575</v>
      </c>
      <c r="H194" s="22">
        <v>114.05</v>
      </c>
      <c r="I194" s="9">
        <v>1.3988</v>
      </c>
      <c r="J194" s="22">
        <v>3.2614999999999998</v>
      </c>
      <c r="K194" s="13">
        <v>3.673</v>
      </c>
      <c r="L194" s="12">
        <v>9090</v>
      </c>
      <c r="M194" s="14">
        <v>93.47</v>
      </c>
      <c r="N194" s="13">
        <v>33.219906999999999</v>
      </c>
      <c r="O194" s="13">
        <v>29.5</v>
      </c>
      <c r="P194" s="13">
        <v>31.99</v>
      </c>
      <c r="Q194" s="12">
        <v>9315</v>
      </c>
      <c r="R194" s="22">
        <v>0.61899999999999999</v>
      </c>
      <c r="S194" s="22">
        <v>0.68454000000000004</v>
      </c>
      <c r="T194" s="22">
        <v>41.646000000000001</v>
      </c>
      <c r="U194" s="22">
        <v>68.109367000000006</v>
      </c>
      <c r="V194" s="22">
        <v>74.983000000000004</v>
      </c>
    </row>
    <row r="195" spans="1:22" x14ac:dyDescent="0.3">
      <c r="A195" s="21">
        <v>40269</v>
      </c>
      <c r="B195" s="22">
        <v>44.482931000000001</v>
      </c>
      <c r="C195" s="22">
        <v>6.8251999999999997</v>
      </c>
      <c r="D195" s="23">
        <v>19090</v>
      </c>
      <c r="E195" s="22">
        <v>69.325000000000003</v>
      </c>
      <c r="F195" s="22">
        <v>7.7629000000000001</v>
      </c>
      <c r="G195" s="22">
        <v>1.51678</v>
      </c>
      <c r="H195" s="22">
        <v>114.625</v>
      </c>
      <c r="I195" s="9">
        <v>1.4060999999999999</v>
      </c>
      <c r="J195" s="22">
        <v>3.4028</v>
      </c>
      <c r="K195" s="13">
        <v>3.6739999999999999</v>
      </c>
      <c r="L195" s="12">
        <v>9337</v>
      </c>
      <c r="M195" s="14">
        <v>88.87</v>
      </c>
      <c r="N195" s="13">
        <v>33.280045999999999</v>
      </c>
      <c r="O195" s="13">
        <v>29.35</v>
      </c>
      <c r="P195" s="13">
        <v>32.234999999999999</v>
      </c>
      <c r="Q195" s="12">
        <v>9242.5</v>
      </c>
      <c r="R195" s="22">
        <v>0.60770000000000002</v>
      </c>
      <c r="S195" s="22">
        <v>0.67064900000000005</v>
      </c>
      <c r="T195" s="22">
        <v>42.587000000000003</v>
      </c>
      <c r="U195" s="22">
        <v>69.468213000000006</v>
      </c>
      <c r="V195" s="22">
        <v>76.563999999999993</v>
      </c>
    </row>
    <row r="196" spans="1:22" x14ac:dyDescent="0.3">
      <c r="A196" s="21">
        <v>40238</v>
      </c>
      <c r="B196" s="22">
        <v>45.481208000000002</v>
      </c>
      <c r="C196" s="22">
        <v>6.8258999999999999</v>
      </c>
      <c r="D196" s="23">
        <v>19050</v>
      </c>
      <c r="E196" s="22">
        <v>69.125</v>
      </c>
      <c r="F196" s="22">
        <v>7.7636000000000003</v>
      </c>
      <c r="G196" s="22">
        <v>1.473498</v>
      </c>
      <c r="H196" s="22">
        <v>114.65</v>
      </c>
      <c r="I196" s="9">
        <v>1.4061999999999999</v>
      </c>
      <c r="J196" s="22">
        <v>3.4148000000000001</v>
      </c>
      <c r="K196" s="13">
        <v>3.673</v>
      </c>
      <c r="L196" s="12">
        <v>9350</v>
      </c>
      <c r="M196" s="14">
        <v>90.31</v>
      </c>
      <c r="N196" s="13">
        <v>33.411647000000002</v>
      </c>
      <c r="O196" s="13">
        <v>30.25</v>
      </c>
      <c r="P196" s="13">
        <v>32.645000000000003</v>
      </c>
      <c r="Q196" s="12">
        <v>9333</v>
      </c>
      <c r="R196" s="22">
        <v>0.60819999999999996</v>
      </c>
      <c r="S196" s="22">
        <v>0.674987</v>
      </c>
      <c r="T196" s="22">
        <v>42.201999999999998</v>
      </c>
      <c r="U196" s="22">
        <v>69.185141000000002</v>
      </c>
      <c r="V196" s="22">
        <v>77.156000000000006</v>
      </c>
    </row>
    <row r="197" spans="1:22" x14ac:dyDescent="0.3">
      <c r="A197" s="21">
        <v>40210</v>
      </c>
      <c r="B197" s="22">
        <v>46.333044000000001</v>
      </c>
      <c r="C197" s="22">
        <v>6.8261000000000003</v>
      </c>
      <c r="D197" s="23">
        <v>18474</v>
      </c>
      <c r="E197" s="22">
        <v>68.974999999999994</v>
      </c>
      <c r="F197" s="22">
        <v>7.7537000000000003</v>
      </c>
      <c r="G197" s="22">
        <v>1.506505</v>
      </c>
      <c r="H197" s="22">
        <v>114.4</v>
      </c>
      <c r="I197" s="9">
        <v>1.4055</v>
      </c>
      <c r="J197" s="22">
        <v>3.4239999999999999</v>
      </c>
      <c r="K197" s="13">
        <v>3.673</v>
      </c>
      <c r="L197" s="12">
        <v>9425</v>
      </c>
      <c r="M197" s="14">
        <v>92.92</v>
      </c>
      <c r="N197" s="13">
        <v>33.816319999999997</v>
      </c>
      <c r="O197" s="13">
        <v>30.5</v>
      </c>
      <c r="P197" s="13">
        <v>31.995000000000001</v>
      </c>
      <c r="Q197" s="12">
        <v>9333</v>
      </c>
      <c r="R197" s="22">
        <v>0.62480000000000002</v>
      </c>
      <c r="S197" s="22">
        <v>0.68682699999999997</v>
      </c>
      <c r="T197" s="22">
        <v>42.180999999999997</v>
      </c>
      <c r="U197" s="22">
        <v>70.396383999999998</v>
      </c>
      <c r="V197" s="22">
        <v>76.397000000000006</v>
      </c>
    </row>
    <row r="198" spans="1:22" x14ac:dyDescent="0.3">
      <c r="A198" s="21">
        <v>40179</v>
      </c>
      <c r="B198" s="22">
        <v>45.932239000000003</v>
      </c>
      <c r="C198" s="22">
        <v>6.8269000000000002</v>
      </c>
      <c r="D198" s="23">
        <v>18474</v>
      </c>
      <c r="E198" s="22">
        <v>68.875</v>
      </c>
      <c r="F198" s="22">
        <v>7.7499000000000002</v>
      </c>
      <c r="G198" s="22">
        <v>1.4928539999999999</v>
      </c>
      <c r="H198" s="22">
        <v>114.41</v>
      </c>
      <c r="I198" s="9">
        <v>1.3845000000000001</v>
      </c>
      <c r="J198" s="22">
        <v>3.3948</v>
      </c>
      <c r="K198" s="13">
        <v>3.673</v>
      </c>
      <c r="L198" s="12">
        <v>9455</v>
      </c>
      <c r="M198" s="14">
        <v>86.36</v>
      </c>
      <c r="N198" s="13">
        <v>34.022675</v>
      </c>
      <c r="O198" s="13">
        <v>31.55</v>
      </c>
      <c r="P198" s="13">
        <v>32.909999999999997</v>
      </c>
      <c r="Q198" s="12">
        <v>9319</v>
      </c>
      <c r="R198" s="22">
        <v>0.61409999999999998</v>
      </c>
      <c r="S198" s="22">
        <v>0.70089999999999997</v>
      </c>
      <c r="T198" s="22">
        <v>41.113999999999997</v>
      </c>
      <c r="U198" s="22">
        <v>68.924898999999996</v>
      </c>
      <c r="V198" s="22">
        <v>79.248000000000005</v>
      </c>
    </row>
    <row r="199" spans="1:22" x14ac:dyDescent="0.3">
      <c r="A199" s="21">
        <v>40148</v>
      </c>
      <c r="B199" s="22">
        <v>46.609853999999999</v>
      </c>
      <c r="C199" s="22">
        <v>6.827</v>
      </c>
      <c r="D199" s="23">
        <v>18385</v>
      </c>
      <c r="E199" s="22">
        <v>68.875</v>
      </c>
      <c r="F199" s="22">
        <v>7.7500999999999998</v>
      </c>
      <c r="G199" s="22">
        <v>1.4729969999999999</v>
      </c>
      <c r="H199" s="22">
        <v>114.8</v>
      </c>
      <c r="I199" s="9">
        <v>1.4004000000000001</v>
      </c>
      <c r="J199" s="22">
        <v>3.4125000000000001</v>
      </c>
      <c r="K199" s="13">
        <v>3.673</v>
      </c>
      <c r="L199" s="12">
        <v>9550</v>
      </c>
      <c r="M199" s="14">
        <v>90.1</v>
      </c>
      <c r="N199" s="13">
        <v>34.050694</v>
      </c>
      <c r="O199" s="13">
        <v>31.7</v>
      </c>
      <c r="P199" s="13">
        <v>32.81</v>
      </c>
      <c r="Q199" s="12">
        <v>9310</v>
      </c>
      <c r="R199" s="22">
        <v>0.59809999999999997</v>
      </c>
      <c r="S199" s="22">
        <v>0.70988499999999999</v>
      </c>
      <c r="T199" s="22">
        <v>39.950000000000003</v>
      </c>
      <c r="U199" s="22">
        <v>68.202386000000004</v>
      </c>
      <c r="V199" s="22">
        <v>79.965999999999994</v>
      </c>
    </row>
    <row r="200" spans="1:22" x14ac:dyDescent="0.3">
      <c r="A200" s="21">
        <v>40118</v>
      </c>
      <c r="B200" s="22">
        <v>46.588317000000004</v>
      </c>
      <c r="C200" s="22">
        <v>6.8274999999999997</v>
      </c>
      <c r="D200" s="23">
        <v>17940</v>
      </c>
      <c r="E200" s="22">
        <v>68.875</v>
      </c>
      <c r="F200" s="22">
        <v>7.7500999999999998</v>
      </c>
      <c r="G200" s="22">
        <v>1.491053</v>
      </c>
      <c r="H200" s="22">
        <v>114.82</v>
      </c>
      <c r="I200" s="9">
        <v>1.4091</v>
      </c>
      <c r="J200" s="22">
        <v>3.4609999999999999</v>
      </c>
      <c r="K200" s="13">
        <v>3.6728999999999998</v>
      </c>
      <c r="L200" s="12">
        <v>9645</v>
      </c>
      <c r="M200" s="14">
        <v>89.77</v>
      </c>
      <c r="N200" s="13">
        <v>34.134146999999999</v>
      </c>
      <c r="O200" s="13">
        <v>32.15</v>
      </c>
      <c r="P200" s="13">
        <v>32.86</v>
      </c>
      <c r="Q200" s="12">
        <v>9317.5</v>
      </c>
      <c r="R200" s="22">
        <v>0.60709999999999997</v>
      </c>
      <c r="S200" s="22">
        <v>0.713503</v>
      </c>
      <c r="T200" s="22">
        <v>38.518000000000001</v>
      </c>
      <c r="U200" s="22">
        <v>66.915025</v>
      </c>
      <c r="V200" s="22">
        <v>78.623000000000005</v>
      </c>
    </row>
    <row r="201" spans="1:22" x14ac:dyDescent="0.3">
      <c r="A201" s="21">
        <v>40087</v>
      </c>
      <c r="B201" s="22">
        <v>46.698188999999999</v>
      </c>
      <c r="C201" s="22">
        <v>6.8274999999999997</v>
      </c>
      <c r="D201" s="23">
        <v>17840.5</v>
      </c>
      <c r="E201" s="22">
        <v>68.875</v>
      </c>
      <c r="F201" s="22">
        <v>7.7506000000000004</v>
      </c>
      <c r="G201" s="22">
        <v>1.4884010000000001</v>
      </c>
      <c r="H201" s="22">
        <v>114.7</v>
      </c>
      <c r="I201" s="9">
        <v>1.4412</v>
      </c>
      <c r="J201" s="22">
        <v>3.5215000000000001</v>
      </c>
      <c r="K201" s="13">
        <v>3.6728000000000001</v>
      </c>
      <c r="L201" s="12">
        <v>10080</v>
      </c>
      <c r="M201" s="14">
        <v>93.03</v>
      </c>
      <c r="N201" s="13">
        <v>34.611831000000002</v>
      </c>
      <c r="O201" s="13">
        <v>32.049999999999997</v>
      </c>
      <c r="P201" s="13">
        <v>32.594999999999999</v>
      </c>
      <c r="Q201" s="12">
        <v>9270</v>
      </c>
      <c r="R201" s="22">
        <v>0.6179</v>
      </c>
      <c r="S201" s="22">
        <v>0.73280500000000004</v>
      </c>
      <c r="T201" s="22">
        <v>37.752000000000002</v>
      </c>
      <c r="U201" s="22">
        <v>66.154974999999993</v>
      </c>
      <c r="V201" s="22">
        <v>76.260999999999996</v>
      </c>
    </row>
    <row r="202" spans="1:22" x14ac:dyDescent="0.3">
      <c r="A202" s="21">
        <v>40057</v>
      </c>
      <c r="B202" s="22">
        <v>48.347239000000002</v>
      </c>
      <c r="C202" s="22">
        <v>6.8265000000000002</v>
      </c>
      <c r="D202" s="23">
        <v>17819</v>
      </c>
      <c r="E202" s="22">
        <v>68.625</v>
      </c>
      <c r="F202" s="22">
        <v>7.7500999999999998</v>
      </c>
      <c r="G202" s="22">
        <v>1.517665</v>
      </c>
      <c r="H202" s="22">
        <v>114.85</v>
      </c>
      <c r="I202" s="9">
        <v>1.4384999999999999</v>
      </c>
      <c r="J202" s="22">
        <v>3.5225</v>
      </c>
      <c r="K202" s="13">
        <v>3.673</v>
      </c>
      <c r="L202" s="12">
        <v>9925</v>
      </c>
      <c r="M202" s="14">
        <v>94.68</v>
      </c>
      <c r="N202" s="13">
        <v>35.436926999999997</v>
      </c>
      <c r="O202" s="13">
        <v>33.75</v>
      </c>
      <c r="P202" s="13">
        <v>33.085000000000001</v>
      </c>
      <c r="Q202" s="12">
        <v>9275</v>
      </c>
      <c r="R202" s="22">
        <v>0.67649999999999999</v>
      </c>
      <c r="S202" s="22">
        <v>0.75823799999999997</v>
      </c>
      <c r="T202" s="22">
        <v>36.06</v>
      </c>
      <c r="U202" s="22">
        <v>66.017152999999993</v>
      </c>
      <c r="V202" s="22">
        <v>73.543000000000006</v>
      </c>
    </row>
    <row r="203" spans="1:22" x14ac:dyDescent="0.3">
      <c r="A203" s="21">
        <v>40026</v>
      </c>
      <c r="B203" s="22">
        <v>48.309133000000003</v>
      </c>
      <c r="C203" s="22">
        <v>6.8304</v>
      </c>
      <c r="D203" s="23">
        <v>17813.5</v>
      </c>
      <c r="E203" s="22">
        <v>68.875</v>
      </c>
      <c r="F203" s="22">
        <v>7.7500999999999998</v>
      </c>
      <c r="G203" s="22">
        <v>1.546481</v>
      </c>
      <c r="H203" s="22">
        <v>114.92</v>
      </c>
      <c r="I203" s="9">
        <v>1.4476</v>
      </c>
      <c r="J203" s="22">
        <v>3.5150000000000001</v>
      </c>
      <c r="K203" s="13">
        <v>3.6732</v>
      </c>
      <c r="L203" s="12">
        <v>10207.5</v>
      </c>
      <c r="M203" s="14">
        <v>96.33</v>
      </c>
      <c r="N203" s="13">
        <v>35.770805000000003</v>
      </c>
      <c r="O203" s="13">
        <v>33.299999999999997</v>
      </c>
      <c r="P203" s="13">
        <v>33.935000000000002</v>
      </c>
      <c r="Q203" s="12">
        <v>9256</v>
      </c>
      <c r="R203" s="22">
        <v>0.69820000000000004</v>
      </c>
      <c r="S203" s="22">
        <v>0.76696299999999995</v>
      </c>
      <c r="T203" s="22">
        <v>35.002000000000002</v>
      </c>
      <c r="U203" s="22">
        <v>66.813436999999993</v>
      </c>
      <c r="V203" s="22">
        <v>72.444000000000003</v>
      </c>
    </row>
    <row r="204" spans="1:22" x14ac:dyDescent="0.3">
      <c r="A204" s="21">
        <v>39995</v>
      </c>
      <c r="B204" s="22">
        <v>48.414015999999997</v>
      </c>
      <c r="C204" s="22">
        <v>6.8320999999999996</v>
      </c>
      <c r="D204" s="23">
        <v>17773</v>
      </c>
      <c r="E204" s="22">
        <v>68.875</v>
      </c>
      <c r="F204" s="22">
        <v>7.7519999999999998</v>
      </c>
      <c r="G204" s="22">
        <v>1.556924</v>
      </c>
      <c r="H204" s="22">
        <v>114.9</v>
      </c>
      <c r="I204" s="9">
        <v>1.4441999999999999</v>
      </c>
      <c r="J204" s="22">
        <v>3.4874999999999998</v>
      </c>
      <c r="K204" s="13">
        <v>3.6732</v>
      </c>
      <c r="L204" s="12">
        <v>10290</v>
      </c>
      <c r="M204" s="14">
        <v>95.32</v>
      </c>
      <c r="N204" s="13">
        <v>35.322121000000003</v>
      </c>
      <c r="O204" s="13">
        <v>34.25</v>
      </c>
      <c r="P204" s="13">
        <v>34.994999999999997</v>
      </c>
      <c r="Q204" s="12">
        <v>9231</v>
      </c>
      <c r="R204" s="22">
        <v>0.69879999999999998</v>
      </c>
      <c r="S204" s="22">
        <v>0.78224300000000002</v>
      </c>
      <c r="T204" s="22">
        <v>32.636000000000003</v>
      </c>
      <c r="U204" s="22">
        <v>63.029454999999999</v>
      </c>
      <c r="V204" s="22">
        <v>72.989999999999995</v>
      </c>
    </row>
    <row r="205" spans="1:22" x14ac:dyDescent="0.3">
      <c r="A205" s="21">
        <v>39965</v>
      </c>
      <c r="B205" s="22">
        <v>47.743065000000001</v>
      </c>
      <c r="C205" s="22">
        <v>6.8304999999999998</v>
      </c>
      <c r="D205" s="23">
        <v>17775</v>
      </c>
      <c r="E205" s="22">
        <v>68.875</v>
      </c>
      <c r="F205" s="22">
        <v>7.7500999999999998</v>
      </c>
      <c r="G205" s="22">
        <v>1.613316</v>
      </c>
      <c r="H205" s="22">
        <v>120.1</v>
      </c>
      <c r="I205" s="9">
        <v>1.4810000000000001</v>
      </c>
      <c r="J205" s="22">
        <v>3.56</v>
      </c>
      <c r="K205" s="13">
        <v>3.673</v>
      </c>
      <c r="L205" s="12">
        <v>10585</v>
      </c>
      <c r="M205" s="14">
        <v>98.56</v>
      </c>
      <c r="N205" s="13">
        <v>34.911681999999999</v>
      </c>
      <c r="O205" s="13">
        <v>32.950000000000003</v>
      </c>
      <c r="P205" s="13">
        <v>33.75</v>
      </c>
      <c r="Q205" s="12">
        <v>9245</v>
      </c>
      <c r="R205" s="22">
        <v>0.68889999999999996</v>
      </c>
      <c r="S205" s="22">
        <v>0.75572399999999995</v>
      </c>
      <c r="T205" s="22">
        <v>31.024000000000001</v>
      </c>
      <c r="U205" s="22">
        <v>64.474040000000002</v>
      </c>
      <c r="V205" s="22">
        <v>70.912999999999997</v>
      </c>
    </row>
    <row r="206" spans="1:22" x14ac:dyDescent="0.3">
      <c r="A206" s="21">
        <v>39934</v>
      </c>
      <c r="B206" s="22">
        <v>48.477646999999997</v>
      </c>
      <c r="C206" s="22">
        <v>6.8282999999999996</v>
      </c>
      <c r="D206" s="23">
        <v>17783</v>
      </c>
      <c r="E206" s="22">
        <v>68.875</v>
      </c>
      <c r="F206" s="22">
        <v>7.7504</v>
      </c>
      <c r="G206" s="22">
        <v>1.712971</v>
      </c>
      <c r="H206" s="22">
        <v>115.8</v>
      </c>
      <c r="I206" s="9">
        <v>1.5225</v>
      </c>
      <c r="J206" s="22">
        <v>3.6455000000000002</v>
      </c>
      <c r="K206" s="13">
        <v>3.673</v>
      </c>
      <c r="L206" s="12">
        <v>11555</v>
      </c>
      <c r="M206" s="14">
        <v>98.86</v>
      </c>
      <c r="N206" s="13">
        <v>35.045721</v>
      </c>
      <c r="O206" s="13">
        <v>31.75</v>
      </c>
      <c r="P206" s="13">
        <v>32.774999999999999</v>
      </c>
      <c r="Q206" s="12">
        <v>9240</v>
      </c>
      <c r="R206" s="22">
        <v>0.68430000000000002</v>
      </c>
      <c r="S206" s="22">
        <v>0.745201</v>
      </c>
      <c r="T206" s="22">
        <v>34.401000000000003</v>
      </c>
      <c r="U206" s="22">
        <v>65.293103000000002</v>
      </c>
      <c r="V206" s="22">
        <v>71.058000000000007</v>
      </c>
    </row>
    <row r="207" spans="1:22" x14ac:dyDescent="0.3">
      <c r="A207" s="21">
        <v>39904</v>
      </c>
      <c r="B207" s="22">
        <v>50.050842000000003</v>
      </c>
      <c r="C207" s="22">
        <v>6.8185000000000002</v>
      </c>
      <c r="D207" s="23">
        <v>17786</v>
      </c>
      <c r="E207" s="22">
        <v>68.875</v>
      </c>
      <c r="F207" s="22">
        <v>7.7549999999999999</v>
      </c>
      <c r="G207" s="22">
        <v>1.6647270000000001</v>
      </c>
      <c r="H207" s="22">
        <v>114.23</v>
      </c>
      <c r="I207" s="9">
        <v>1.5481</v>
      </c>
      <c r="J207" s="22">
        <v>3.7075</v>
      </c>
      <c r="K207" s="13">
        <v>3.673</v>
      </c>
      <c r="L207" s="12">
        <v>11980</v>
      </c>
      <c r="M207" s="14">
        <v>97.55</v>
      </c>
      <c r="N207" s="13">
        <v>35.089812999999999</v>
      </c>
      <c r="O207" s="13">
        <v>31.85</v>
      </c>
      <c r="P207" s="13">
        <v>33.295000000000002</v>
      </c>
      <c r="Q207" s="12">
        <v>9231</v>
      </c>
      <c r="R207" s="22">
        <v>0.64990000000000003</v>
      </c>
      <c r="S207" s="22">
        <v>0.78548600000000002</v>
      </c>
      <c r="T207" s="22">
        <v>32.429000000000002</v>
      </c>
      <c r="U207" s="22">
        <v>62.241790999999999</v>
      </c>
      <c r="V207" s="22">
        <v>76.299000000000007</v>
      </c>
    </row>
    <row r="208" spans="1:22" x14ac:dyDescent="0.3">
      <c r="A208" s="21">
        <v>39873</v>
      </c>
      <c r="B208" s="22">
        <v>51.214615000000002</v>
      </c>
      <c r="C208" s="22">
        <v>6.8334000000000001</v>
      </c>
      <c r="D208" s="23">
        <v>17480.5</v>
      </c>
      <c r="E208" s="22">
        <v>68.424999999999997</v>
      </c>
      <c r="F208" s="22">
        <v>7.7538</v>
      </c>
      <c r="G208" s="22">
        <v>1.6048290000000001</v>
      </c>
      <c r="H208" s="22">
        <v>113.92</v>
      </c>
      <c r="I208" s="9">
        <v>1.5089999999999999</v>
      </c>
      <c r="J208" s="22">
        <v>3.6074999999999999</v>
      </c>
      <c r="K208" s="13">
        <v>3.6732</v>
      </c>
      <c r="L208" s="12">
        <v>11380</v>
      </c>
      <c r="M208" s="14">
        <v>89.99</v>
      </c>
      <c r="N208" s="13">
        <v>34.442222000000001</v>
      </c>
      <c r="O208" s="13">
        <v>31.4</v>
      </c>
      <c r="P208" s="13">
        <v>32.984999999999999</v>
      </c>
      <c r="Q208" s="12">
        <v>9230</v>
      </c>
      <c r="R208" s="22">
        <v>0.62229999999999996</v>
      </c>
      <c r="S208" s="22">
        <v>0.75162099999999998</v>
      </c>
      <c r="T208" s="22">
        <v>32.941000000000003</v>
      </c>
      <c r="U208" s="22">
        <v>64.730374999999995</v>
      </c>
      <c r="V208" s="22">
        <v>79.266999999999996</v>
      </c>
    </row>
    <row r="209" spans="1:22" x14ac:dyDescent="0.3">
      <c r="A209" s="21">
        <v>39845</v>
      </c>
      <c r="B209" s="22">
        <v>49.304690999999998</v>
      </c>
      <c r="C209" s="22">
        <v>6.8395999999999999</v>
      </c>
      <c r="D209" s="23">
        <v>17484.5</v>
      </c>
      <c r="E209" s="22">
        <v>68.775000000000006</v>
      </c>
      <c r="F209" s="22">
        <v>7.7503000000000002</v>
      </c>
      <c r="G209" s="22">
        <v>1.5547550000000001</v>
      </c>
      <c r="H209" s="22">
        <v>113</v>
      </c>
      <c r="I209" s="9">
        <v>1.4325000000000001</v>
      </c>
      <c r="J209" s="22">
        <v>3.4525000000000001</v>
      </c>
      <c r="K209" s="13">
        <v>3.6732</v>
      </c>
      <c r="L209" s="12">
        <v>10900</v>
      </c>
      <c r="M209" s="14">
        <v>90.61</v>
      </c>
      <c r="N209" s="13">
        <v>34.287401000000003</v>
      </c>
      <c r="O209" s="13">
        <v>28.625</v>
      </c>
      <c r="P209" s="13">
        <v>32.284999999999997</v>
      </c>
      <c r="Q209" s="12">
        <v>9229</v>
      </c>
      <c r="R209" s="22">
        <v>0.56089999999999995</v>
      </c>
      <c r="S209" s="22">
        <v>0.69609100000000002</v>
      </c>
      <c r="T209" s="22">
        <v>37.192</v>
      </c>
      <c r="U209" s="22">
        <v>65.443601000000001</v>
      </c>
      <c r="V209" s="22">
        <v>83.495000000000005</v>
      </c>
    </row>
    <row r="210" spans="1:22" x14ac:dyDescent="0.3">
      <c r="A210" s="21">
        <v>39814</v>
      </c>
      <c r="B210" s="22">
        <v>48.705545000000001</v>
      </c>
      <c r="C210" s="22">
        <v>6.835</v>
      </c>
      <c r="D210" s="23">
        <v>17483</v>
      </c>
      <c r="E210" s="22">
        <v>69.025000000000006</v>
      </c>
      <c r="F210" s="22">
        <v>7.7503000000000002</v>
      </c>
      <c r="G210" s="22">
        <v>1.5981529999999999</v>
      </c>
      <c r="H210" s="22">
        <v>110.05</v>
      </c>
      <c r="I210" s="9">
        <v>1.5130999999999999</v>
      </c>
      <c r="J210" s="22">
        <v>3.6234999999999999</v>
      </c>
      <c r="K210" s="13">
        <v>3.673</v>
      </c>
      <c r="L210" s="12">
        <v>12025</v>
      </c>
      <c r="M210" s="14">
        <v>95.5</v>
      </c>
      <c r="N210" s="13">
        <v>33.857787000000002</v>
      </c>
      <c r="O210" s="13">
        <v>28.2</v>
      </c>
      <c r="P210" s="13">
        <v>31.555</v>
      </c>
      <c r="Q210" s="12">
        <v>9221</v>
      </c>
      <c r="R210" s="22">
        <v>0.54910000000000003</v>
      </c>
      <c r="S210" s="22">
        <v>0.66806299999999996</v>
      </c>
      <c r="T210" s="22">
        <v>37.651000000000003</v>
      </c>
      <c r="U210" s="22">
        <v>64.343205999999995</v>
      </c>
      <c r="V210" s="22">
        <v>79.903000000000006</v>
      </c>
    </row>
    <row r="211" spans="1:22" x14ac:dyDescent="0.3">
      <c r="A211" s="21">
        <v>39783</v>
      </c>
      <c r="B211" s="22">
        <v>48.581693999999999</v>
      </c>
      <c r="C211" s="22">
        <v>6.8230000000000004</v>
      </c>
      <c r="D211" s="23">
        <v>16972</v>
      </c>
      <c r="E211" s="22">
        <v>68.325000000000003</v>
      </c>
      <c r="F211" s="22">
        <v>7.75</v>
      </c>
      <c r="G211" s="22">
        <v>1.476343</v>
      </c>
      <c r="H211" s="22">
        <v>110.25</v>
      </c>
      <c r="I211" s="9">
        <v>1.4824999999999999</v>
      </c>
      <c r="J211" s="22">
        <v>3.5510000000000002</v>
      </c>
      <c r="K211" s="13">
        <v>3.6732</v>
      </c>
      <c r="L211" s="12">
        <v>10900</v>
      </c>
      <c r="M211" s="14">
        <v>98.47</v>
      </c>
      <c r="N211" s="13">
        <v>33.495317</v>
      </c>
      <c r="O211" s="13">
        <v>26.625</v>
      </c>
      <c r="P211" s="13">
        <v>30.631</v>
      </c>
      <c r="Q211" s="12">
        <v>9220</v>
      </c>
      <c r="R211" s="22">
        <v>0.50409999999999999</v>
      </c>
      <c r="S211" s="22">
        <v>0.634154</v>
      </c>
      <c r="T211" s="22">
        <v>40.012999999999998</v>
      </c>
      <c r="U211" s="22">
        <v>67.483637000000002</v>
      </c>
      <c r="V211" s="22">
        <v>84.272999999999996</v>
      </c>
    </row>
    <row r="212" spans="1:22" x14ac:dyDescent="0.3">
      <c r="A212" s="21">
        <v>39753</v>
      </c>
      <c r="B212" s="22">
        <v>48.889612</v>
      </c>
      <c r="C212" s="22">
        <v>6.8258999999999999</v>
      </c>
      <c r="D212" s="23">
        <v>16900</v>
      </c>
      <c r="E212" s="22">
        <v>68.33</v>
      </c>
      <c r="F212" s="22">
        <v>7.7663000000000002</v>
      </c>
      <c r="G212" s="22">
        <v>1.2418469999999999</v>
      </c>
      <c r="H212" s="22">
        <v>108.15</v>
      </c>
      <c r="I212" s="9">
        <v>1.4345000000000001</v>
      </c>
      <c r="J212" s="22">
        <v>3.4424999999999999</v>
      </c>
      <c r="K212" s="13">
        <v>3.6732</v>
      </c>
      <c r="L212" s="12">
        <v>9415</v>
      </c>
      <c r="M212" s="14">
        <v>106.03</v>
      </c>
      <c r="N212" s="13">
        <v>33.207765000000002</v>
      </c>
      <c r="O212" s="13">
        <v>27.1</v>
      </c>
      <c r="P212" s="13">
        <v>30.353000000000002</v>
      </c>
      <c r="Q212" s="12">
        <v>9189</v>
      </c>
      <c r="R212" s="22">
        <v>0.50180000000000002</v>
      </c>
      <c r="S212" s="22">
        <v>0.64300999999999997</v>
      </c>
      <c r="T212" s="22">
        <v>41.128999999999998</v>
      </c>
      <c r="U212" s="22">
        <v>66.560494000000006</v>
      </c>
      <c r="V212" s="22">
        <v>85.546999999999997</v>
      </c>
    </row>
    <row r="213" spans="1:22" x14ac:dyDescent="0.3">
      <c r="A213" s="21">
        <v>39722</v>
      </c>
      <c r="B213" s="22">
        <v>48.623386000000004</v>
      </c>
      <c r="C213" s="22">
        <v>6.8395000000000001</v>
      </c>
      <c r="D213" s="23">
        <v>16600</v>
      </c>
      <c r="E213" s="22">
        <v>68.575000000000003</v>
      </c>
      <c r="F213" s="22">
        <v>7.8056999999999999</v>
      </c>
      <c r="G213" s="22">
        <v>1.1801219999999999</v>
      </c>
      <c r="H213" s="22">
        <v>107.87</v>
      </c>
      <c r="I213" s="9">
        <v>1.4158999999999999</v>
      </c>
      <c r="J213" s="22">
        <v>3.3935</v>
      </c>
      <c r="K213" s="13">
        <v>3.6728000000000001</v>
      </c>
      <c r="L213" s="12">
        <v>9150</v>
      </c>
      <c r="M213" s="14">
        <v>108.81</v>
      </c>
      <c r="N213" s="13">
        <v>32.102791000000003</v>
      </c>
      <c r="O213" s="13">
        <v>27.704999999999998</v>
      </c>
      <c r="P213" s="13">
        <v>30.413</v>
      </c>
      <c r="Q213" s="12">
        <v>9172</v>
      </c>
      <c r="R213" s="22">
        <v>0.50439999999999996</v>
      </c>
      <c r="S213" s="22">
        <v>0.64284200000000002</v>
      </c>
      <c r="T213" s="22">
        <v>40.301000000000002</v>
      </c>
      <c r="U213" s="22">
        <v>65.615252999999996</v>
      </c>
      <c r="V213" s="22">
        <v>83.575999999999993</v>
      </c>
    </row>
    <row r="214" spans="1:22" x14ac:dyDescent="0.3">
      <c r="A214" s="21">
        <v>39692</v>
      </c>
      <c r="B214" s="22">
        <v>45.543497000000002</v>
      </c>
      <c r="C214" s="22">
        <v>6.8451000000000004</v>
      </c>
      <c r="D214" s="23">
        <v>16525</v>
      </c>
      <c r="E214" s="22">
        <v>68.525000000000006</v>
      </c>
      <c r="F214" s="22">
        <v>7.8018999999999998</v>
      </c>
      <c r="G214" s="22">
        <v>1.2129570000000001</v>
      </c>
      <c r="H214" s="22">
        <v>107.6</v>
      </c>
      <c r="I214" s="9">
        <v>1.3673999999999999</v>
      </c>
      <c r="J214" s="22">
        <v>3.2559999999999998</v>
      </c>
      <c r="K214" s="13">
        <v>3.6728000000000001</v>
      </c>
      <c r="L214" s="12">
        <v>9095</v>
      </c>
      <c r="M214" s="14">
        <v>107.83</v>
      </c>
      <c r="N214" s="13">
        <v>31.588106</v>
      </c>
      <c r="O214" s="13">
        <v>26</v>
      </c>
      <c r="P214" s="13">
        <v>30.417999999999999</v>
      </c>
      <c r="Q214" s="12">
        <v>9165</v>
      </c>
      <c r="R214" s="22">
        <v>0.50329999999999997</v>
      </c>
      <c r="S214" s="22">
        <v>0.63494399999999995</v>
      </c>
      <c r="T214" s="22">
        <v>38.136000000000003</v>
      </c>
      <c r="U214" s="22">
        <v>62.996445999999999</v>
      </c>
      <c r="V214" s="22">
        <v>80.376000000000005</v>
      </c>
    </row>
    <row r="215" spans="1:22" x14ac:dyDescent="0.3">
      <c r="A215" s="21">
        <v>39661</v>
      </c>
      <c r="B215" s="22">
        <v>42.977148999999997</v>
      </c>
      <c r="C215" s="22">
        <v>6.8487</v>
      </c>
      <c r="D215" s="23">
        <v>16765</v>
      </c>
      <c r="E215" s="22">
        <v>68.575000000000003</v>
      </c>
      <c r="F215" s="22">
        <v>7.7984999999999998</v>
      </c>
      <c r="G215" s="22">
        <v>1.2349619999999999</v>
      </c>
      <c r="H215" s="22">
        <v>107.7</v>
      </c>
      <c r="I215" s="9">
        <v>1.36</v>
      </c>
      <c r="J215" s="22">
        <v>3.2675000000000001</v>
      </c>
      <c r="K215" s="13">
        <v>3.6726000000000001</v>
      </c>
      <c r="L215" s="12">
        <v>9220</v>
      </c>
      <c r="M215" s="14">
        <v>106.11</v>
      </c>
      <c r="N215" s="13">
        <v>31.462160000000001</v>
      </c>
      <c r="O215" s="13">
        <v>26.35</v>
      </c>
      <c r="P215" s="13">
        <v>30.387</v>
      </c>
      <c r="Q215" s="12">
        <v>9155</v>
      </c>
      <c r="R215" s="22">
        <v>0.50419999999999998</v>
      </c>
      <c r="S215" s="22">
        <v>0.64417899999999995</v>
      </c>
      <c r="T215" s="22">
        <v>36.558999999999997</v>
      </c>
      <c r="U215" s="22">
        <v>62.566566999999999</v>
      </c>
      <c r="V215" s="22">
        <v>79.373999999999995</v>
      </c>
    </row>
    <row r="216" spans="1:22" x14ac:dyDescent="0.3">
      <c r="A216" s="21">
        <v>39630</v>
      </c>
      <c r="B216" s="22">
        <v>42.792571000000002</v>
      </c>
      <c r="C216" s="22">
        <v>6.8315000000000001</v>
      </c>
      <c r="D216" s="23">
        <v>16842</v>
      </c>
      <c r="E216" s="22">
        <v>68.575000000000003</v>
      </c>
      <c r="F216" s="22">
        <v>7.8041</v>
      </c>
      <c r="G216" s="22">
        <v>1.2476020000000001</v>
      </c>
      <c r="H216" s="22">
        <v>107.88500000000001</v>
      </c>
      <c r="I216" s="9">
        <v>1.3622000000000001</v>
      </c>
      <c r="J216" s="22">
        <v>3.24</v>
      </c>
      <c r="K216" s="13">
        <v>3.6724999999999999</v>
      </c>
      <c r="L216" s="12">
        <v>9315</v>
      </c>
      <c r="M216" s="14">
        <v>105.52</v>
      </c>
      <c r="N216" s="13">
        <v>31.254071</v>
      </c>
      <c r="O216" s="13">
        <v>27.5</v>
      </c>
      <c r="P216" s="13">
        <v>30.914999999999999</v>
      </c>
      <c r="Q216" s="12">
        <v>9143</v>
      </c>
      <c r="R216" s="22">
        <v>0.50329999999999997</v>
      </c>
      <c r="S216" s="22">
        <v>0.67814600000000003</v>
      </c>
      <c r="T216" s="22">
        <v>37.173999999999999</v>
      </c>
      <c r="U216" s="22">
        <v>58.541708</v>
      </c>
      <c r="V216" s="22">
        <v>79.319000000000003</v>
      </c>
    </row>
    <row r="217" spans="1:22" x14ac:dyDescent="0.3">
      <c r="A217" s="21">
        <v>39600</v>
      </c>
      <c r="B217" s="22">
        <v>42.796739000000002</v>
      </c>
      <c r="C217" s="22">
        <v>6.8544</v>
      </c>
      <c r="D217" s="23">
        <v>16246</v>
      </c>
      <c r="E217" s="22">
        <v>68.674999999999997</v>
      </c>
      <c r="F217" s="22">
        <v>7.7934999999999999</v>
      </c>
      <c r="G217" s="22">
        <v>1.3014399999999999</v>
      </c>
      <c r="H217" s="22">
        <v>107.875</v>
      </c>
      <c r="I217" s="9">
        <v>1.3564000000000001</v>
      </c>
      <c r="J217" s="22">
        <v>3.1589999999999998</v>
      </c>
      <c r="K217" s="13">
        <v>3.6709999999999998</v>
      </c>
      <c r="L217" s="12">
        <v>9222</v>
      </c>
      <c r="M217" s="14">
        <v>103.94</v>
      </c>
      <c r="N217" s="13">
        <v>30.411498000000002</v>
      </c>
      <c r="O217" s="13">
        <v>28.2</v>
      </c>
      <c r="P217" s="13">
        <v>32.164999999999999</v>
      </c>
      <c r="Q217" s="12">
        <v>9135</v>
      </c>
      <c r="R217" s="22">
        <v>0.503</v>
      </c>
      <c r="S217" s="22">
        <v>0.67947999999999997</v>
      </c>
      <c r="T217" s="22">
        <v>35.204999999999998</v>
      </c>
      <c r="U217" s="22">
        <v>57.775359999999999</v>
      </c>
      <c r="V217" s="22">
        <v>78.105999999999995</v>
      </c>
    </row>
    <row r="218" spans="1:22" x14ac:dyDescent="0.3">
      <c r="A218" s="21">
        <v>39569</v>
      </c>
      <c r="B218" s="22">
        <v>42.173889000000003</v>
      </c>
      <c r="C218" s="22">
        <v>6.9424999999999999</v>
      </c>
      <c r="D218" s="23">
        <v>16122</v>
      </c>
      <c r="E218" s="22">
        <v>68.625</v>
      </c>
      <c r="F218" s="22">
        <v>7.7827000000000002</v>
      </c>
      <c r="G218" s="22">
        <v>1.243355</v>
      </c>
      <c r="H218" s="22">
        <v>107.8</v>
      </c>
      <c r="I218" s="9">
        <v>1.3769</v>
      </c>
      <c r="J218" s="22">
        <v>3.1985000000000001</v>
      </c>
      <c r="K218" s="13">
        <v>3.6724999999999999</v>
      </c>
      <c r="L218" s="12">
        <v>9215</v>
      </c>
      <c r="M218" s="14">
        <v>99.83</v>
      </c>
      <c r="N218" s="13">
        <v>30.30378</v>
      </c>
      <c r="O218" s="13">
        <v>27.6</v>
      </c>
      <c r="P218" s="13">
        <v>32.43</v>
      </c>
      <c r="Q218" s="12">
        <v>9130</v>
      </c>
      <c r="R218" s="22">
        <v>0.50390000000000001</v>
      </c>
      <c r="S218" s="22">
        <v>0.686388</v>
      </c>
      <c r="T218" s="22">
        <v>34.517000000000003</v>
      </c>
      <c r="U218" s="22">
        <v>57.338993000000002</v>
      </c>
      <c r="V218" s="22">
        <v>78.239000000000004</v>
      </c>
    </row>
    <row r="219" spans="1:22" x14ac:dyDescent="0.3">
      <c r="A219" s="21">
        <v>39539</v>
      </c>
      <c r="B219" s="22">
        <v>39.997621000000002</v>
      </c>
      <c r="C219" s="22">
        <v>6.9885000000000002</v>
      </c>
      <c r="D219" s="23">
        <v>16110</v>
      </c>
      <c r="E219" s="22">
        <v>68.674999999999997</v>
      </c>
      <c r="F219" s="22">
        <v>7.7808000000000002</v>
      </c>
      <c r="G219" s="22">
        <v>1.195603</v>
      </c>
      <c r="H219" s="22">
        <v>107.85</v>
      </c>
      <c r="I219" s="9">
        <v>1.3952</v>
      </c>
      <c r="J219" s="22">
        <v>3.1945000000000001</v>
      </c>
      <c r="K219" s="13">
        <v>3.6556999999999999</v>
      </c>
      <c r="L219" s="12">
        <v>9065</v>
      </c>
      <c r="M219" s="14">
        <v>103.87</v>
      </c>
      <c r="N219" s="13">
        <v>31.410345</v>
      </c>
      <c r="O219" s="13">
        <v>29.55</v>
      </c>
      <c r="P219" s="13">
        <v>32.274999999999999</v>
      </c>
      <c r="Q219" s="12">
        <v>9117.5</v>
      </c>
      <c r="R219" s="22">
        <v>0.48630000000000001</v>
      </c>
      <c r="S219" s="22">
        <v>0.68107799999999996</v>
      </c>
      <c r="T219" s="22">
        <v>34.924999999999997</v>
      </c>
      <c r="U219" s="22">
        <v>57.926957999999999</v>
      </c>
      <c r="V219" s="22">
        <v>81.278999999999996</v>
      </c>
    </row>
    <row r="220" spans="1:22" x14ac:dyDescent="0.3">
      <c r="A220" s="21">
        <v>39508</v>
      </c>
      <c r="B220" s="22">
        <v>40.297643999999998</v>
      </c>
      <c r="C220" s="22">
        <v>7.0124000000000004</v>
      </c>
      <c r="D220" s="23">
        <v>15930.5</v>
      </c>
      <c r="E220" s="22">
        <v>68.674999999999997</v>
      </c>
      <c r="F220" s="22">
        <v>7.7976000000000001</v>
      </c>
      <c r="G220" s="22">
        <v>1.1770609999999999</v>
      </c>
      <c r="H220" s="22">
        <v>107.84</v>
      </c>
      <c r="I220" s="9">
        <v>1.4167000000000001</v>
      </c>
      <c r="J220" s="22">
        <v>3.2355</v>
      </c>
      <c r="K220" s="13">
        <v>3.6720999999999999</v>
      </c>
      <c r="L220" s="12">
        <v>9246.5</v>
      </c>
      <c r="M220" s="14">
        <v>106.36</v>
      </c>
      <c r="N220" s="13">
        <v>31.556919000000001</v>
      </c>
      <c r="O220" s="13">
        <v>30.15</v>
      </c>
      <c r="P220" s="13">
        <v>32.395000000000003</v>
      </c>
      <c r="Q220" s="12">
        <v>9092</v>
      </c>
      <c r="R220" s="22">
        <v>0.48039999999999999</v>
      </c>
      <c r="S220" s="22">
        <v>0.70290300000000006</v>
      </c>
      <c r="T220" s="22">
        <v>36.555</v>
      </c>
      <c r="U220" s="22">
        <v>56.136330999999998</v>
      </c>
      <c r="V220" s="22">
        <v>81.593999999999994</v>
      </c>
    </row>
    <row r="221" spans="1:22" x14ac:dyDescent="0.3">
      <c r="A221" s="21">
        <v>39479</v>
      </c>
      <c r="B221" s="22">
        <v>39.692751999999999</v>
      </c>
      <c r="C221" s="22">
        <v>7.1119000000000003</v>
      </c>
      <c r="D221" s="23">
        <v>15970</v>
      </c>
      <c r="E221" s="22">
        <v>68.625</v>
      </c>
      <c r="F221" s="22">
        <v>7.7984999999999998</v>
      </c>
      <c r="G221" s="22">
        <v>1.180213</v>
      </c>
      <c r="H221" s="22">
        <v>108.65</v>
      </c>
      <c r="I221" s="9">
        <v>1.4414</v>
      </c>
      <c r="J221" s="22">
        <v>3.3069999999999999</v>
      </c>
      <c r="K221" s="13">
        <v>3.6713</v>
      </c>
      <c r="L221" s="12">
        <v>9392.5</v>
      </c>
      <c r="M221" s="14">
        <v>111.36</v>
      </c>
      <c r="N221" s="13">
        <v>32.076779999999999</v>
      </c>
      <c r="O221" s="13">
        <v>30.5</v>
      </c>
      <c r="P221" s="13">
        <v>32.634999999999998</v>
      </c>
      <c r="Q221" s="12">
        <v>9070</v>
      </c>
      <c r="R221" s="22">
        <v>0.48849999999999999</v>
      </c>
      <c r="S221" s="22">
        <v>0.71974400000000005</v>
      </c>
      <c r="T221" s="22">
        <v>35.192</v>
      </c>
      <c r="U221" s="22">
        <v>55.787954999999997</v>
      </c>
      <c r="V221" s="22">
        <v>81.177999999999997</v>
      </c>
    </row>
    <row r="222" spans="1:22" x14ac:dyDescent="0.3">
      <c r="A222" s="21">
        <v>39448</v>
      </c>
      <c r="B222" s="22">
        <v>39.255623999999997</v>
      </c>
      <c r="C222" s="22">
        <v>7.1821999999999999</v>
      </c>
      <c r="D222" s="23">
        <v>16028</v>
      </c>
      <c r="E222" s="22">
        <v>68.375</v>
      </c>
      <c r="F222" s="22">
        <v>7.7859999999999996</v>
      </c>
      <c r="G222" s="22">
        <v>1.1916199999999999</v>
      </c>
      <c r="H222" s="22">
        <v>110.47499999999999</v>
      </c>
      <c r="I222" s="9">
        <v>1.4479</v>
      </c>
      <c r="J222" s="22">
        <v>3.3645</v>
      </c>
      <c r="K222" s="13">
        <v>3.673</v>
      </c>
      <c r="L222" s="12">
        <v>9370</v>
      </c>
      <c r="M222" s="14">
        <v>111.19</v>
      </c>
      <c r="N222" s="13">
        <v>31.819423</v>
      </c>
      <c r="O222" s="13">
        <v>31.3</v>
      </c>
      <c r="P222" s="13">
        <v>33</v>
      </c>
      <c r="Q222" s="12">
        <v>9050</v>
      </c>
      <c r="R222" s="22">
        <v>0.49609999999999999</v>
      </c>
      <c r="S222" s="22">
        <v>0.73412900000000003</v>
      </c>
      <c r="T222" s="22">
        <v>33.232999999999997</v>
      </c>
      <c r="U222" s="22">
        <v>55.439228</v>
      </c>
      <c r="V222" s="22">
        <v>81.962999999999994</v>
      </c>
    </row>
    <row r="223" spans="1:22" x14ac:dyDescent="0.3">
      <c r="A223" s="21">
        <v>39417</v>
      </c>
      <c r="B223" s="22">
        <v>39.353377000000002</v>
      </c>
      <c r="C223" s="22">
        <v>7.3041</v>
      </c>
      <c r="D223" s="23">
        <v>16040</v>
      </c>
      <c r="E223" s="22">
        <v>68.394999999999996</v>
      </c>
      <c r="F223" s="22">
        <v>7.7504</v>
      </c>
      <c r="G223" s="22">
        <v>1.2011309999999999</v>
      </c>
      <c r="H223" s="22">
        <v>110.95</v>
      </c>
      <c r="I223" s="9">
        <v>1.4483999999999999</v>
      </c>
      <c r="J223" s="22">
        <v>3.335</v>
      </c>
      <c r="K223" s="13">
        <v>3.6726000000000001</v>
      </c>
      <c r="L223" s="12">
        <v>9097.5</v>
      </c>
      <c r="M223" s="14">
        <v>115.31</v>
      </c>
      <c r="N223" s="13">
        <v>30.530823999999999</v>
      </c>
      <c r="O223" s="13">
        <v>30.9</v>
      </c>
      <c r="P223" s="13">
        <v>32.808999999999997</v>
      </c>
      <c r="Q223" s="12">
        <v>9015</v>
      </c>
      <c r="R223" s="22">
        <v>0.4929</v>
      </c>
      <c r="S223" s="22">
        <v>0.72912299999999997</v>
      </c>
      <c r="T223" s="22">
        <v>34.192</v>
      </c>
      <c r="U223" s="22">
        <v>55.267460999999997</v>
      </c>
      <c r="V223" s="22">
        <v>81.543000000000006</v>
      </c>
    </row>
    <row r="224" spans="1:22" x14ac:dyDescent="0.3">
      <c r="A224" s="21">
        <v>39387</v>
      </c>
      <c r="B224" s="22">
        <v>39.449016</v>
      </c>
      <c r="C224" s="22">
        <v>7.3979999999999997</v>
      </c>
      <c r="D224" s="23">
        <v>16069</v>
      </c>
      <c r="E224" s="22">
        <v>68.144999999999996</v>
      </c>
      <c r="F224" s="22">
        <v>7.7744999999999997</v>
      </c>
      <c r="G224" s="22">
        <v>1.2623500000000001</v>
      </c>
      <c r="H224" s="22">
        <v>113.44</v>
      </c>
      <c r="I224" s="9">
        <v>1.4857</v>
      </c>
      <c r="J224" s="22">
        <v>3.4075000000000002</v>
      </c>
      <c r="K224" s="13">
        <v>3.6728000000000001</v>
      </c>
      <c r="L224" s="12">
        <v>9145</v>
      </c>
      <c r="M224" s="14">
        <v>114.82</v>
      </c>
      <c r="N224" s="13">
        <v>32.411856</v>
      </c>
      <c r="O224" s="13">
        <v>31.6</v>
      </c>
      <c r="P224" s="13">
        <v>32.74</v>
      </c>
      <c r="Q224" s="12">
        <v>9007</v>
      </c>
      <c r="R224" s="22">
        <v>0.4975</v>
      </c>
      <c r="S224" s="22">
        <v>0.745255</v>
      </c>
      <c r="T224" s="22">
        <v>34.395000000000003</v>
      </c>
      <c r="U224" s="22">
        <v>54.451343999999999</v>
      </c>
      <c r="V224" s="22">
        <v>81.436999999999998</v>
      </c>
    </row>
    <row r="225" spans="1:22" x14ac:dyDescent="0.3">
      <c r="A225" s="21">
        <v>39356</v>
      </c>
      <c r="B225" s="22">
        <v>39.456456000000003</v>
      </c>
      <c r="C225" s="22">
        <v>7.4714999999999998</v>
      </c>
      <c r="D225" s="23">
        <v>16080</v>
      </c>
      <c r="E225" s="22">
        <v>68.375</v>
      </c>
      <c r="F225" s="22">
        <v>7.7973999999999997</v>
      </c>
      <c r="G225" s="22">
        <v>1.3158160000000001</v>
      </c>
      <c r="H225" s="22">
        <v>113.02500000000001</v>
      </c>
      <c r="I225" s="9">
        <v>1.5255000000000001</v>
      </c>
      <c r="J225" s="22">
        <v>3.5015000000000001</v>
      </c>
      <c r="K225" s="13">
        <v>3.6722999999999999</v>
      </c>
      <c r="L225" s="12">
        <v>9390</v>
      </c>
      <c r="M225" s="14">
        <v>115.77</v>
      </c>
      <c r="N225" s="13">
        <v>32.940393</v>
      </c>
      <c r="O225" s="13">
        <v>31.35</v>
      </c>
      <c r="P225" s="13">
        <v>33.034999999999997</v>
      </c>
      <c r="Q225" s="12">
        <v>8997</v>
      </c>
      <c r="R225" s="22">
        <v>0.505</v>
      </c>
      <c r="S225" s="22">
        <v>0.74013399999999996</v>
      </c>
      <c r="T225" s="22">
        <v>33.409999999999997</v>
      </c>
      <c r="U225" s="22">
        <v>54.867125999999999</v>
      </c>
      <c r="V225" s="22">
        <v>79.968999999999994</v>
      </c>
    </row>
    <row r="226" spans="1:22" x14ac:dyDescent="0.3">
      <c r="A226" s="21">
        <v>39326</v>
      </c>
      <c r="B226" s="22">
        <v>40.151006000000002</v>
      </c>
      <c r="C226" s="22">
        <v>7.5060000000000002</v>
      </c>
      <c r="D226" s="23">
        <v>16240</v>
      </c>
      <c r="E226" s="22">
        <v>68.694999999999993</v>
      </c>
      <c r="F226" s="22">
        <v>7.8265000000000002</v>
      </c>
      <c r="G226" s="22">
        <v>1.2814129999999999</v>
      </c>
      <c r="H226" s="22">
        <v>111.78</v>
      </c>
      <c r="I226" s="9">
        <v>1.5162</v>
      </c>
      <c r="J226" s="22">
        <v>3.4544999999999999</v>
      </c>
      <c r="K226" s="13">
        <v>3.673</v>
      </c>
      <c r="L226" s="12">
        <v>9225</v>
      </c>
      <c r="M226" s="14">
        <v>118.41</v>
      </c>
      <c r="N226" s="13">
        <v>32.560687999999999</v>
      </c>
      <c r="O226" s="13">
        <v>31.85</v>
      </c>
      <c r="P226" s="13">
        <v>33.316000000000003</v>
      </c>
      <c r="Q226" s="12">
        <v>8992</v>
      </c>
      <c r="R226" s="22">
        <v>0.50019999999999998</v>
      </c>
      <c r="S226" s="22">
        <v>0.739896</v>
      </c>
      <c r="T226" s="22">
        <v>34.094000000000001</v>
      </c>
      <c r="U226" s="22">
        <v>56.660350000000001</v>
      </c>
      <c r="V226" s="22">
        <v>82.055000000000007</v>
      </c>
    </row>
    <row r="227" spans="1:22" x14ac:dyDescent="0.3">
      <c r="A227" s="21">
        <v>39295</v>
      </c>
      <c r="B227" s="22">
        <v>40.698644000000002</v>
      </c>
      <c r="C227" s="22">
        <v>7.5449999999999999</v>
      </c>
      <c r="D227" s="23">
        <v>16140</v>
      </c>
      <c r="E227" s="22">
        <v>68.510000000000005</v>
      </c>
      <c r="F227" s="22">
        <v>7.8179999999999996</v>
      </c>
      <c r="G227" s="22">
        <v>1.321159</v>
      </c>
      <c r="H227" s="22">
        <v>111.38500000000001</v>
      </c>
      <c r="I227" s="9">
        <v>1.5319</v>
      </c>
      <c r="J227" s="22">
        <v>3.4525000000000001</v>
      </c>
      <c r="K227" s="13">
        <v>3.6718999999999999</v>
      </c>
      <c r="L227" s="12">
        <v>9035</v>
      </c>
      <c r="M227" s="14">
        <v>123.17</v>
      </c>
      <c r="N227" s="13">
        <v>32.716051</v>
      </c>
      <c r="O227" s="13">
        <v>32.5</v>
      </c>
      <c r="P227" s="13">
        <v>33.090000000000003</v>
      </c>
      <c r="Q227" s="12">
        <v>8965</v>
      </c>
      <c r="R227" s="22">
        <v>0.5081</v>
      </c>
      <c r="S227" s="22">
        <v>0.75521300000000002</v>
      </c>
      <c r="T227" s="22">
        <v>34.863999999999997</v>
      </c>
      <c r="U227" s="22">
        <v>58.042436000000002</v>
      </c>
      <c r="V227" s="22">
        <v>84.870999999999995</v>
      </c>
    </row>
    <row r="228" spans="1:22" x14ac:dyDescent="0.3">
      <c r="A228" s="21">
        <v>39264</v>
      </c>
      <c r="B228" s="22">
        <v>40.295696999999997</v>
      </c>
      <c r="C228" s="22">
        <v>7.5724999999999998</v>
      </c>
      <c r="D228" s="23">
        <v>16131</v>
      </c>
      <c r="E228" s="22">
        <v>68.81</v>
      </c>
      <c r="F228" s="22">
        <v>7.8075000000000001</v>
      </c>
      <c r="G228" s="22">
        <v>1.3343529999999999</v>
      </c>
      <c r="H228" s="22">
        <v>110.87</v>
      </c>
      <c r="I228" s="9">
        <v>1.5288999999999999</v>
      </c>
      <c r="J228" s="22">
        <v>3.3984999999999999</v>
      </c>
      <c r="K228" s="13">
        <v>3.6728000000000001</v>
      </c>
      <c r="L228" s="12">
        <v>8827</v>
      </c>
      <c r="M228" s="14">
        <v>121.73</v>
      </c>
      <c r="N228" s="13">
        <v>33.987544999999997</v>
      </c>
      <c r="O228" s="13">
        <v>32.75</v>
      </c>
      <c r="P228" s="13">
        <v>32.950000000000003</v>
      </c>
      <c r="Q228" s="12">
        <v>8905</v>
      </c>
      <c r="R228" s="22">
        <v>0.5091</v>
      </c>
      <c r="S228" s="22">
        <v>0.764899</v>
      </c>
      <c r="T228" s="22">
        <v>34.747999999999998</v>
      </c>
      <c r="U228" s="22">
        <v>57.531390999999999</v>
      </c>
      <c r="V228" s="22">
        <v>86.593000000000004</v>
      </c>
    </row>
    <row r="229" spans="1:22" x14ac:dyDescent="0.3">
      <c r="A229" s="21">
        <v>39234</v>
      </c>
      <c r="B229" s="22">
        <v>40.579379000000003</v>
      </c>
      <c r="C229" s="22">
        <v>7.6135000000000002</v>
      </c>
      <c r="D229" s="23">
        <v>16089</v>
      </c>
      <c r="E229" s="22">
        <v>69.02</v>
      </c>
      <c r="F229" s="22">
        <v>7.8226000000000004</v>
      </c>
      <c r="G229" s="22">
        <v>1.3586210000000001</v>
      </c>
      <c r="H229" s="22">
        <v>110.6</v>
      </c>
      <c r="I229" s="9">
        <v>1.5201</v>
      </c>
      <c r="J229" s="22">
        <v>3.4220000000000002</v>
      </c>
      <c r="K229" s="13">
        <v>3.6728000000000001</v>
      </c>
      <c r="L229" s="12">
        <v>9088</v>
      </c>
      <c r="M229" s="14">
        <v>119.47</v>
      </c>
      <c r="N229" s="13">
        <v>35.271273000000001</v>
      </c>
      <c r="O229" s="13">
        <v>33.25</v>
      </c>
      <c r="P229" s="13">
        <v>32.927</v>
      </c>
      <c r="Q229" s="12">
        <v>8881</v>
      </c>
      <c r="R229" s="22">
        <v>0.5091</v>
      </c>
      <c r="S229" s="22">
        <v>0.76935299999999995</v>
      </c>
      <c r="T229" s="22">
        <v>34.234999999999999</v>
      </c>
      <c r="U229" s="22">
        <v>57.496771000000003</v>
      </c>
      <c r="V229" s="22">
        <v>86.572999999999993</v>
      </c>
    </row>
    <row r="230" spans="1:22" x14ac:dyDescent="0.3">
      <c r="A230" s="21">
        <v>39203</v>
      </c>
      <c r="B230" s="22">
        <v>40.607689999999998</v>
      </c>
      <c r="C230" s="22">
        <v>7.6475</v>
      </c>
      <c r="D230" s="23">
        <v>16048</v>
      </c>
      <c r="E230" s="22">
        <v>69.194999999999993</v>
      </c>
      <c r="F230" s="22">
        <v>7.8137999999999996</v>
      </c>
      <c r="G230" s="22">
        <v>1.409243</v>
      </c>
      <c r="H230" s="22">
        <v>108.65</v>
      </c>
      <c r="I230" s="9">
        <v>1.5176000000000001</v>
      </c>
      <c r="J230" s="22">
        <v>3.4575</v>
      </c>
      <c r="K230" s="13">
        <v>3.6728000000000001</v>
      </c>
      <c r="L230" s="12">
        <v>9120</v>
      </c>
      <c r="M230" s="14">
        <v>117.79</v>
      </c>
      <c r="N230" s="13">
        <v>35.741857000000003</v>
      </c>
      <c r="O230" s="13">
        <v>33.25</v>
      </c>
      <c r="P230" s="13">
        <v>32.585000000000001</v>
      </c>
      <c r="Q230" s="12">
        <v>8857</v>
      </c>
      <c r="R230" s="22">
        <v>0.51060000000000005</v>
      </c>
      <c r="S230" s="22">
        <v>0.75686100000000001</v>
      </c>
      <c r="T230" s="22">
        <v>34.817999999999998</v>
      </c>
      <c r="U230" s="22">
        <v>58.922027</v>
      </c>
      <c r="V230" s="22">
        <v>86.406000000000006</v>
      </c>
    </row>
    <row r="231" spans="1:22" x14ac:dyDescent="0.3">
      <c r="A231" s="21">
        <v>39173</v>
      </c>
      <c r="B231" s="22">
        <v>41.925714999999997</v>
      </c>
      <c r="C231" s="22">
        <v>7.7054999999999998</v>
      </c>
      <c r="D231" s="23">
        <v>16015</v>
      </c>
      <c r="E231" s="22">
        <v>68.825000000000003</v>
      </c>
      <c r="F231" s="22">
        <v>7.8132000000000001</v>
      </c>
      <c r="G231" s="22">
        <v>1.3966419999999999</v>
      </c>
      <c r="H231" s="22">
        <v>108.79</v>
      </c>
      <c r="I231" s="9">
        <v>1.5291999999999999</v>
      </c>
      <c r="J231" s="22">
        <v>3.5030000000000001</v>
      </c>
      <c r="K231" s="13">
        <v>3.673</v>
      </c>
      <c r="L231" s="12">
        <v>9131.5</v>
      </c>
      <c r="M231" s="14">
        <v>118.45</v>
      </c>
      <c r="N231" s="13">
        <v>36.527009999999997</v>
      </c>
      <c r="O231" s="13">
        <v>33.049999999999997</v>
      </c>
      <c r="P231" s="13">
        <v>32.340000000000003</v>
      </c>
      <c r="Q231" s="12">
        <v>8856</v>
      </c>
      <c r="R231" s="22">
        <v>0.50880000000000003</v>
      </c>
      <c r="S231" s="22">
        <v>0.776416</v>
      </c>
      <c r="T231" s="22">
        <v>35.168999999999997</v>
      </c>
      <c r="U231" s="22">
        <v>57.704957</v>
      </c>
      <c r="V231" s="22">
        <v>87.65</v>
      </c>
    </row>
    <row r="232" spans="1:22" x14ac:dyDescent="0.3">
      <c r="A232" s="21">
        <v>39142</v>
      </c>
      <c r="B232" s="22">
        <v>43.834656000000003</v>
      </c>
      <c r="C232" s="22">
        <v>7.7308000000000003</v>
      </c>
      <c r="D232" s="23">
        <v>16001</v>
      </c>
      <c r="E232" s="22">
        <v>69.025000000000006</v>
      </c>
      <c r="F232" s="22">
        <v>7.8075000000000001</v>
      </c>
      <c r="G232" s="22">
        <v>1.4260269999999999</v>
      </c>
      <c r="H232" s="22">
        <v>108.58</v>
      </c>
      <c r="I232" s="9">
        <v>1.536</v>
      </c>
      <c r="J232" s="22">
        <v>3.5005000000000002</v>
      </c>
      <c r="K232" s="13">
        <v>3.673</v>
      </c>
      <c r="L232" s="12">
        <v>9100</v>
      </c>
      <c r="M232" s="14">
        <v>120.67</v>
      </c>
      <c r="N232" s="13">
        <v>37.323211000000001</v>
      </c>
      <c r="O232" s="13">
        <v>32.9</v>
      </c>
      <c r="P232" s="13">
        <v>33.174999999999997</v>
      </c>
      <c r="Q232" s="12">
        <v>8805</v>
      </c>
      <c r="R232" s="22">
        <v>0.5242</v>
      </c>
      <c r="S232" s="22">
        <v>0.79298299999999999</v>
      </c>
      <c r="T232" s="22">
        <v>34.783999999999999</v>
      </c>
      <c r="U232" s="22">
        <v>57.303567999999999</v>
      </c>
      <c r="V232" s="22">
        <v>85.676000000000002</v>
      </c>
    </row>
    <row r="233" spans="1:22" x14ac:dyDescent="0.3">
      <c r="A233" s="21">
        <v>39114</v>
      </c>
      <c r="B233" s="22">
        <v>44.003734999999999</v>
      </c>
      <c r="C233" s="22">
        <v>7.7380000000000004</v>
      </c>
      <c r="D233" s="23">
        <v>16050</v>
      </c>
      <c r="E233" s="22">
        <v>69.224999999999994</v>
      </c>
      <c r="F233" s="22">
        <v>7.7786</v>
      </c>
      <c r="G233" s="22">
        <v>1.4319189999999999</v>
      </c>
      <c r="H233" s="22">
        <v>107.45</v>
      </c>
      <c r="I233" s="9">
        <v>1.5341</v>
      </c>
      <c r="J233" s="22">
        <v>3.53</v>
      </c>
      <c r="K233" s="13">
        <v>3.6728000000000001</v>
      </c>
      <c r="L233" s="12">
        <v>8993.5</v>
      </c>
      <c r="M233" s="14">
        <v>119.02</v>
      </c>
      <c r="N233" s="13">
        <v>37.430276999999997</v>
      </c>
      <c r="O233" s="13">
        <v>32.9</v>
      </c>
      <c r="P233" s="13">
        <v>33.11</v>
      </c>
      <c r="Q233" s="12">
        <v>8793</v>
      </c>
      <c r="R233" s="22">
        <v>0.53420000000000001</v>
      </c>
      <c r="S233" s="22">
        <v>0.78554000000000002</v>
      </c>
      <c r="T233" s="22">
        <v>34.18</v>
      </c>
      <c r="U233" s="22">
        <v>58.692031</v>
      </c>
      <c r="V233" s="22">
        <v>85.730999999999995</v>
      </c>
    </row>
    <row r="234" spans="1:22" x14ac:dyDescent="0.3">
      <c r="A234" s="21">
        <v>39083</v>
      </c>
      <c r="B234" s="22">
        <v>44.232906999999997</v>
      </c>
      <c r="C234" s="22">
        <v>7.7747999999999999</v>
      </c>
      <c r="D234" s="23">
        <v>16056</v>
      </c>
      <c r="E234" s="22">
        <v>69.084999999999994</v>
      </c>
      <c r="F234" s="22">
        <v>7.7778999999999998</v>
      </c>
      <c r="G234" s="22">
        <v>1.4583390000000001</v>
      </c>
      <c r="H234" s="22">
        <v>108.1</v>
      </c>
      <c r="I234" s="9">
        <v>1.5396000000000001</v>
      </c>
      <c r="J234" s="22">
        <v>3.6179999999999999</v>
      </c>
      <c r="K234" s="13">
        <v>3.6728000000000001</v>
      </c>
      <c r="L234" s="12">
        <v>9165</v>
      </c>
      <c r="M234" s="14">
        <v>115.78</v>
      </c>
      <c r="N234" s="13">
        <v>37.617058</v>
      </c>
      <c r="O234" s="13">
        <v>32.549999999999997</v>
      </c>
      <c r="P234" s="13">
        <v>32.895000000000003</v>
      </c>
      <c r="Q234" s="12">
        <v>8761</v>
      </c>
      <c r="R234" s="22">
        <v>0.52510000000000001</v>
      </c>
      <c r="S234" s="22">
        <v>0.78057100000000001</v>
      </c>
      <c r="T234" s="22">
        <v>35.487000000000002</v>
      </c>
      <c r="U234" s="22">
        <v>59.587507000000002</v>
      </c>
      <c r="V234" s="22">
        <v>88.522999999999996</v>
      </c>
    </row>
    <row r="235" spans="1:22" x14ac:dyDescent="0.3">
      <c r="A235" s="21">
        <v>39052</v>
      </c>
      <c r="B235" s="22">
        <v>44.594484999999999</v>
      </c>
      <c r="C235" s="22">
        <v>7.8075000000000001</v>
      </c>
      <c r="D235" s="23">
        <v>16070</v>
      </c>
      <c r="E235" s="22">
        <v>68.474999999999994</v>
      </c>
      <c r="F235" s="22">
        <v>7.7774999999999999</v>
      </c>
      <c r="G235" s="22">
        <v>1.4791589999999999</v>
      </c>
      <c r="H235" s="22">
        <v>108.02500000000001</v>
      </c>
      <c r="I235" s="9">
        <v>1.5577000000000001</v>
      </c>
      <c r="J235" s="22">
        <v>3.6524999999999999</v>
      </c>
      <c r="K235" s="13">
        <v>3.673</v>
      </c>
      <c r="L235" s="12">
        <v>9094</v>
      </c>
      <c r="M235" s="14">
        <v>116.95</v>
      </c>
      <c r="N235" s="13">
        <v>37.99933</v>
      </c>
      <c r="O235" s="13">
        <v>31.225000000000001</v>
      </c>
      <c r="P235" s="13">
        <v>32.746000000000002</v>
      </c>
      <c r="Q235" s="12">
        <v>8761</v>
      </c>
      <c r="R235" s="22">
        <v>0.53539999999999999</v>
      </c>
      <c r="S235" s="22">
        <v>0.78845500000000002</v>
      </c>
      <c r="T235" s="22">
        <v>35.630000000000003</v>
      </c>
      <c r="U235" s="22">
        <v>58.911465</v>
      </c>
      <c r="V235" s="22">
        <v>86.840999999999994</v>
      </c>
    </row>
    <row r="236" spans="1:22" x14ac:dyDescent="0.3">
      <c r="A236" s="21">
        <v>39022</v>
      </c>
      <c r="B236" s="22">
        <v>44.798420999999998</v>
      </c>
      <c r="C236" s="22">
        <v>7.8333000000000004</v>
      </c>
      <c r="D236" s="23">
        <v>16070</v>
      </c>
      <c r="E236" s="22">
        <v>67.674999999999997</v>
      </c>
      <c r="F236" s="22">
        <v>7.7919</v>
      </c>
      <c r="G236" s="22">
        <v>1.481992</v>
      </c>
      <c r="H236" s="22">
        <v>103.76</v>
      </c>
      <c r="I236" s="9">
        <v>1.5880000000000001</v>
      </c>
      <c r="J236" s="22">
        <v>3.6880000000000002</v>
      </c>
      <c r="K236" s="13">
        <v>3.6715</v>
      </c>
      <c r="L236" s="12">
        <v>9205</v>
      </c>
      <c r="M236" s="14">
        <v>118.18</v>
      </c>
      <c r="N236" s="13">
        <v>38.373683</v>
      </c>
      <c r="O236" s="13">
        <v>30.81</v>
      </c>
      <c r="P236" s="13">
        <v>32.369999999999997</v>
      </c>
      <c r="Q236" s="12">
        <v>8743</v>
      </c>
      <c r="R236" s="22">
        <v>0.54120000000000001</v>
      </c>
      <c r="S236" s="22">
        <v>0.79058300000000004</v>
      </c>
      <c r="T236" s="22">
        <v>34.057000000000002</v>
      </c>
      <c r="U236" s="22">
        <v>58.183860000000003</v>
      </c>
      <c r="V236" s="22">
        <v>84.775000000000006</v>
      </c>
    </row>
    <row r="237" spans="1:22" x14ac:dyDescent="0.3">
      <c r="A237" s="21">
        <v>38991</v>
      </c>
      <c r="B237" s="22">
        <v>45.439182000000002</v>
      </c>
      <c r="C237" s="22">
        <v>7.8789999999999996</v>
      </c>
      <c r="D237" s="23">
        <v>16050</v>
      </c>
      <c r="E237" s="22">
        <v>65.3</v>
      </c>
      <c r="F237" s="22">
        <v>7.7773000000000003</v>
      </c>
      <c r="G237" s="22">
        <v>1.467622</v>
      </c>
      <c r="H237" s="22">
        <v>102.19</v>
      </c>
      <c r="I237" s="9">
        <v>1.5731999999999999</v>
      </c>
      <c r="J237" s="22">
        <v>3.681</v>
      </c>
      <c r="K237" s="13">
        <v>3.6715</v>
      </c>
      <c r="L237" s="12">
        <v>9117</v>
      </c>
      <c r="M237" s="14">
        <v>117.36</v>
      </c>
      <c r="N237" s="13">
        <v>38.006735999999997</v>
      </c>
      <c r="O237" s="13">
        <v>30.77</v>
      </c>
      <c r="P237" s="13">
        <v>32.034999999999997</v>
      </c>
      <c r="Q237" s="12">
        <v>8707.5</v>
      </c>
      <c r="R237" s="22">
        <v>0.53469999999999995</v>
      </c>
      <c r="S237" s="22">
        <v>0.78314300000000003</v>
      </c>
      <c r="T237" s="22">
        <v>34.840000000000003</v>
      </c>
      <c r="U237" s="22">
        <v>57.886789</v>
      </c>
      <c r="V237" s="22">
        <v>86.587999999999994</v>
      </c>
    </row>
    <row r="238" spans="1:22" x14ac:dyDescent="0.3">
      <c r="A238" s="21">
        <v>38961</v>
      </c>
      <c r="B238" s="22">
        <v>46.103583999999998</v>
      </c>
      <c r="C238" s="22">
        <v>7.9073000000000002</v>
      </c>
      <c r="D238" s="23">
        <v>16014</v>
      </c>
      <c r="E238" s="22">
        <v>69.45</v>
      </c>
      <c r="F238" s="22">
        <v>7.7705000000000002</v>
      </c>
      <c r="G238" s="22">
        <v>1.554181</v>
      </c>
      <c r="H238" s="22">
        <v>103.97</v>
      </c>
      <c r="I238" s="9">
        <v>1.5792999999999999</v>
      </c>
      <c r="J238" s="22">
        <v>3.6575000000000002</v>
      </c>
      <c r="K238" s="13">
        <v>3.6728999999999998</v>
      </c>
      <c r="L238" s="12">
        <v>9095</v>
      </c>
      <c r="M238" s="14">
        <v>114.69</v>
      </c>
      <c r="N238" s="13">
        <v>37.99371</v>
      </c>
      <c r="O238" s="13">
        <v>30.85</v>
      </c>
      <c r="P238" s="13">
        <v>31.905000000000001</v>
      </c>
      <c r="Q238" s="12">
        <v>8645</v>
      </c>
      <c r="R238" s="22">
        <v>0.54749999999999999</v>
      </c>
      <c r="S238" s="22">
        <v>0.81501699999999999</v>
      </c>
      <c r="T238" s="22">
        <v>34.128999999999998</v>
      </c>
      <c r="U238" s="22">
        <v>55.049394999999997</v>
      </c>
      <c r="V238" s="22">
        <v>82.025000000000006</v>
      </c>
    </row>
    <row r="239" spans="1:22" x14ac:dyDescent="0.3">
      <c r="A239" s="21">
        <v>38930</v>
      </c>
      <c r="B239" s="22">
        <v>46.511673000000002</v>
      </c>
      <c r="C239" s="22">
        <v>7.9549000000000003</v>
      </c>
      <c r="D239" s="23">
        <v>16006</v>
      </c>
      <c r="E239" s="22">
        <v>69.5</v>
      </c>
      <c r="F239" s="22">
        <v>7.7663000000000002</v>
      </c>
      <c r="G239" s="22">
        <v>1.601642</v>
      </c>
      <c r="H239" s="22">
        <v>103.97</v>
      </c>
      <c r="I239" s="9">
        <v>1.5828</v>
      </c>
      <c r="J239" s="22">
        <v>3.6745000000000001</v>
      </c>
      <c r="K239" s="13">
        <v>3.6730999999999998</v>
      </c>
      <c r="L239" s="12">
        <v>9263</v>
      </c>
      <c r="M239" s="14">
        <v>114.44</v>
      </c>
      <c r="N239" s="13">
        <v>38.965761000000001</v>
      </c>
      <c r="O239" s="13">
        <v>31.05</v>
      </c>
      <c r="P239" s="13">
        <v>32.459000000000003</v>
      </c>
      <c r="Q239" s="12">
        <v>8578</v>
      </c>
      <c r="R239" s="22">
        <v>0.57530000000000003</v>
      </c>
      <c r="S239" s="22">
        <v>0.83198799999999995</v>
      </c>
      <c r="T239" s="22">
        <v>31.873000000000001</v>
      </c>
      <c r="U239" s="22">
        <v>53.365946000000001</v>
      </c>
      <c r="V239" s="22">
        <v>77.338999999999999</v>
      </c>
    </row>
    <row r="240" spans="1:22" x14ac:dyDescent="0.3">
      <c r="A240" s="21">
        <v>38899</v>
      </c>
      <c r="B240" s="22">
        <v>46.448552999999997</v>
      </c>
      <c r="C240" s="22">
        <v>7.97</v>
      </c>
      <c r="D240" s="23">
        <v>15996</v>
      </c>
      <c r="E240" s="22">
        <v>68.180000000000007</v>
      </c>
      <c r="F240" s="22">
        <v>7.7584</v>
      </c>
      <c r="G240" s="22">
        <v>1.440585</v>
      </c>
      <c r="H240" s="22">
        <v>103</v>
      </c>
      <c r="I240" s="9">
        <v>1.5795999999999999</v>
      </c>
      <c r="J240" s="22">
        <v>3.6309999999999998</v>
      </c>
      <c r="K240" s="13">
        <v>3.6730999999999998</v>
      </c>
      <c r="L240" s="12">
        <v>9255</v>
      </c>
      <c r="M240" s="14">
        <v>112.59</v>
      </c>
      <c r="N240" s="13">
        <v>39.380654</v>
      </c>
      <c r="O240" s="13">
        <v>30.7</v>
      </c>
      <c r="P240" s="13">
        <v>32.453000000000003</v>
      </c>
      <c r="Q240" s="12">
        <v>8566</v>
      </c>
      <c r="R240" s="22">
        <v>0.57020000000000004</v>
      </c>
      <c r="S240" s="22">
        <v>0.83766499999999999</v>
      </c>
      <c r="T240" s="22">
        <v>32.874000000000002</v>
      </c>
      <c r="U240" s="22">
        <v>52.846196999999997</v>
      </c>
      <c r="V240" s="22">
        <v>77.665000000000006</v>
      </c>
    </row>
    <row r="241" spans="1:22" x14ac:dyDescent="0.3">
      <c r="A241" s="21">
        <v>38869</v>
      </c>
      <c r="B241" s="22">
        <v>45.996223999999998</v>
      </c>
      <c r="C241" s="22">
        <v>7.9924999999999997</v>
      </c>
      <c r="D241" s="23">
        <v>15957.5</v>
      </c>
      <c r="E241" s="22">
        <v>69.400000000000006</v>
      </c>
      <c r="F241" s="22">
        <v>7.7538999999999998</v>
      </c>
      <c r="G241" s="22">
        <v>1.334999</v>
      </c>
      <c r="H241" s="22">
        <v>102.8</v>
      </c>
      <c r="I241" s="9">
        <v>1.5812999999999999</v>
      </c>
      <c r="J241" s="22">
        <v>3.625</v>
      </c>
      <c r="K241" s="13">
        <v>3.6730999999999998</v>
      </c>
      <c r="L241" s="12">
        <v>8785</v>
      </c>
      <c r="M241" s="14">
        <v>113.85</v>
      </c>
      <c r="N241" s="13">
        <v>39.634391999999998</v>
      </c>
      <c r="O241" s="13">
        <v>30.7</v>
      </c>
      <c r="P241" s="13">
        <v>31.981000000000002</v>
      </c>
      <c r="Q241" s="12">
        <v>8482</v>
      </c>
      <c r="R241" s="22">
        <v>0.56220000000000003</v>
      </c>
      <c r="S241" s="22">
        <v>0.82630000000000003</v>
      </c>
      <c r="T241" s="22">
        <v>33.328000000000003</v>
      </c>
      <c r="U241" s="22">
        <v>53.636262000000002</v>
      </c>
      <c r="V241" s="22">
        <v>78.141999999999996</v>
      </c>
    </row>
    <row r="242" spans="1:22" x14ac:dyDescent="0.3">
      <c r="A242" s="21">
        <v>38838</v>
      </c>
      <c r="B242" s="22">
        <v>45.330288000000003</v>
      </c>
      <c r="C242" s="22">
        <v>8.0239999999999991</v>
      </c>
      <c r="D242" s="23">
        <v>15942.5</v>
      </c>
      <c r="E242" s="22">
        <v>68.5</v>
      </c>
      <c r="F242" s="22">
        <v>7.7591000000000001</v>
      </c>
      <c r="G242" s="22">
        <v>1.337048</v>
      </c>
      <c r="H242" s="22">
        <v>102.575</v>
      </c>
      <c r="I242" s="9">
        <v>1.6158999999999999</v>
      </c>
      <c r="J242" s="22">
        <v>3.6831</v>
      </c>
      <c r="K242" s="13">
        <v>3.673</v>
      </c>
      <c r="L242" s="12">
        <v>9087</v>
      </c>
      <c r="M242" s="14">
        <v>117.68</v>
      </c>
      <c r="N242" s="13">
        <v>41.103248999999998</v>
      </c>
      <c r="O242" s="13">
        <v>30.45</v>
      </c>
      <c r="P242" s="13">
        <v>32.826000000000001</v>
      </c>
      <c r="Q242" s="12">
        <v>8894</v>
      </c>
      <c r="R242" s="22">
        <v>0.58089999999999997</v>
      </c>
      <c r="S242" s="22">
        <v>0.843503</v>
      </c>
      <c r="T242" s="22">
        <v>32.997</v>
      </c>
      <c r="U242" s="22">
        <v>54.049112000000001</v>
      </c>
      <c r="V242" s="22">
        <v>77.451999999999998</v>
      </c>
    </row>
    <row r="243" spans="1:22" x14ac:dyDescent="0.3">
      <c r="A243" s="21">
        <v>38808</v>
      </c>
      <c r="B243" s="22">
        <v>44.859943000000001</v>
      </c>
      <c r="C243" s="22">
        <v>8.0138999999999996</v>
      </c>
      <c r="D243" s="23">
        <v>15925</v>
      </c>
      <c r="E243" s="22">
        <v>70.05</v>
      </c>
      <c r="F243" s="22">
        <v>7.7579000000000002</v>
      </c>
      <c r="G243" s="22">
        <v>1.325958</v>
      </c>
      <c r="H243" s="22">
        <v>102.58</v>
      </c>
      <c r="I243" s="9">
        <v>1.6220000000000001</v>
      </c>
      <c r="J243" s="22">
        <v>3.7149999999999999</v>
      </c>
      <c r="K243" s="13">
        <v>3.673</v>
      </c>
      <c r="L243" s="12">
        <v>9182.5</v>
      </c>
      <c r="M243" s="14">
        <v>115.77</v>
      </c>
      <c r="N243" s="13">
        <v>41.126539000000001</v>
      </c>
      <c r="O243" s="13">
        <v>30.6</v>
      </c>
      <c r="P243" s="13">
        <v>33.515999999999998</v>
      </c>
      <c r="Q243" s="12">
        <v>8374</v>
      </c>
      <c r="R243" s="22">
        <v>0.57820000000000005</v>
      </c>
      <c r="S243" s="22">
        <v>0.84855400000000003</v>
      </c>
      <c r="T243" s="22">
        <v>33.878</v>
      </c>
      <c r="U243" s="22">
        <v>53.820236999999999</v>
      </c>
      <c r="V243" s="22">
        <v>79.387</v>
      </c>
    </row>
    <row r="244" spans="1:22" x14ac:dyDescent="0.3">
      <c r="A244" s="21">
        <v>38777</v>
      </c>
      <c r="B244" s="22">
        <v>44.397432000000002</v>
      </c>
      <c r="C244" s="22">
        <v>8.0175000000000001</v>
      </c>
      <c r="D244" s="23">
        <v>15910</v>
      </c>
      <c r="E244" s="22">
        <v>67.900000000000006</v>
      </c>
      <c r="F244" s="22">
        <v>7.7575000000000003</v>
      </c>
      <c r="G244" s="22">
        <v>1.335091</v>
      </c>
      <c r="H244" s="22">
        <v>102.12</v>
      </c>
      <c r="I244" s="9">
        <v>1.6220000000000001</v>
      </c>
      <c r="J244" s="22">
        <v>3.7505000000000002</v>
      </c>
      <c r="K244" s="13">
        <v>3.6730999999999998</v>
      </c>
      <c r="L244" s="12">
        <v>9370</v>
      </c>
      <c r="M244" s="14">
        <v>117.25</v>
      </c>
      <c r="N244" s="13">
        <v>40.911788000000001</v>
      </c>
      <c r="O244" s="13">
        <v>30.35</v>
      </c>
      <c r="P244" s="13">
        <v>33.552</v>
      </c>
      <c r="Q244" s="12">
        <v>8303</v>
      </c>
      <c r="R244" s="22">
        <v>0.56489999999999996</v>
      </c>
      <c r="S244" s="22">
        <v>0.83235099999999995</v>
      </c>
      <c r="T244" s="22">
        <v>33.723999999999997</v>
      </c>
      <c r="U244" s="22">
        <v>53.812907000000003</v>
      </c>
      <c r="V244" s="22">
        <v>79.792000000000002</v>
      </c>
    </row>
    <row r="245" spans="1:22" x14ac:dyDescent="0.3">
      <c r="A245" s="21">
        <v>38749</v>
      </c>
      <c r="B245" s="22">
        <v>44.266308000000002</v>
      </c>
      <c r="C245" s="22">
        <v>8.0404</v>
      </c>
      <c r="D245" s="23">
        <v>15918</v>
      </c>
      <c r="E245" s="22">
        <v>66.578000000000003</v>
      </c>
      <c r="F245" s="22">
        <v>7.7537000000000003</v>
      </c>
      <c r="G245" s="22">
        <v>1.3527530000000001</v>
      </c>
      <c r="H245" s="22">
        <v>102.11</v>
      </c>
      <c r="I245" s="9">
        <v>1.663</v>
      </c>
      <c r="J245" s="22">
        <v>3.7795000000000001</v>
      </c>
      <c r="K245" s="13">
        <v>3.6720999999999999</v>
      </c>
      <c r="L245" s="12">
        <v>9830</v>
      </c>
      <c r="M245" s="14">
        <v>117.96</v>
      </c>
      <c r="N245" s="13">
        <v>41.044158000000003</v>
      </c>
      <c r="O245" s="13">
        <v>30.05</v>
      </c>
      <c r="P245" s="13">
        <v>33.186</v>
      </c>
      <c r="Q245" s="12">
        <v>8361</v>
      </c>
      <c r="R245" s="22">
        <v>0.56689999999999996</v>
      </c>
      <c r="S245" s="22">
        <v>0.816052</v>
      </c>
      <c r="T245" s="22">
        <v>33.459000000000003</v>
      </c>
      <c r="U245" s="22">
        <v>53.748024000000001</v>
      </c>
      <c r="V245" s="22">
        <v>77.531999999999996</v>
      </c>
    </row>
    <row r="246" spans="1:22" x14ac:dyDescent="0.3">
      <c r="A246" s="21">
        <v>38718</v>
      </c>
      <c r="B246" s="22">
        <v>44.317843000000003</v>
      </c>
      <c r="C246" s="22">
        <v>8.0622000000000007</v>
      </c>
      <c r="D246" s="23">
        <v>15914</v>
      </c>
      <c r="E246" s="22">
        <v>66.224999999999994</v>
      </c>
      <c r="F246" s="22">
        <v>7.7545999999999999</v>
      </c>
      <c r="G246" s="22">
        <v>1.3603749999999999</v>
      </c>
      <c r="H246" s="22">
        <v>102</v>
      </c>
      <c r="I246" s="9">
        <v>1.6913</v>
      </c>
      <c r="J246" s="22">
        <v>3.7745000000000002</v>
      </c>
      <c r="K246" s="13">
        <v>3.673</v>
      </c>
      <c r="L246" s="12">
        <v>10025</v>
      </c>
      <c r="M246" s="14">
        <v>119.81</v>
      </c>
      <c r="N246" s="13">
        <v>41.167287999999999</v>
      </c>
      <c r="O246" s="13">
        <v>29.6</v>
      </c>
      <c r="P246" s="13">
        <v>32.75</v>
      </c>
      <c r="Q246" s="12">
        <v>8348</v>
      </c>
      <c r="R246" s="22">
        <v>0.5544</v>
      </c>
      <c r="S246" s="22">
        <v>0.81354099999999996</v>
      </c>
      <c r="T246" s="22">
        <v>33.232999999999997</v>
      </c>
      <c r="U246" s="22">
        <v>53.577531999999998</v>
      </c>
      <c r="V246" s="22">
        <v>79.387</v>
      </c>
    </row>
    <row r="247" spans="1:22" x14ac:dyDescent="0.3">
      <c r="A247" s="21">
        <v>38687</v>
      </c>
      <c r="B247" s="22">
        <v>45.589696000000004</v>
      </c>
      <c r="C247" s="22">
        <v>8.0701999999999998</v>
      </c>
      <c r="D247" s="23">
        <v>15908</v>
      </c>
      <c r="E247" s="22">
        <v>65.849999999999994</v>
      </c>
      <c r="F247" s="22">
        <v>7.7522000000000002</v>
      </c>
      <c r="G247" s="22">
        <v>1.3592770000000001</v>
      </c>
      <c r="H247" s="22">
        <v>101.88</v>
      </c>
      <c r="I247" s="9">
        <v>1.6938</v>
      </c>
      <c r="J247" s="22">
        <v>3.7749999999999999</v>
      </c>
      <c r="K247" s="13">
        <v>3.6728999999999998</v>
      </c>
      <c r="L247" s="12">
        <v>10122.5</v>
      </c>
      <c r="M247" s="14">
        <v>116.39</v>
      </c>
      <c r="N247" s="13">
        <v>41.701224000000003</v>
      </c>
      <c r="O247" s="13">
        <v>29.25</v>
      </c>
      <c r="P247" s="13">
        <v>31.87</v>
      </c>
      <c r="Q247" s="12">
        <v>8335</v>
      </c>
      <c r="R247" s="22">
        <v>0.56920000000000004</v>
      </c>
      <c r="S247" s="22">
        <v>0.83074599999999998</v>
      </c>
      <c r="T247" s="22">
        <v>32.863999999999997</v>
      </c>
      <c r="U247" s="22">
        <v>52.354548999999999</v>
      </c>
      <c r="V247" s="22">
        <v>76.325999999999993</v>
      </c>
    </row>
    <row r="248" spans="1:22" x14ac:dyDescent="0.3">
      <c r="A248" s="21">
        <v>38657</v>
      </c>
      <c r="B248" s="22">
        <v>45.667115000000003</v>
      </c>
      <c r="C248" s="22">
        <v>8.0779999999999994</v>
      </c>
      <c r="D248" s="23">
        <v>15896</v>
      </c>
      <c r="E248" s="22">
        <v>65.73</v>
      </c>
      <c r="F248" s="22">
        <v>7.7583000000000002</v>
      </c>
      <c r="G248" s="22">
        <v>1.3406169999999999</v>
      </c>
      <c r="H248" s="22">
        <v>101.33</v>
      </c>
      <c r="I248" s="9">
        <v>1.6919999999999999</v>
      </c>
      <c r="J248" s="22">
        <v>3.7690000000000001</v>
      </c>
      <c r="K248" s="13">
        <v>3.6728999999999998</v>
      </c>
      <c r="L248" s="12">
        <v>10300</v>
      </c>
      <c r="M248" s="14">
        <v>113.5</v>
      </c>
      <c r="N248" s="13">
        <v>40.935673999999999</v>
      </c>
      <c r="O248" s="13">
        <v>29.2</v>
      </c>
      <c r="P248" s="13">
        <v>31.65</v>
      </c>
      <c r="Q248" s="12">
        <v>8315</v>
      </c>
      <c r="R248" s="22">
        <v>0.55830000000000002</v>
      </c>
      <c r="S248" s="22">
        <v>0.82207799999999998</v>
      </c>
      <c r="T248" s="22">
        <v>33.159999999999997</v>
      </c>
      <c r="U248" s="22">
        <v>52.990983999999997</v>
      </c>
      <c r="V248" s="22">
        <v>77.908000000000001</v>
      </c>
    </row>
    <row r="249" spans="1:22" x14ac:dyDescent="0.3">
      <c r="A249" s="21">
        <v>38626</v>
      </c>
      <c r="B249" s="22">
        <v>44.789816000000002</v>
      </c>
      <c r="C249" s="22">
        <v>8.0831999999999997</v>
      </c>
      <c r="D249" s="23">
        <v>15900</v>
      </c>
      <c r="E249" s="22">
        <v>65.849999999999994</v>
      </c>
      <c r="F249" s="22">
        <v>7.7713999999999999</v>
      </c>
      <c r="G249" s="22">
        <v>1.3451360000000001</v>
      </c>
      <c r="H249" s="22">
        <v>101.25</v>
      </c>
      <c r="I249" s="9">
        <v>1.6814</v>
      </c>
      <c r="J249" s="22">
        <v>3.7719999999999998</v>
      </c>
      <c r="K249" s="13">
        <v>3.673</v>
      </c>
      <c r="L249" s="12">
        <v>10300</v>
      </c>
      <c r="M249" s="14">
        <v>110.62</v>
      </c>
      <c r="N249" s="13">
        <v>39.811642999999997</v>
      </c>
      <c r="O249" s="13">
        <v>29.1</v>
      </c>
      <c r="P249" s="13">
        <v>31.364999999999998</v>
      </c>
      <c r="Q249" s="12">
        <v>8235</v>
      </c>
      <c r="R249" s="22">
        <v>0.55020000000000002</v>
      </c>
      <c r="S249" s="22">
        <v>0.78791900000000004</v>
      </c>
      <c r="T249" s="22">
        <v>33.029000000000003</v>
      </c>
      <c r="U249" s="22">
        <v>55.182175000000001</v>
      </c>
      <c r="V249" s="22">
        <v>79.435000000000002</v>
      </c>
    </row>
    <row r="250" spans="1:22" x14ac:dyDescent="0.3">
      <c r="A250" s="21">
        <v>38596</v>
      </c>
      <c r="B250" s="22">
        <v>43.853650000000002</v>
      </c>
      <c r="C250" s="22">
        <v>8.0922000000000001</v>
      </c>
      <c r="D250" s="23">
        <v>15872</v>
      </c>
      <c r="E250" s="22">
        <v>65.13</v>
      </c>
      <c r="F250" s="22">
        <v>7.7752999999999997</v>
      </c>
      <c r="G250" s="22">
        <v>1.3401259999999999</v>
      </c>
      <c r="H250" s="22">
        <v>100.7</v>
      </c>
      <c r="I250" s="9">
        <v>1.663</v>
      </c>
      <c r="J250" s="22">
        <v>3.7505000000000002</v>
      </c>
      <c r="K250" s="13">
        <v>3.6728999999999998</v>
      </c>
      <c r="L250" s="12">
        <v>9805</v>
      </c>
      <c r="M250" s="14">
        <v>112.55</v>
      </c>
      <c r="N250" s="13">
        <v>39.537623000000004</v>
      </c>
      <c r="O250" s="13">
        <v>28.75</v>
      </c>
      <c r="P250" s="13">
        <v>31.24</v>
      </c>
      <c r="Q250" s="12">
        <v>8185</v>
      </c>
      <c r="R250" s="22">
        <v>0.52400000000000002</v>
      </c>
      <c r="S250" s="22">
        <v>0.77294799999999997</v>
      </c>
      <c r="T250" s="22">
        <v>33.918999999999997</v>
      </c>
      <c r="U250" s="22">
        <v>56.531314000000002</v>
      </c>
      <c r="V250" s="22">
        <v>82.884</v>
      </c>
    </row>
    <row r="251" spans="1:22" x14ac:dyDescent="0.3">
      <c r="A251" s="21">
        <v>38565</v>
      </c>
      <c r="B251" s="22">
        <v>43.586269999999999</v>
      </c>
      <c r="C251" s="22">
        <v>8.0998000000000001</v>
      </c>
      <c r="D251" s="23">
        <v>15878</v>
      </c>
      <c r="E251" s="22">
        <v>64.900000000000006</v>
      </c>
      <c r="F251" s="22">
        <v>7.7710999999999997</v>
      </c>
      <c r="G251" s="22">
        <v>1.361286</v>
      </c>
      <c r="H251" s="22">
        <v>100.15</v>
      </c>
      <c r="I251" s="9">
        <v>1.6850000000000001</v>
      </c>
      <c r="J251" s="22">
        <v>3.8</v>
      </c>
      <c r="K251" s="13">
        <v>3.673</v>
      </c>
      <c r="L251" s="12">
        <v>9760</v>
      </c>
      <c r="M251" s="14">
        <v>110.81</v>
      </c>
      <c r="N251" s="13">
        <v>38.536887999999998</v>
      </c>
      <c r="O251" s="13">
        <v>28.85</v>
      </c>
      <c r="P251" s="13">
        <v>31.506</v>
      </c>
      <c r="Q251" s="12">
        <v>8140</v>
      </c>
      <c r="R251" s="22">
        <v>0.52910000000000001</v>
      </c>
      <c r="S251" s="22">
        <v>0.75764799999999999</v>
      </c>
      <c r="T251" s="22">
        <v>33.732999999999997</v>
      </c>
      <c r="U251" s="22">
        <v>57.581501000000003</v>
      </c>
      <c r="V251" s="22">
        <v>82.548000000000002</v>
      </c>
    </row>
    <row r="252" spans="1:22" x14ac:dyDescent="0.3">
      <c r="A252" s="21">
        <v>38534</v>
      </c>
      <c r="B252" s="22">
        <v>43.490993000000003</v>
      </c>
      <c r="C252" s="22">
        <v>8.1056000000000008</v>
      </c>
      <c r="D252" s="23">
        <v>15851</v>
      </c>
      <c r="E252" s="22">
        <v>63.787999999999997</v>
      </c>
      <c r="F252" s="22">
        <v>7.7803000000000004</v>
      </c>
      <c r="G252" s="22">
        <v>1.3704909999999999</v>
      </c>
      <c r="H252" s="22">
        <v>99.924999999999997</v>
      </c>
      <c r="I252" s="9">
        <v>1.6664000000000001</v>
      </c>
      <c r="J252" s="22">
        <v>3.8</v>
      </c>
      <c r="K252" s="13">
        <v>3.673</v>
      </c>
      <c r="L252" s="12">
        <v>9518</v>
      </c>
      <c r="M252" s="14">
        <v>108.53</v>
      </c>
      <c r="N252" s="13">
        <v>38.470537</v>
      </c>
      <c r="O252" s="13">
        <v>28.7</v>
      </c>
      <c r="P252" s="13">
        <v>31.08</v>
      </c>
      <c r="Q252" s="12">
        <v>8148</v>
      </c>
      <c r="R252" s="22">
        <v>0.5202</v>
      </c>
      <c r="S252" s="22">
        <v>0.76849299999999998</v>
      </c>
      <c r="T252" s="22">
        <v>34.578000000000003</v>
      </c>
      <c r="U252" s="22">
        <v>56.780574999999999</v>
      </c>
      <c r="V252" s="22">
        <v>83.88</v>
      </c>
    </row>
    <row r="253" spans="1:22" x14ac:dyDescent="0.3">
      <c r="A253" s="21">
        <v>38504</v>
      </c>
      <c r="B253" s="22">
        <v>43.560580000000002</v>
      </c>
      <c r="C253" s="22">
        <v>8.2765000000000004</v>
      </c>
      <c r="D253" s="23">
        <v>15860</v>
      </c>
      <c r="E253" s="22">
        <v>63.73</v>
      </c>
      <c r="F253" s="22">
        <v>7.7952000000000004</v>
      </c>
      <c r="G253" s="22">
        <v>1.363823</v>
      </c>
      <c r="H253" s="22">
        <v>99.775000000000006</v>
      </c>
      <c r="I253" s="9">
        <v>1.6377999999999999</v>
      </c>
      <c r="J253" s="22">
        <v>3.8</v>
      </c>
      <c r="K253" s="13">
        <v>3.6726000000000001</v>
      </c>
      <c r="L253" s="12">
        <v>9570</v>
      </c>
      <c r="M253" s="14">
        <v>104.67</v>
      </c>
      <c r="N253" s="13">
        <v>38.75873</v>
      </c>
      <c r="O253" s="13">
        <v>28.55</v>
      </c>
      <c r="P253" s="13">
        <v>31.745000000000001</v>
      </c>
      <c r="Q253" s="12">
        <v>8144</v>
      </c>
      <c r="R253" s="22">
        <v>0.53100000000000003</v>
      </c>
      <c r="S253" s="22">
        <v>0.76219899999999996</v>
      </c>
      <c r="T253" s="22">
        <v>33.831000000000003</v>
      </c>
      <c r="U253" s="22">
        <v>57.302661000000001</v>
      </c>
      <c r="V253" s="22">
        <v>82.206999999999994</v>
      </c>
    </row>
    <row r="254" spans="1:22" x14ac:dyDescent="0.3">
      <c r="A254" s="21">
        <v>38473</v>
      </c>
      <c r="B254" s="22">
        <v>43.471815999999997</v>
      </c>
      <c r="C254" s="22">
        <v>8.2765000000000004</v>
      </c>
      <c r="D254" s="23">
        <v>15828</v>
      </c>
      <c r="E254" s="22">
        <v>63.6</v>
      </c>
      <c r="F254" s="22">
        <v>7.7994000000000003</v>
      </c>
      <c r="G254" s="22">
        <v>1.3133090000000001</v>
      </c>
      <c r="H254" s="22">
        <v>99.7</v>
      </c>
      <c r="I254" s="9">
        <v>1.6512</v>
      </c>
      <c r="J254" s="22">
        <v>3.8</v>
      </c>
      <c r="K254" s="13">
        <v>3.6728000000000001</v>
      </c>
      <c r="L254" s="12">
        <v>9471</v>
      </c>
      <c r="M254" s="14">
        <v>107.11</v>
      </c>
      <c r="N254" s="13">
        <v>39.205801999999998</v>
      </c>
      <c r="O254" s="13">
        <v>28.25</v>
      </c>
      <c r="P254" s="13">
        <v>31.79</v>
      </c>
      <c r="Q254" s="12">
        <v>8012</v>
      </c>
      <c r="R254" s="22">
        <v>0.5212</v>
      </c>
      <c r="S254" s="22">
        <v>0.74591099999999999</v>
      </c>
      <c r="T254" s="22">
        <v>33.845999999999997</v>
      </c>
      <c r="U254" s="22">
        <v>58.890084000000002</v>
      </c>
      <c r="V254" s="22">
        <v>82.978999999999999</v>
      </c>
    </row>
    <row r="255" spans="1:22" x14ac:dyDescent="0.3">
      <c r="A255" s="21">
        <v>38443</v>
      </c>
      <c r="B255" s="22">
        <v>43.694350999999997</v>
      </c>
      <c r="C255" s="22">
        <v>8.2765000000000004</v>
      </c>
      <c r="D255" s="23">
        <v>15819</v>
      </c>
      <c r="E255" s="22">
        <v>63.5</v>
      </c>
      <c r="F255" s="22">
        <v>7.7988</v>
      </c>
      <c r="G255" s="22">
        <v>1.3143830000000001</v>
      </c>
      <c r="H255" s="22">
        <v>99.5</v>
      </c>
      <c r="I255" s="9">
        <v>1.6224000000000001</v>
      </c>
      <c r="J255" s="22">
        <v>3.8</v>
      </c>
      <c r="K255" s="13">
        <v>3.6724999999999999</v>
      </c>
      <c r="L255" s="12">
        <v>9264.5</v>
      </c>
      <c r="M255" s="14">
        <v>104.58</v>
      </c>
      <c r="N255" s="13">
        <v>40.308601000000003</v>
      </c>
      <c r="O255" s="13">
        <v>28.39</v>
      </c>
      <c r="P255" s="13">
        <v>32.21</v>
      </c>
      <c r="Q255" s="12">
        <v>7976.5</v>
      </c>
      <c r="R255" s="22">
        <v>0.52329999999999999</v>
      </c>
      <c r="S255" s="22">
        <v>0.76985899999999996</v>
      </c>
      <c r="T255" s="22">
        <v>34.351999999999997</v>
      </c>
      <c r="U255" s="22">
        <v>58.538628000000003</v>
      </c>
      <c r="V255" s="22">
        <v>85.037000000000006</v>
      </c>
    </row>
    <row r="256" spans="1:22" x14ac:dyDescent="0.3">
      <c r="A256" s="21">
        <v>38412</v>
      </c>
      <c r="B256" s="22">
        <v>43.621073000000003</v>
      </c>
      <c r="C256" s="22">
        <v>8.2765000000000004</v>
      </c>
      <c r="D256" s="23">
        <v>15803</v>
      </c>
      <c r="E256" s="22">
        <v>63.125</v>
      </c>
      <c r="F256" s="22">
        <v>7.7995999999999999</v>
      </c>
      <c r="G256" s="22">
        <v>1.3548469999999999</v>
      </c>
      <c r="H256" s="22">
        <v>99.05</v>
      </c>
      <c r="I256" s="9">
        <v>1.6378999999999999</v>
      </c>
      <c r="J256" s="22">
        <v>3.8</v>
      </c>
      <c r="K256" s="13">
        <v>3.6730999999999998</v>
      </c>
      <c r="L256" s="12">
        <v>9165</v>
      </c>
      <c r="M256" s="14">
        <v>103.67</v>
      </c>
      <c r="N256" s="13">
        <v>41.296944000000003</v>
      </c>
      <c r="O256" s="13">
        <v>28.47</v>
      </c>
      <c r="P256" s="13">
        <v>33.445</v>
      </c>
      <c r="Q256" s="12">
        <v>7992</v>
      </c>
      <c r="R256" s="22">
        <v>0.54400000000000004</v>
      </c>
      <c r="S256" s="22">
        <v>0.80083400000000005</v>
      </c>
      <c r="T256" s="22">
        <v>33.94</v>
      </c>
      <c r="U256" s="22">
        <v>57.122242999999997</v>
      </c>
      <c r="V256" s="22">
        <v>83.322999999999993</v>
      </c>
    </row>
    <row r="257" spans="1:22" x14ac:dyDescent="0.3">
      <c r="A257" s="21">
        <v>38384</v>
      </c>
      <c r="B257" s="22">
        <v>43.629637000000002</v>
      </c>
      <c r="C257" s="22">
        <v>8.2765000000000004</v>
      </c>
      <c r="D257" s="23">
        <v>15786</v>
      </c>
      <c r="E257" s="22">
        <v>61.024999999999999</v>
      </c>
      <c r="F257" s="22">
        <v>7.7728000000000002</v>
      </c>
      <c r="G257" s="22">
        <v>1.3954979999999999</v>
      </c>
      <c r="H257" s="22">
        <v>104.47499999999999</v>
      </c>
      <c r="I257" s="9">
        <v>1.6332</v>
      </c>
      <c r="J257" s="22">
        <v>3.8</v>
      </c>
      <c r="K257" s="13">
        <v>3.673</v>
      </c>
      <c r="L257" s="12">
        <v>9282.5</v>
      </c>
      <c r="M257" s="14">
        <v>102.47</v>
      </c>
      <c r="N257" s="13">
        <v>41.472130999999997</v>
      </c>
      <c r="O257" s="13">
        <v>28.524999999999999</v>
      </c>
      <c r="P257" s="13">
        <v>33.97</v>
      </c>
      <c r="Q257" s="12">
        <v>7988</v>
      </c>
      <c r="R257" s="22">
        <v>0.55189999999999995</v>
      </c>
      <c r="S257" s="22">
        <v>0.81852100000000005</v>
      </c>
      <c r="T257" s="22">
        <v>33.408000000000001</v>
      </c>
      <c r="U257" s="22">
        <v>56.220224000000002</v>
      </c>
      <c r="V257" s="22">
        <v>83.209000000000003</v>
      </c>
    </row>
    <row r="258" spans="1:22" x14ac:dyDescent="0.3">
      <c r="A258" s="21">
        <v>38353</v>
      </c>
      <c r="B258" s="22">
        <v>43.672224</v>
      </c>
      <c r="C258" s="22">
        <v>8.2765000000000004</v>
      </c>
      <c r="D258" s="23">
        <v>15773</v>
      </c>
      <c r="E258" s="22">
        <v>59.685000000000002</v>
      </c>
      <c r="F258" s="22">
        <v>7.7752999999999997</v>
      </c>
      <c r="G258" s="22">
        <v>1.4498759999999999</v>
      </c>
      <c r="H258" s="22">
        <v>104.825</v>
      </c>
      <c r="I258" s="9">
        <v>1.6376999999999999</v>
      </c>
      <c r="J258" s="22">
        <v>3.8</v>
      </c>
      <c r="K258" s="13">
        <v>3.673</v>
      </c>
      <c r="L258" s="12">
        <v>9000</v>
      </c>
      <c r="M258" s="14">
        <v>102.91</v>
      </c>
      <c r="N258" s="13">
        <v>41.497435000000003</v>
      </c>
      <c r="O258" s="13">
        <v>28.3</v>
      </c>
      <c r="P258" s="13">
        <v>33.9</v>
      </c>
      <c r="Q258" s="12">
        <v>7967</v>
      </c>
      <c r="R258" s="22">
        <v>0.55479999999999996</v>
      </c>
      <c r="S258" s="22">
        <v>0.82136799999999999</v>
      </c>
      <c r="T258" s="22">
        <v>32.636000000000003</v>
      </c>
      <c r="U258" s="22">
        <v>56.377442000000002</v>
      </c>
      <c r="V258" s="22">
        <v>83.475999999999999</v>
      </c>
    </row>
    <row r="259" spans="1:22" x14ac:dyDescent="0.3">
      <c r="A259" s="21">
        <v>38322</v>
      </c>
      <c r="B259" s="22">
        <v>43.924765999999998</v>
      </c>
      <c r="C259" s="22">
        <v>8.2765000000000004</v>
      </c>
      <c r="D259" s="23">
        <v>15773</v>
      </c>
      <c r="E259" s="22">
        <v>59.95</v>
      </c>
      <c r="F259" s="22">
        <v>7.7816999999999998</v>
      </c>
      <c r="G259" s="22">
        <v>1.4895670000000001</v>
      </c>
      <c r="H259" s="22">
        <v>104.15</v>
      </c>
      <c r="I259" s="9">
        <v>1.6625000000000001</v>
      </c>
      <c r="J259" s="22">
        <v>3.8</v>
      </c>
      <c r="K259" s="13">
        <v>3.673</v>
      </c>
      <c r="L259" s="12">
        <v>9087.5</v>
      </c>
      <c r="M259" s="14">
        <v>105.79</v>
      </c>
      <c r="N259" s="13">
        <v>40.710123000000003</v>
      </c>
      <c r="O259" s="13">
        <v>28.3</v>
      </c>
      <c r="P259" s="13">
        <v>33.99</v>
      </c>
      <c r="Q259" s="12">
        <v>7951.5</v>
      </c>
      <c r="R259" s="22">
        <v>0.5494</v>
      </c>
      <c r="S259" s="22">
        <v>0.81535500000000005</v>
      </c>
      <c r="T259" s="22">
        <v>32.585000000000001</v>
      </c>
      <c r="U259" s="22">
        <v>56.226557</v>
      </c>
      <c r="V259" s="22">
        <v>84.405000000000001</v>
      </c>
    </row>
    <row r="260" spans="1:22" x14ac:dyDescent="0.3">
      <c r="A260" s="21">
        <v>38292</v>
      </c>
      <c r="B260" s="22">
        <v>45.061787000000002</v>
      </c>
      <c r="C260" s="22">
        <v>8.2765000000000004</v>
      </c>
      <c r="D260" s="23">
        <v>15750</v>
      </c>
      <c r="E260" s="22">
        <v>59.5</v>
      </c>
      <c r="F260" s="22">
        <v>7.7972000000000001</v>
      </c>
      <c r="G260" s="22">
        <v>1.504788</v>
      </c>
      <c r="H260" s="22">
        <v>103.58</v>
      </c>
      <c r="I260" s="9">
        <v>1.6839</v>
      </c>
      <c r="J260" s="22">
        <v>3.8</v>
      </c>
      <c r="K260" s="13">
        <v>3.673</v>
      </c>
      <c r="L260" s="12">
        <v>9149.5</v>
      </c>
      <c r="M260" s="14">
        <v>110.03</v>
      </c>
      <c r="N260" s="13">
        <v>40.764352000000002</v>
      </c>
      <c r="O260" s="13">
        <v>28.05</v>
      </c>
      <c r="P260" s="13">
        <v>33.57</v>
      </c>
      <c r="Q260" s="12">
        <v>7933</v>
      </c>
      <c r="R260" s="22">
        <v>0.54959999999999998</v>
      </c>
      <c r="S260" s="22">
        <v>0.82355800000000001</v>
      </c>
      <c r="T260" s="22">
        <v>32.110999999999997</v>
      </c>
      <c r="U260" s="22">
        <v>55.313257</v>
      </c>
      <c r="V260" s="22">
        <v>83.644999999999996</v>
      </c>
    </row>
    <row r="261" spans="1:22" x14ac:dyDescent="0.3">
      <c r="A261" s="21">
        <v>38261</v>
      </c>
      <c r="B261" s="22">
        <v>45.736904000000003</v>
      </c>
      <c r="C261" s="22">
        <v>8.2765000000000004</v>
      </c>
      <c r="D261" s="23">
        <v>15745</v>
      </c>
      <c r="E261" s="22">
        <v>59.35</v>
      </c>
      <c r="F261" s="22">
        <v>7.7999000000000001</v>
      </c>
      <c r="G261" s="22">
        <v>1.4783679999999999</v>
      </c>
      <c r="H261" s="22">
        <v>103.125</v>
      </c>
      <c r="I261" s="9">
        <v>1.7108000000000001</v>
      </c>
      <c r="J261" s="22">
        <v>3.8</v>
      </c>
      <c r="K261" s="13">
        <v>3.673</v>
      </c>
      <c r="L261" s="12">
        <v>9367.5</v>
      </c>
      <c r="M261" s="14">
        <v>109.14</v>
      </c>
      <c r="N261" s="13">
        <v>40.451337000000002</v>
      </c>
      <c r="O261" s="13">
        <v>28.2</v>
      </c>
      <c r="P261" s="13">
        <v>33.365000000000002</v>
      </c>
      <c r="Q261" s="12">
        <v>7927</v>
      </c>
      <c r="R261" s="22">
        <v>0.54579999999999995</v>
      </c>
      <c r="S261" s="22">
        <v>0.83292600000000006</v>
      </c>
      <c r="T261" s="22">
        <v>32.524999999999999</v>
      </c>
      <c r="U261" s="22">
        <v>54.148763000000002</v>
      </c>
      <c r="V261" s="22">
        <v>83.302999999999997</v>
      </c>
    </row>
    <row r="262" spans="1:22" x14ac:dyDescent="0.3">
      <c r="A262" s="21">
        <v>38231</v>
      </c>
      <c r="B262" s="22">
        <v>46.015847999999998</v>
      </c>
      <c r="C262" s="22">
        <v>8.2766000000000002</v>
      </c>
      <c r="D262" s="23">
        <v>15760</v>
      </c>
      <c r="E262" s="22">
        <v>59.35</v>
      </c>
      <c r="F262" s="22">
        <v>7.7991999999999999</v>
      </c>
      <c r="G262" s="22">
        <v>1.454699</v>
      </c>
      <c r="H262" s="22">
        <v>103.625</v>
      </c>
      <c r="I262" s="9">
        <v>1.7183999999999999</v>
      </c>
      <c r="J262" s="22">
        <v>3.8</v>
      </c>
      <c r="K262" s="13">
        <v>3.6730999999999998</v>
      </c>
      <c r="L262" s="12">
        <v>9142</v>
      </c>
      <c r="M262" s="14">
        <v>111.46</v>
      </c>
      <c r="N262" s="13">
        <v>39.431696000000002</v>
      </c>
      <c r="O262" s="13">
        <v>27.45</v>
      </c>
      <c r="P262" s="13">
        <v>33.21</v>
      </c>
      <c r="Q262" s="12">
        <v>7925</v>
      </c>
      <c r="R262" s="22">
        <v>0.56200000000000006</v>
      </c>
      <c r="S262" s="22">
        <v>0.83445999999999998</v>
      </c>
      <c r="T262" s="22">
        <v>32.052</v>
      </c>
      <c r="U262" s="22">
        <v>52.790295999999998</v>
      </c>
      <c r="V262" s="22">
        <v>79.117000000000004</v>
      </c>
    </row>
    <row r="263" spans="1:22" x14ac:dyDescent="0.3">
      <c r="A263" s="21">
        <v>38200</v>
      </c>
      <c r="B263" s="22">
        <v>46.302089000000002</v>
      </c>
      <c r="C263" s="22">
        <v>8.2766000000000002</v>
      </c>
      <c r="D263" s="23">
        <v>15748</v>
      </c>
      <c r="E263" s="22">
        <v>59.65</v>
      </c>
      <c r="F263" s="22">
        <v>7.7996999999999996</v>
      </c>
      <c r="G263" s="22">
        <v>1.4939899999999999</v>
      </c>
      <c r="H263" s="22">
        <v>102.35</v>
      </c>
      <c r="I263" s="9">
        <v>1.7178</v>
      </c>
      <c r="J263" s="22">
        <v>3.8</v>
      </c>
      <c r="K263" s="13">
        <v>3.6728000000000001</v>
      </c>
      <c r="L263" s="12">
        <v>9395</v>
      </c>
      <c r="M263" s="14">
        <v>108.89</v>
      </c>
      <c r="N263" s="13">
        <v>39.315218000000002</v>
      </c>
      <c r="O263" s="13">
        <v>26.55</v>
      </c>
      <c r="P263" s="13">
        <v>32.950000000000003</v>
      </c>
      <c r="Q263" s="12">
        <v>7925</v>
      </c>
      <c r="R263" s="22">
        <v>0.54169999999999996</v>
      </c>
      <c r="S263" s="22">
        <v>0.81559800000000005</v>
      </c>
      <c r="T263" s="22">
        <v>33.238999999999997</v>
      </c>
      <c r="U263" s="22">
        <v>55.179537000000003</v>
      </c>
      <c r="V263" s="22">
        <v>80.016999999999996</v>
      </c>
    </row>
    <row r="264" spans="1:22" x14ac:dyDescent="0.3">
      <c r="A264" s="21">
        <v>38169</v>
      </c>
      <c r="B264" s="22">
        <v>45.84272</v>
      </c>
      <c r="C264" s="22">
        <v>8.2768999999999995</v>
      </c>
      <c r="D264" s="23">
        <v>15721.5</v>
      </c>
      <c r="E264" s="22">
        <v>59.1</v>
      </c>
      <c r="F264" s="22">
        <v>7.7938999999999998</v>
      </c>
      <c r="G264" s="22">
        <v>1.514702</v>
      </c>
      <c r="H264" s="22">
        <v>99.2</v>
      </c>
      <c r="I264" s="9">
        <v>1.6975</v>
      </c>
      <c r="J264" s="22">
        <v>3.8</v>
      </c>
      <c r="K264" s="13">
        <v>3.6732</v>
      </c>
      <c r="L264" s="12">
        <v>9267.5</v>
      </c>
      <c r="M264" s="14">
        <v>109.52</v>
      </c>
      <c r="N264" s="13">
        <v>39.001725999999998</v>
      </c>
      <c r="O264" s="13">
        <v>25.5</v>
      </c>
      <c r="P264" s="13">
        <v>33.25</v>
      </c>
      <c r="Q264" s="12">
        <v>7924</v>
      </c>
      <c r="R264" s="22">
        <v>0.5353</v>
      </c>
      <c r="S264" s="22">
        <v>0.79081900000000005</v>
      </c>
      <c r="T264" s="22">
        <v>34.976999999999997</v>
      </c>
      <c r="U264" s="22">
        <v>57.084246</v>
      </c>
      <c r="V264" s="22">
        <v>84.444999999999993</v>
      </c>
    </row>
    <row r="265" spans="1:22" x14ac:dyDescent="0.3">
      <c r="A265" s="21">
        <v>38139</v>
      </c>
      <c r="B265" s="22">
        <v>45.551869000000003</v>
      </c>
      <c r="C265" s="22">
        <v>8.2766000000000002</v>
      </c>
      <c r="D265" s="23">
        <v>15741</v>
      </c>
      <c r="E265" s="22">
        <v>59.125</v>
      </c>
      <c r="F265" s="22">
        <v>7.7998000000000003</v>
      </c>
      <c r="G265" s="22">
        <v>1.366552</v>
      </c>
      <c r="H265" s="22">
        <v>98.3</v>
      </c>
      <c r="I265" s="9">
        <v>1.7030000000000001</v>
      </c>
      <c r="J265" s="22">
        <v>3.8</v>
      </c>
      <c r="K265" s="13">
        <v>3.6730999999999998</v>
      </c>
      <c r="L265" s="12">
        <v>8783</v>
      </c>
      <c r="M265" s="14">
        <v>110.41</v>
      </c>
      <c r="N265" s="13">
        <v>39.157677999999997</v>
      </c>
      <c r="O265" s="13">
        <v>25.4</v>
      </c>
      <c r="P265" s="13">
        <v>33.299999999999997</v>
      </c>
      <c r="Q265" s="12">
        <v>1750</v>
      </c>
      <c r="R265" s="22">
        <v>0.54820000000000002</v>
      </c>
      <c r="S265" s="22">
        <v>0.79289100000000001</v>
      </c>
      <c r="T265" s="22">
        <v>34.579000000000001</v>
      </c>
      <c r="U265" s="22">
        <v>57.346519999999998</v>
      </c>
      <c r="V265" s="22">
        <v>82.549000000000007</v>
      </c>
    </row>
    <row r="266" spans="1:22" x14ac:dyDescent="0.3">
      <c r="A266" s="21">
        <v>38108</v>
      </c>
      <c r="B266" s="22">
        <v>45.097864000000001</v>
      </c>
      <c r="C266" s="22">
        <v>8.2767999999999997</v>
      </c>
      <c r="D266" s="23">
        <v>15717.5</v>
      </c>
      <c r="E266" s="22">
        <v>59.05</v>
      </c>
      <c r="F266" s="22">
        <v>7.7927</v>
      </c>
      <c r="G266" s="22">
        <v>1.3215140000000001</v>
      </c>
      <c r="H266" s="22">
        <v>97.6</v>
      </c>
      <c r="I266" s="9">
        <v>1.6741999999999999</v>
      </c>
      <c r="J266" s="22">
        <v>3.8</v>
      </c>
      <c r="K266" s="13">
        <v>3.673</v>
      </c>
      <c r="L266" s="12">
        <v>8563.5</v>
      </c>
      <c r="M266" s="14">
        <v>104.21</v>
      </c>
      <c r="N266" s="13">
        <v>39.637656999999997</v>
      </c>
      <c r="O266" s="13">
        <v>26.2</v>
      </c>
      <c r="P266" s="13">
        <v>33.96</v>
      </c>
      <c r="Q266" s="12">
        <v>1750</v>
      </c>
      <c r="R266" s="22">
        <v>0.56000000000000005</v>
      </c>
      <c r="S266" s="22">
        <v>0.814114</v>
      </c>
      <c r="T266" s="22">
        <v>34.302999999999997</v>
      </c>
      <c r="U266" s="22">
        <v>55.792166000000002</v>
      </c>
      <c r="V266" s="22">
        <v>81.47</v>
      </c>
    </row>
    <row r="267" spans="1:22" x14ac:dyDescent="0.3">
      <c r="A267" s="21">
        <v>38078</v>
      </c>
      <c r="B267" s="22">
        <v>44.047398999999999</v>
      </c>
      <c r="C267" s="22">
        <v>8.2771000000000008</v>
      </c>
      <c r="D267" s="23">
        <v>15721</v>
      </c>
      <c r="E267" s="22">
        <v>58.9</v>
      </c>
      <c r="F267" s="22">
        <v>7.7842000000000002</v>
      </c>
      <c r="G267" s="22">
        <v>1.330573</v>
      </c>
      <c r="H267" s="22">
        <v>98.584999999999994</v>
      </c>
      <c r="I267" s="9">
        <v>1.6977</v>
      </c>
      <c r="J267" s="22">
        <v>3.8</v>
      </c>
      <c r="K267" s="13">
        <v>3.6728000000000001</v>
      </c>
      <c r="L267" s="12">
        <v>8455</v>
      </c>
      <c r="M267" s="14">
        <v>109.13</v>
      </c>
      <c r="N267" s="13">
        <v>39.870109999999997</v>
      </c>
      <c r="O267" s="13">
        <v>28.05</v>
      </c>
      <c r="P267" s="13">
        <v>34.15</v>
      </c>
      <c r="Q267" s="12">
        <v>1750</v>
      </c>
      <c r="R267" s="22">
        <v>0.58050000000000002</v>
      </c>
      <c r="S267" s="22">
        <v>0.85476700000000005</v>
      </c>
      <c r="T267" s="22">
        <v>33.149000000000001</v>
      </c>
      <c r="U267" s="22">
        <v>53.294848999999999</v>
      </c>
      <c r="V267" s="22">
        <v>78.834000000000003</v>
      </c>
    </row>
    <row r="268" spans="1:22" x14ac:dyDescent="0.3">
      <c r="A268" s="21">
        <v>38047</v>
      </c>
      <c r="B268" s="22">
        <v>45.000211999999998</v>
      </c>
      <c r="C268" s="22">
        <v>8.2771000000000008</v>
      </c>
      <c r="D268" s="23">
        <v>15754</v>
      </c>
      <c r="E268" s="22">
        <v>58.85</v>
      </c>
      <c r="F268" s="22">
        <v>7.7765000000000004</v>
      </c>
      <c r="G268" s="22">
        <v>1.346398</v>
      </c>
      <c r="H268" s="22">
        <v>97.28</v>
      </c>
      <c r="I268" s="9">
        <v>1.6938</v>
      </c>
      <c r="J268" s="22">
        <v>3.8</v>
      </c>
      <c r="K268" s="13">
        <v>3.6728000000000001</v>
      </c>
      <c r="L268" s="12">
        <v>8458.5</v>
      </c>
      <c r="M268" s="14">
        <v>105.71</v>
      </c>
      <c r="N268" s="13">
        <v>39.692819</v>
      </c>
      <c r="O268" s="13">
        <v>28.3</v>
      </c>
      <c r="P268" s="13">
        <v>33.93</v>
      </c>
      <c r="Q268" s="12">
        <v>1750</v>
      </c>
      <c r="R268" s="22">
        <v>0.58989999999999998</v>
      </c>
      <c r="S268" s="22">
        <v>0.85531999999999997</v>
      </c>
      <c r="T268" s="22">
        <v>32.097000000000001</v>
      </c>
      <c r="U268" s="22">
        <v>52.941954000000003</v>
      </c>
      <c r="V268" s="22">
        <v>76.823999999999998</v>
      </c>
    </row>
    <row r="269" spans="1:22" x14ac:dyDescent="0.3">
      <c r="A269" s="21">
        <v>38018</v>
      </c>
      <c r="B269" s="22">
        <v>45.139353999999997</v>
      </c>
      <c r="C269" s="22">
        <v>8.2768999999999995</v>
      </c>
      <c r="D269" s="23">
        <v>15695</v>
      </c>
      <c r="E269" s="22">
        <v>58.674999999999997</v>
      </c>
      <c r="F269" s="22">
        <v>7.7637</v>
      </c>
      <c r="G269" s="22">
        <v>1.4340280000000001</v>
      </c>
      <c r="H269" s="22">
        <v>96.55</v>
      </c>
      <c r="I269" s="9">
        <v>1.698</v>
      </c>
      <c r="J269" s="22">
        <v>3.8</v>
      </c>
      <c r="K269" s="13">
        <v>3.6728999999999998</v>
      </c>
      <c r="L269" s="12">
        <v>8422.5</v>
      </c>
      <c r="M269" s="14">
        <v>107.45</v>
      </c>
      <c r="N269" s="13">
        <v>40.426895999999999</v>
      </c>
      <c r="O269" s="13">
        <v>28.5</v>
      </c>
      <c r="P269" s="13">
        <v>33.734999999999999</v>
      </c>
      <c r="Q269" s="12">
        <v>1750</v>
      </c>
      <c r="R269" s="22">
        <v>0.6018</v>
      </c>
      <c r="S269" s="22">
        <v>0.89164299999999996</v>
      </c>
      <c r="T269" s="22">
        <v>31.062000000000001</v>
      </c>
      <c r="U269" s="22">
        <v>51.324706999999997</v>
      </c>
      <c r="V269" s="22">
        <v>75.837999999999994</v>
      </c>
    </row>
    <row r="270" spans="1:22" x14ac:dyDescent="0.3">
      <c r="A270" s="21">
        <v>37987</v>
      </c>
      <c r="B270" s="22">
        <v>45.466614999999997</v>
      </c>
      <c r="C270" s="22">
        <v>8.2767999999999997</v>
      </c>
      <c r="D270" s="23">
        <v>15642</v>
      </c>
      <c r="E270" s="22">
        <v>58.575000000000003</v>
      </c>
      <c r="F270" s="22">
        <v>7.7647000000000004</v>
      </c>
      <c r="G270" s="22">
        <v>1.475778</v>
      </c>
      <c r="H270" s="22">
        <v>96.424999999999997</v>
      </c>
      <c r="I270" s="9">
        <v>1.7235</v>
      </c>
      <c r="J270" s="22">
        <v>3.8</v>
      </c>
      <c r="K270" s="13">
        <v>3.6728000000000001</v>
      </c>
      <c r="L270" s="12">
        <v>8505</v>
      </c>
      <c r="M270" s="14">
        <v>109.61</v>
      </c>
      <c r="N270" s="13">
        <v>41.618830000000003</v>
      </c>
      <c r="O270" s="13">
        <v>28.85</v>
      </c>
      <c r="P270" s="13">
        <v>34.07</v>
      </c>
      <c r="Q270" s="12">
        <v>1750</v>
      </c>
      <c r="R270" s="22">
        <v>0.63390000000000002</v>
      </c>
      <c r="S270" s="22">
        <v>0.898038</v>
      </c>
      <c r="T270" s="22">
        <v>29.696999999999999</v>
      </c>
      <c r="U270" s="22">
        <v>51.199415999999999</v>
      </c>
      <c r="V270" s="22">
        <v>72.341999999999999</v>
      </c>
    </row>
    <row r="271" spans="1:22" x14ac:dyDescent="0.3">
      <c r="A271" s="21">
        <v>37956</v>
      </c>
      <c r="B271" s="22">
        <v>45.414444000000003</v>
      </c>
      <c r="C271" s="22">
        <v>8.2766999999999999</v>
      </c>
      <c r="D271" s="23">
        <v>15626</v>
      </c>
      <c r="E271" s="22">
        <v>58.274999999999999</v>
      </c>
      <c r="F271" s="22">
        <v>7.7647000000000004</v>
      </c>
      <c r="G271" s="22">
        <v>1.4360869999999999</v>
      </c>
      <c r="H271" s="22">
        <v>94.76</v>
      </c>
      <c r="I271" s="9">
        <v>1.7395</v>
      </c>
      <c r="J271" s="22">
        <v>3.8</v>
      </c>
      <c r="K271" s="13">
        <v>3.673</v>
      </c>
      <c r="L271" s="12">
        <v>8496.5</v>
      </c>
      <c r="M271" s="14">
        <v>109.95</v>
      </c>
      <c r="N271" s="13">
        <v>41.692281999999999</v>
      </c>
      <c r="O271" s="13">
        <v>29.25</v>
      </c>
      <c r="P271" s="13">
        <v>34.395000000000003</v>
      </c>
      <c r="Q271" s="12">
        <v>1750</v>
      </c>
      <c r="R271" s="22">
        <v>0.62109999999999999</v>
      </c>
      <c r="S271" s="22">
        <v>0.87943899999999997</v>
      </c>
      <c r="T271" s="22">
        <v>29.963000000000001</v>
      </c>
      <c r="U271" s="22">
        <v>52.478624000000003</v>
      </c>
      <c r="V271" s="22">
        <v>74.341999999999999</v>
      </c>
    </row>
    <row r="272" spans="1:22" x14ac:dyDescent="0.3">
      <c r="A272" s="21">
        <v>37926</v>
      </c>
      <c r="B272" s="22">
        <v>45.541876000000002</v>
      </c>
      <c r="C272" s="22">
        <v>8.2769999999999992</v>
      </c>
      <c r="D272" s="23">
        <v>15642</v>
      </c>
      <c r="E272" s="22">
        <v>58.3</v>
      </c>
      <c r="F272" s="22">
        <v>7.7446000000000002</v>
      </c>
      <c r="G272" s="22">
        <v>1.378546</v>
      </c>
      <c r="H272" s="22">
        <v>94.36</v>
      </c>
      <c r="I272" s="9">
        <v>1.7296</v>
      </c>
      <c r="J272" s="22">
        <v>3.8</v>
      </c>
      <c r="K272" s="13">
        <v>3.673</v>
      </c>
      <c r="L272" s="12">
        <v>8395</v>
      </c>
      <c r="M272" s="14">
        <v>111.48</v>
      </c>
      <c r="N272" s="13">
        <v>41.663657000000001</v>
      </c>
      <c r="O272" s="13">
        <v>29.15</v>
      </c>
      <c r="P272" s="13">
        <v>34.56</v>
      </c>
      <c r="Q272" s="12">
        <v>1750</v>
      </c>
      <c r="R272" s="22">
        <v>0.60419999999999996</v>
      </c>
      <c r="S272" s="22">
        <v>0.85752600000000001</v>
      </c>
      <c r="T272" s="22">
        <v>31.263999999999999</v>
      </c>
      <c r="U272" s="22">
        <v>54.555982</v>
      </c>
      <c r="V272" s="22">
        <v>76.784999999999997</v>
      </c>
    </row>
    <row r="273" spans="1:22" x14ac:dyDescent="0.3">
      <c r="A273" s="21">
        <v>37895</v>
      </c>
      <c r="B273" s="22">
        <v>45.281046000000003</v>
      </c>
      <c r="C273" s="22">
        <v>8.2767999999999997</v>
      </c>
      <c r="D273" s="23">
        <v>15554</v>
      </c>
      <c r="E273" s="22">
        <v>58.35</v>
      </c>
      <c r="F273" s="22">
        <v>7.7992999999999997</v>
      </c>
      <c r="G273" s="22">
        <v>1.404245</v>
      </c>
      <c r="H273" s="22">
        <v>96.83</v>
      </c>
      <c r="I273" s="9">
        <v>1.7517</v>
      </c>
      <c r="J273" s="22">
        <v>3.8</v>
      </c>
      <c r="K273" s="13">
        <v>3.6728000000000001</v>
      </c>
      <c r="L273" s="12">
        <v>8485</v>
      </c>
      <c r="M273" s="14">
        <v>116.89</v>
      </c>
      <c r="N273" s="13">
        <v>42.025613</v>
      </c>
      <c r="O273" s="13">
        <v>27.12</v>
      </c>
      <c r="P273" s="13">
        <v>34.65</v>
      </c>
      <c r="Q273" s="12">
        <v>1750</v>
      </c>
      <c r="R273" s="22">
        <v>0.61109999999999998</v>
      </c>
      <c r="S273" s="22">
        <v>0.86365400000000003</v>
      </c>
      <c r="T273" s="22">
        <v>30.757999999999999</v>
      </c>
      <c r="U273" s="22">
        <v>54.281959999999998</v>
      </c>
      <c r="V273" s="22">
        <v>76.944000000000003</v>
      </c>
    </row>
    <row r="274" spans="1:22" x14ac:dyDescent="0.3">
      <c r="A274" s="21">
        <v>37865</v>
      </c>
      <c r="B274" s="22">
        <v>45.743667000000002</v>
      </c>
      <c r="C274" s="22">
        <v>8.2769999999999992</v>
      </c>
      <c r="D274" s="23">
        <v>15520</v>
      </c>
      <c r="E274" s="22">
        <v>58.405000000000001</v>
      </c>
      <c r="F274" s="22">
        <v>7.7992999999999997</v>
      </c>
      <c r="G274" s="22">
        <v>1.404234</v>
      </c>
      <c r="H274" s="22">
        <v>97.14</v>
      </c>
      <c r="I274" s="9">
        <v>1.7603</v>
      </c>
      <c r="J274" s="22">
        <v>3.8</v>
      </c>
      <c r="K274" s="13">
        <v>3.6728999999999998</v>
      </c>
      <c r="L274" s="12">
        <v>8510</v>
      </c>
      <c r="M274" s="14">
        <v>120.6</v>
      </c>
      <c r="N274" s="13">
        <v>43.011549000000002</v>
      </c>
      <c r="O274" s="13">
        <v>26.95</v>
      </c>
      <c r="P274" s="13">
        <v>34.85</v>
      </c>
      <c r="Q274" s="12">
        <v>1750</v>
      </c>
      <c r="R274" s="22">
        <v>0.62560000000000004</v>
      </c>
      <c r="S274" s="22">
        <v>0.92201299999999997</v>
      </c>
      <c r="T274" s="22">
        <v>29.652999999999999</v>
      </c>
      <c r="U274" s="22">
        <v>51.890853999999997</v>
      </c>
      <c r="V274" s="22">
        <v>75.656999999999996</v>
      </c>
    </row>
    <row r="275" spans="1:22" x14ac:dyDescent="0.3">
      <c r="A275" s="21">
        <v>37834</v>
      </c>
      <c r="B275" s="22">
        <v>45.966872000000002</v>
      </c>
      <c r="C275" s="22">
        <v>8.2772000000000006</v>
      </c>
      <c r="D275" s="23">
        <v>15514</v>
      </c>
      <c r="E275" s="22">
        <v>58.35</v>
      </c>
      <c r="F275" s="22">
        <v>7.7983000000000002</v>
      </c>
      <c r="G275" s="22">
        <v>1.42679</v>
      </c>
      <c r="H275" s="22">
        <v>97.155000000000001</v>
      </c>
      <c r="I275" s="9">
        <v>1.7605</v>
      </c>
      <c r="J275" s="22">
        <v>3.8</v>
      </c>
      <c r="K275" s="13">
        <v>3.6730999999999998</v>
      </c>
      <c r="L275" s="12">
        <v>8250</v>
      </c>
      <c r="M275" s="14">
        <v>119.74</v>
      </c>
      <c r="N275" s="13">
        <v>43.183956000000002</v>
      </c>
      <c r="O275" s="13">
        <v>27.17</v>
      </c>
      <c r="P275" s="13">
        <v>34.700000000000003</v>
      </c>
      <c r="Q275" s="12">
        <v>1752.5</v>
      </c>
      <c r="R275" s="22">
        <v>0.63160000000000005</v>
      </c>
      <c r="S275" s="22">
        <v>0.925589</v>
      </c>
      <c r="T275" s="22">
        <v>28.69</v>
      </c>
      <c r="U275" s="22">
        <v>52.345986000000003</v>
      </c>
      <c r="V275" s="22">
        <v>75.174999999999997</v>
      </c>
    </row>
    <row r="276" spans="1:22" x14ac:dyDescent="0.3">
      <c r="A276" s="21">
        <v>37803</v>
      </c>
      <c r="B276" s="22">
        <v>46.147689</v>
      </c>
      <c r="C276" s="22">
        <v>8.2774000000000001</v>
      </c>
      <c r="D276" s="23">
        <v>15497</v>
      </c>
      <c r="E276" s="22">
        <v>58.325000000000003</v>
      </c>
      <c r="F276" s="22">
        <v>7.7986000000000004</v>
      </c>
      <c r="G276" s="22">
        <v>1.4859450000000001</v>
      </c>
      <c r="H276" s="22">
        <v>97.23</v>
      </c>
      <c r="I276" s="9">
        <v>1.7323</v>
      </c>
      <c r="J276" s="22">
        <v>3.8</v>
      </c>
      <c r="K276" s="13">
        <v>3.6728999999999998</v>
      </c>
      <c r="L276" s="12">
        <v>8310</v>
      </c>
      <c r="M276" s="14">
        <v>119.32</v>
      </c>
      <c r="N276" s="13">
        <v>42.934480999999998</v>
      </c>
      <c r="O276" s="13">
        <v>27.53</v>
      </c>
      <c r="P276" s="13">
        <v>34.75</v>
      </c>
      <c r="Q276" s="12">
        <v>1747.5</v>
      </c>
      <c r="R276" s="22">
        <v>0.63549999999999995</v>
      </c>
      <c r="S276" s="22">
        <v>0.92827199999999999</v>
      </c>
      <c r="T276" s="22">
        <v>28.978000000000002</v>
      </c>
      <c r="U276" s="22">
        <v>51.47757</v>
      </c>
      <c r="V276" s="22">
        <v>74.914000000000001</v>
      </c>
    </row>
    <row r="277" spans="1:22" x14ac:dyDescent="0.3">
      <c r="A277" s="21">
        <v>37773</v>
      </c>
      <c r="B277" s="22">
        <v>46.774461000000002</v>
      </c>
      <c r="C277" s="22">
        <v>8.2774999999999999</v>
      </c>
      <c r="D277" s="23">
        <v>15473.5</v>
      </c>
      <c r="E277" s="22">
        <v>58.15</v>
      </c>
      <c r="F277" s="22">
        <v>7.7991999999999999</v>
      </c>
      <c r="G277" s="22">
        <v>1.6297429999999999</v>
      </c>
      <c r="H277" s="22">
        <v>97.13</v>
      </c>
      <c r="I277" s="9">
        <v>1.7734000000000001</v>
      </c>
      <c r="J277" s="22">
        <v>3.8</v>
      </c>
      <c r="K277" s="13">
        <v>3.6728999999999998</v>
      </c>
      <c r="L277" s="12">
        <v>8673.5</v>
      </c>
      <c r="M277" s="14">
        <v>118.9</v>
      </c>
      <c r="N277" s="13">
        <v>42.793104999999997</v>
      </c>
      <c r="O277" s="13">
        <v>28.2</v>
      </c>
      <c r="P277" s="13">
        <v>34.700000000000003</v>
      </c>
      <c r="Q277" s="12">
        <v>1747.5</v>
      </c>
      <c r="R277" s="22">
        <v>0.6069</v>
      </c>
      <c r="S277" s="22">
        <v>0.94164899999999996</v>
      </c>
      <c r="T277" s="22">
        <v>28.08</v>
      </c>
      <c r="U277" s="22">
        <v>50.926918000000001</v>
      </c>
      <c r="V277" s="22">
        <v>78.763999999999996</v>
      </c>
    </row>
    <row r="278" spans="1:22" x14ac:dyDescent="0.3">
      <c r="A278" s="21">
        <v>37742</v>
      </c>
      <c r="B278" s="22">
        <v>46.872655999999999</v>
      </c>
      <c r="C278" s="22">
        <v>8.2769999999999992</v>
      </c>
      <c r="D278" s="23">
        <v>15464</v>
      </c>
      <c r="E278" s="22">
        <v>58.2</v>
      </c>
      <c r="F278" s="22">
        <v>7.7995000000000001</v>
      </c>
      <c r="G278" s="22">
        <v>1.670085</v>
      </c>
      <c r="H278" s="22">
        <v>96.944999999999993</v>
      </c>
      <c r="I278" s="9">
        <v>1.7639</v>
      </c>
      <c r="J278" s="22">
        <v>3.8</v>
      </c>
      <c r="K278" s="13">
        <v>3.6728000000000001</v>
      </c>
      <c r="L278" s="12">
        <v>8901.5</v>
      </c>
      <c r="M278" s="14">
        <v>118.02</v>
      </c>
      <c r="N278" s="13">
        <v>43.324573999999998</v>
      </c>
      <c r="O278" s="13">
        <v>29.2</v>
      </c>
      <c r="P278" s="13">
        <v>34.65</v>
      </c>
      <c r="Q278" s="12">
        <v>1747.5</v>
      </c>
      <c r="R278" s="22">
        <v>0.62019999999999997</v>
      </c>
      <c r="S278" s="22">
        <v>0.98231400000000002</v>
      </c>
      <c r="T278" s="22">
        <v>26.907</v>
      </c>
      <c r="U278" s="22">
        <v>48.97531</v>
      </c>
      <c r="V278" s="22">
        <v>77.262</v>
      </c>
    </row>
    <row r="279" spans="1:22" x14ac:dyDescent="0.3">
      <c r="A279" s="21">
        <v>37712</v>
      </c>
      <c r="B279" s="22">
        <v>47.843215999999998</v>
      </c>
      <c r="C279" s="22">
        <v>8.2772000000000006</v>
      </c>
      <c r="D279" s="23">
        <v>15453.5</v>
      </c>
      <c r="E279" s="22">
        <v>58.2</v>
      </c>
      <c r="F279" s="22">
        <v>7.7990000000000004</v>
      </c>
      <c r="G279" s="22">
        <v>1.63591</v>
      </c>
      <c r="H279" s="22">
        <v>96.89</v>
      </c>
      <c r="I279" s="9">
        <v>1.7364999999999999</v>
      </c>
      <c r="J279" s="22">
        <v>3.8</v>
      </c>
      <c r="K279" s="13">
        <v>3.673</v>
      </c>
      <c r="L279" s="12">
        <v>8883.5</v>
      </c>
      <c r="M279" s="14">
        <v>118.12</v>
      </c>
      <c r="N279" s="13">
        <v>43.291449</v>
      </c>
      <c r="O279" s="13">
        <v>29.45</v>
      </c>
      <c r="P279" s="13">
        <v>34.71</v>
      </c>
      <c r="Q279" s="12">
        <v>1747.5</v>
      </c>
      <c r="R279" s="22">
        <v>0.64219999999999999</v>
      </c>
      <c r="S279" s="22">
        <v>0.99868999999999997</v>
      </c>
      <c r="T279" s="22">
        <v>27.085000000000001</v>
      </c>
      <c r="U279" s="22">
        <v>48.297156999999999</v>
      </c>
      <c r="V279" s="22">
        <v>75.224000000000004</v>
      </c>
    </row>
    <row r="280" spans="1:22" x14ac:dyDescent="0.3">
      <c r="A280" s="21">
        <v>37681</v>
      </c>
      <c r="B280" s="22">
        <v>48.455159000000002</v>
      </c>
      <c r="C280" s="22">
        <v>8.2774000000000001</v>
      </c>
      <c r="D280" s="23">
        <v>15429.5</v>
      </c>
      <c r="E280" s="22">
        <v>58.2</v>
      </c>
      <c r="F280" s="22">
        <v>7.7999000000000001</v>
      </c>
      <c r="G280" s="22">
        <v>1.663737</v>
      </c>
      <c r="H280" s="22">
        <v>96.8</v>
      </c>
      <c r="I280" s="9">
        <v>1.7361</v>
      </c>
      <c r="J280" s="22">
        <v>3.8</v>
      </c>
      <c r="K280" s="13">
        <v>3.6728999999999998</v>
      </c>
      <c r="L280" s="12">
        <v>8870</v>
      </c>
      <c r="M280" s="14">
        <v>119.91</v>
      </c>
      <c r="N280" s="13">
        <v>43.531156000000003</v>
      </c>
      <c r="O280" s="13">
        <v>29.65</v>
      </c>
      <c r="P280" s="13">
        <v>34.700000000000003</v>
      </c>
      <c r="Q280" s="12">
        <v>1747.5</v>
      </c>
      <c r="R280" s="22">
        <v>0.6391</v>
      </c>
      <c r="S280" s="22">
        <v>1.019279</v>
      </c>
      <c r="T280" s="22">
        <v>26.826000000000001</v>
      </c>
      <c r="U280" s="22">
        <v>47.421691000000003</v>
      </c>
      <c r="V280" s="22">
        <v>75.641999999999996</v>
      </c>
    </row>
    <row r="281" spans="1:22" x14ac:dyDescent="0.3">
      <c r="A281" s="21">
        <v>37653</v>
      </c>
      <c r="B281" s="22">
        <v>47.784717000000001</v>
      </c>
      <c r="C281" s="22">
        <v>8.2774999999999999</v>
      </c>
      <c r="D281" s="23">
        <v>15431</v>
      </c>
      <c r="E281" s="22">
        <v>58.2</v>
      </c>
      <c r="F281" s="22">
        <v>7.7984999999999998</v>
      </c>
      <c r="G281" s="22">
        <v>1.589556</v>
      </c>
      <c r="H281" s="22">
        <v>96.6</v>
      </c>
      <c r="I281" s="9">
        <v>1.7345999999999999</v>
      </c>
      <c r="J281" s="22">
        <v>3.8</v>
      </c>
      <c r="K281" s="13">
        <v>3.673</v>
      </c>
      <c r="L281" s="12">
        <v>8950</v>
      </c>
      <c r="M281" s="14">
        <v>118.55</v>
      </c>
      <c r="N281" s="13">
        <v>42.826188999999999</v>
      </c>
      <c r="O281" s="13">
        <v>29.7</v>
      </c>
      <c r="P281" s="13">
        <v>34.869999999999997</v>
      </c>
      <c r="Q281" s="12">
        <v>1747.5</v>
      </c>
      <c r="R281" s="22">
        <v>0.63749999999999996</v>
      </c>
      <c r="S281" s="22">
        <v>1.0196480000000001</v>
      </c>
      <c r="T281" s="22">
        <v>26.233000000000001</v>
      </c>
      <c r="U281" s="22">
        <v>47.436537999999999</v>
      </c>
      <c r="V281" s="22">
        <v>75.846000000000004</v>
      </c>
    </row>
    <row r="282" spans="1:22" x14ac:dyDescent="0.3">
      <c r="A282" s="21">
        <v>37622</v>
      </c>
      <c r="B282" s="22">
        <v>47.947453000000003</v>
      </c>
      <c r="C282" s="22">
        <v>8.2783999999999995</v>
      </c>
      <c r="D282" s="23">
        <v>15401</v>
      </c>
      <c r="E282" s="22">
        <v>57.9</v>
      </c>
      <c r="F282" s="22">
        <v>7.7987000000000002</v>
      </c>
      <c r="G282" s="22">
        <v>1.6043080000000001</v>
      </c>
      <c r="H282" s="22">
        <v>96.275000000000006</v>
      </c>
      <c r="I282" s="9">
        <v>1.7655000000000001</v>
      </c>
      <c r="J282" s="22">
        <v>3.8</v>
      </c>
      <c r="K282" s="13">
        <v>3.6728999999999998</v>
      </c>
      <c r="L282" s="12">
        <v>8977.5</v>
      </c>
      <c r="M282" s="14">
        <v>122.47</v>
      </c>
      <c r="N282" s="13">
        <v>42.124467000000003</v>
      </c>
      <c r="O282" s="13">
        <v>29.55</v>
      </c>
      <c r="P282" s="13">
        <v>34.19</v>
      </c>
      <c r="Q282" s="12">
        <v>1747.5</v>
      </c>
      <c r="R282" s="22">
        <v>0.6452</v>
      </c>
      <c r="S282" s="22">
        <v>1.0227809999999999</v>
      </c>
      <c r="T282" s="22">
        <v>26.7</v>
      </c>
      <c r="U282" s="22">
        <v>47.431477000000001</v>
      </c>
      <c r="V282" s="22">
        <v>75.123999999999995</v>
      </c>
    </row>
    <row r="283" spans="1:22" x14ac:dyDescent="0.3">
      <c r="A283" s="21">
        <v>37591</v>
      </c>
      <c r="B283" s="22">
        <v>48.099958999999998</v>
      </c>
      <c r="C283" s="22">
        <v>8.2784999999999993</v>
      </c>
      <c r="D283" s="23">
        <v>15383.5</v>
      </c>
      <c r="E283" s="22">
        <v>57.9</v>
      </c>
      <c r="F283" s="22">
        <v>7.7994000000000003</v>
      </c>
      <c r="G283" s="22">
        <v>1.6570309999999999</v>
      </c>
      <c r="H283" s="22">
        <v>96.25</v>
      </c>
      <c r="I283" s="9">
        <v>1.768</v>
      </c>
      <c r="J283" s="22">
        <v>3.8</v>
      </c>
      <c r="K283" s="13">
        <v>3.6728000000000001</v>
      </c>
      <c r="L283" s="12">
        <v>9230</v>
      </c>
      <c r="M283" s="14">
        <v>122.48</v>
      </c>
      <c r="N283" s="13">
        <v>41.205928</v>
      </c>
      <c r="O283" s="13">
        <v>29.81</v>
      </c>
      <c r="P283" s="13">
        <v>33.56</v>
      </c>
      <c r="Q283" s="12">
        <v>1747.5</v>
      </c>
      <c r="R283" s="22">
        <v>0.63949999999999996</v>
      </c>
      <c r="S283" s="22">
        <v>1.0080229999999999</v>
      </c>
      <c r="T283" s="22">
        <v>26.428000000000001</v>
      </c>
      <c r="U283" s="22">
        <v>48.319343000000003</v>
      </c>
      <c r="V283" s="22">
        <v>76.06</v>
      </c>
    </row>
    <row r="284" spans="1:22" x14ac:dyDescent="0.3">
      <c r="A284" s="21">
        <v>37561</v>
      </c>
      <c r="B284" s="22">
        <v>48.231980999999998</v>
      </c>
      <c r="C284" s="22">
        <v>8.2773000000000003</v>
      </c>
      <c r="D284" s="23">
        <v>15361.5</v>
      </c>
      <c r="E284" s="22">
        <v>57.85</v>
      </c>
      <c r="F284" s="22">
        <v>7.7995999999999999</v>
      </c>
      <c r="G284" s="22">
        <v>1.652074</v>
      </c>
      <c r="H284" s="22">
        <v>96.25</v>
      </c>
      <c r="I284" s="9">
        <v>1.7789999999999999</v>
      </c>
      <c r="J284" s="22">
        <v>3.8</v>
      </c>
      <c r="K284" s="13">
        <v>3.673</v>
      </c>
      <c r="L284" s="12">
        <v>8994</v>
      </c>
      <c r="M284" s="14">
        <v>121.68</v>
      </c>
      <c r="N284" s="13">
        <v>42.167873</v>
      </c>
      <c r="O284" s="13">
        <v>30</v>
      </c>
      <c r="P284" s="13">
        <v>33.409999999999997</v>
      </c>
      <c r="Q284" s="12">
        <v>1747.5</v>
      </c>
      <c r="R284" s="22">
        <v>0.65210000000000001</v>
      </c>
      <c r="S284" s="22">
        <v>1.0470299999999999</v>
      </c>
      <c r="T284" s="22">
        <v>27.535</v>
      </c>
      <c r="U284" s="22">
        <v>46.812869999999997</v>
      </c>
      <c r="V284" s="22">
        <v>74.929000000000002</v>
      </c>
    </row>
    <row r="285" spans="1:22" x14ac:dyDescent="0.3">
      <c r="A285" s="21">
        <v>37530</v>
      </c>
      <c r="B285" s="22">
        <v>48.335070000000002</v>
      </c>
      <c r="C285" s="22">
        <v>8.2769999999999992</v>
      </c>
      <c r="D285" s="23">
        <v>15344</v>
      </c>
      <c r="E285" s="22">
        <v>57.85</v>
      </c>
      <c r="F285" s="22">
        <v>7.7999000000000001</v>
      </c>
      <c r="G285" s="22">
        <v>1.6391</v>
      </c>
      <c r="H285" s="22">
        <v>96.2</v>
      </c>
      <c r="I285" s="9">
        <v>1.7496</v>
      </c>
      <c r="J285" s="22">
        <v>3.8</v>
      </c>
      <c r="K285" s="13">
        <v>3.6728999999999998</v>
      </c>
      <c r="L285" s="12">
        <v>8855</v>
      </c>
      <c r="M285" s="14">
        <v>118.39</v>
      </c>
      <c r="N285" s="13">
        <v>42.728847000000002</v>
      </c>
      <c r="O285" s="13">
        <v>30.2</v>
      </c>
      <c r="P285" s="13">
        <v>34</v>
      </c>
      <c r="Q285" s="12">
        <v>1747.5</v>
      </c>
      <c r="R285" s="22">
        <v>0.68769999999999998</v>
      </c>
      <c r="S285" s="22">
        <v>1.090641</v>
      </c>
      <c r="T285" s="22">
        <v>27.806000000000001</v>
      </c>
      <c r="U285" s="22">
        <v>44.888359000000001</v>
      </c>
      <c r="V285" s="22">
        <v>71.263000000000005</v>
      </c>
    </row>
    <row r="286" spans="1:22" x14ac:dyDescent="0.3">
      <c r="A286" s="21">
        <v>37500</v>
      </c>
      <c r="B286" s="22">
        <v>48.366041000000003</v>
      </c>
      <c r="C286" s="22">
        <v>8.2773000000000003</v>
      </c>
      <c r="D286" s="23">
        <v>15330</v>
      </c>
      <c r="E286" s="22">
        <v>57.85</v>
      </c>
      <c r="F286" s="22">
        <v>7.7999000000000001</v>
      </c>
      <c r="G286" s="22">
        <v>1.66343</v>
      </c>
      <c r="H286" s="22">
        <v>96.08</v>
      </c>
      <c r="I286" s="9">
        <v>1.7633000000000001</v>
      </c>
      <c r="J286" s="22">
        <v>3.8</v>
      </c>
      <c r="K286" s="13">
        <v>3.6730999999999998</v>
      </c>
      <c r="L286" s="12">
        <v>9064.5</v>
      </c>
      <c r="M286" s="14">
        <v>119.74</v>
      </c>
      <c r="N286" s="13">
        <v>43.409360999999997</v>
      </c>
      <c r="O286" s="13">
        <v>30.35</v>
      </c>
      <c r="P286" s="13">
        <v>34.67</v>
      </c>
      <c r="Q286" s="12">
        <v>1747.5</v>
      </c>
      <c r="R286" s="22">
        <v>0.68610000000000004</v>
      </c>
      <c r="S286" s="22">
        <v>1.1289579999999999</v>
      </c>
      <c r="T286" s="22">
        <v>26.350999999999999</v>
      </c>
      <c r="U286" s="22">
        <v>43.354357</v>
      </c>
      <c r="V286" s="22">
        <v>71.316000000000003</v>
      </c>
    </row>
    <row r="287" spans="1:22" x14ac:dyDescent="0.3">
      <c r="A287" s="21">
        <v>37469</v>
      </c>
      <c r="B287" s="22">
        <v>48.511217000000002</v>
      </c>
      <c r="C287" s="22">
        <v>8.2767999999999997</v>
      </c>
      <c r="D287" s="23">
        <v>15320</v>
      </c>
      <c r="E287" s="22">
        <v>57.45</v>
      </c>
      <c r="F287" s="22">
        <v>7.7999000000000001</v>
      </c>
      <c r="G287" s="22">
        <v>1.5365789999999999</v>
      </c>
      <c r="H287" s="22">
        <v>96.15</v>
      </c>
      <c r="I287" s="9">
        <v>1.7675000000000001</v>
      </c>
      <c r="J287" s="22">
        <v>3.8</v>
      </c>
      <c r="K287" s="13">
        <v>3.6732</v>
      </c>
      <c r="L287" s="12">
        <v>8713</v>
      </c>
      <c r="M287" s="14">
        <v>119.57</v>
      </c>
      <c r="N287" s="13">
        <v>43.359563000000001</v>
      </c>
      <c r="O287" s="13">
        <v>30.35</v>
      </c>
      <c r="P287" s="13">
        <v>34.950000000000003</v>
      </c>
      <c r="Q287" s="12">
        <v>1747.5</v>
      </c>
      <c r="R287" s="22">
        <v>0.70140000000000002</v>
      </c>
      <c r="S287" s="22">
        <v>1.1418550000000001</v>
      </c>
      <c r="T287" s="22">
        <v>26.026</v>
      </c>
      <c r="U287" s="22">
        <v>42.664515000000002</v>
      </c>
      <c r="V287" s="22">
        <v>69.55</v>
      </c>
    </row>
    <row r="288" spans="1:22" x14ac:dyDescent="0.3">
      <c r="A288" s="21">
        <v>37438</v>
      </c>
      <c r="B288" s="22">
        <v>48.702224000000001</v>
      </c>
      <c r="C288" s="22">
        <v>8.2766999999999999</v>
      </c>
      <c r="D288" s="23">
        <v>15274</v>
      </c>
      <c r="E288" s="22">
        <v>57.45</v>
      </c>
      <c r="F288" s="22">
        <v>7.7998000000000003</v>
      </c>
      <c r="G288" s="22">
        <v>1.4024639999999999</v>
      </c>
      <c r="H288" s="22">
        <v>96.15</v>
      </c>
      <c r="I288" s="9">
        <v>1.7888999999999999</v>
      </c>
      <c r="J288" s="22">
        <v>3.8</v>
      </c>
      <c r="K288" s="13">
        <v>3.673</v>
      </c>
      <c r="L288" s="12">
        <v>8697.5</v>
      </c>
      <c r="M288" s="14">
        <v>124.1</v>
      </c>
      <c r="N288" s="13">
        <v>43.760328999999999</v>
      </c>
      <c r="O288" s="13">
        <v>30.25</v>
      </c>
      <c r="P288" s="13">
        <v>35.06</v>
      </c>
      <c r="Q288" s="12">
        <v>1752.5</v>
      </c>
      <c r="R288" s="22">
        <v>0.70630000000000004</v>
      </c>
      <c r="S288" s="22">
        <v>1.1494059999999999</v>
      </c>
      <c r="T288" s="22">
        <v>25.184999999999999</v>
      </c>
      <c r="U288" s="22">
        <v>42.327745</v>
      </c>
      <c r="V288" s="22">
        <v>68.968999999999994</v>
      </c>
    </row>
    <row r="289" spans="1:22" x14ac:dyDescent="0.3">
      <c r="A289" s="21">
        <v>37408</v>
      </c>
      <c r="B289" s="22">
        <v>48.998510000000003</v>
      </c>
      <c r="C289" s="22">
        <v>8.2771000000000008</v>
      </c>
      <c r="D289" s="23">
        <v>15249.5</v>
      </c>
      <c r="E289" s="22">
        <v>57.35</v>
      </c>
      <c r="F289" s="22">
        <v>7.7991000000000001</v>
      </c>
      <c r="G289" s="22">
        <v>1.320775</v>
      </c>
      <c r="H289" s="22">
        <v>96.05</v>
      </c>
      <c r="I289" s="9">
        <v>1.8157000000000001</v>
      </c>
      <c r="J289" s="22">
        <v>3.8</v>
      </c>
      <c r="K289" s="13">
        <v>3.673</v>
      </c>
      <c r="L289" s="12">
        <v>9330</v>
      </c>
      <c r="M289" s="14">
        <v>128.53</v>
      </c>
      <c r="N289" s="13">
        <v>43.908881000000001</v>
      </c>
      <c r="O289" s="13">
        <v>30.25</v>
      </c>
      <c r="P289" s="13">
        <v>34.93</v>
      </c>
      <c r="Q289" s="12">
        <v>1752.5</v>
      </c>
      <c r="R289" s="22">
        <v>0.70889999999999997</v>
      </c>
      <c r="S289" s="22">
        <v>1.1323780000000001</v>
      </c>
      <c r="T289" s="22">
        <v>24.645</v>
      </c>
      <c r="U289" s="22">
        <v>42.573690999999997</v>
      </c>
      <c r="V289" s="22">
        <v>68.433000000000007</v>
      </c>
    </row>
    <row r="290" spans="1:22" x14ac:dyDescent="0.3">
      <c r="A290" s="21">
        <v>37377</v>
      </c>
      <c r="B290" s="22">
        <v>48.951129000000002</v>
      </c>
      <c r="C290" s="22">
        <v>8.2765000000000004</v>
      </c>
      <c r="D290" s="23">
        <v>15220.5</v>
      </c>
      <c r="E290" s="22">
        <v>57.25</v>
      </c>
      <c r="F290" s="22">
        <v>7.7995999999999999</v>
      </c>
      <c r="G290" s="22">
        <v>1.3617779999999999</v>
      </c>
      <c r="H290" s="22">
        <v>95.6</v>
      </c>
      <c r="I290" s="9">
        <v>1.8420000000000001</v>
      </c>
      <c r="J290" s="22">
        <v>3.8</v>
      </c>
      <c r="K290" s="13">
        <v>3.6728000000000001</v>
      </c>
      <c r="L290" s="12">
        <v>9825</v>
      </c>
      <c r="M290" s="14">
        <v>132.74</v>
      </c>
      <c r="N290" s="13">
        <v>43.945059999999998</v>
      </c>
      <c r="O290" s="13">
        <v>30.25</v>
      </c>
      <c r="P290" s="13">
        <v>34.984999999999999</v>
      </c>
      <c r="Q290" s="12">
        <v>1752.5</v>
      </c>
      <c r="R290" s="22">
        <v>0.6875</v>
      </c>
      <c r="S290" s="22">
        <v>1.1214139999999999</v>
      </c>
      <c r="T290" s="22">
        <v>24.632999999999999</v>
      </c>
      <c r="U290" s="22">
        <v>42.721442000000003</v>
      </c>
      <c r="V290" s="22">
        <v>70.135999999999996</v>
      </c>
    </row>
    <row r="291" spans="1:22" x14ac:dyDescent="0.3">
      <c r="A291" s="21">
        <v>37347</v>
      </c>
      <c r="B291" s="22">
        <v>48.941015999999998</v>
      </c>
      <c r="C291" s="22">
        <v>8.2773000000000003</v>
      </c>
      <c r="D291" s="23">
        <v>15190</v>
      </c>
      <c r="E291" s="22">
        <v>57.25</v>
      </c>
      <c r="F291" s="22">
        <v>7.7992999999999997</v>
      </c>
      <c r="G291" s="22">
        <v>1.3602350000000001</v>
      </c>
      <c r="H291" s="22">
        <v>93.6</v>
      </c>
      <c r="I291" s="9">
        <v>1.8311999999999999</v>
      </c>
      <c r="J291" s="22">
        <v>3.8</v>
      </c>
      <c r="K291" s="13">
        <v>3.673</v>
      </c>
      <c r="L291" s="12">
        <v>10150</v>
      </c>
      <c r="M291" s="14">
        <v>133.32</v>
      </c>
      <c r="N291" s="13">
        <v>44.372228</v>
      </c>
      <c r="O291" s="13">
        <v>30.22</v>
      </c>
      <c r="P291" s="13">
        <v>34.42</v>
      </c>
      <c r="Q291" s="12">
        <v>1752.5</v>
      </c>
      <c r="R291" s="22">
        <v>0.70220000000000005</v>
      </c>
      <c r="S291" s="22">
        <v>1.125615</v>
      </c>
      <c r="T291" s="22">
        <v>25.012</v>
      </c>
      <c r="U291" s="22">
        <v>42.606450000000002</v>
      </c>
      <c r="V291" s="22">
        <v>68.262</v>
      </c>
    </row>
    <row r="292" spans="1:22" x14ac:dyDescent="0.3">
      <c r="A292" s="21">
        <v>37316</v>
      </c>
      <c r="B292" s="22">
        <v>48.715313999999999</v>
      </c>
      <c r="C292" s="22">
        <v>8.2774000000000001</v>
      </c>
      <c r="D292" s="23">
        <v>15141</v>
      </c>
      <c r="E292" s="22">
        <v>57.25</v>
      </c>
      <c r="F292" s="22">
        <v>7.7994000000000003</v>
      </c>
      <c r="G292" s="22">
        <v>1.3680810000000001</v>
      </c>
      <c r="H292" s="22">
        <v>93.45</v>
      </c>
      <c r="I292" s="9">
        <v>1.8403</v>
      </c>
      <c r="J292" s="22">
        <v>3.8</v>
      </c>
      <c r="K292" s="13">
        <v>3.673</v>
      </c>
      <c r="L292" s="12">
        <v>10315</v>
      </c>
      <c r="M292" s="14">
        <v>134.72</v>
      </c>
      <c r="N292" s="13">
        <v>44.788803999999999</v>
      </c>
      <c r="O292" s="13">
        <v>30.15</v>
      </c>
      <c r="P292" s="13">
        <v>34.5</v>
      </c>
      <c r="Q292" s="12">
        <v>1752.5</v>
      </c>
      <c r="R292" s="22">
        <v>0.6875</v>
      </c>
      <c r="S292" s="22">
        <v>1.10405</v>
      </c>
      <c r="T292" s="22">
        <v>24.151</v>
      </c>
      <c r="U292" s="22">
        <v>43.582721999999997</v>
      </c>
      <c r="V292" s="22">
        <v>69.796999999999997</v>
      </c>
    </row>
    <row r="293" spans="1:22" x14ac:dyDescent="0.3">
      <c r="A293" s="21">
        <v>37288</v>
      </c>
      <c r="B293" s="22">
        <v>48.651071999999999</v>
      </c>
      <c r="C293" s="22">
        <v>8.2765000000000004</v>
      </c>
      <c r="D293" s="23">
        <v>15121</v>
      </c>
      <c r="E293" s="22">
        <v>57.25</v>
      </c>
      <c r="F293" s="22">
        <v>7.7984999999999998</v>
      </c>
      <c r="G293" s="22">
        <v>1.4538009999999999</v>
      </c>
      <c r="H293" s="22">
        <v>93</v>
      </c>
      <c r="I293" s="9">
        <v>1.8465</v>
      </c>
      <c r="J293" s="22">
        <v>3.8</v>
      </c>
      <c r="K293" s="13">
        <v>3.673</v>
      </c>
      <c r="L293" s="12">
        <v>10400</v>
      </c>
      <c r="M293" s="14">
        <v>131.68</v>
      </c>
      <c r="N293" s="13">
        <v>44.436833999999998</v>
      </c>
      <c r="O293" s="13">
        <v>29.72</v>
      </c>
      <c r="P293" s="13">
        <v>34.51</v>
      </c>
      <c r="Q293" s="12">
        <v>1752.5</v>
      </c>
      <c r="R293" s="22">
        <v>0.67820000000000003</v>
      </c>
      <c r="S293" s="22">
        <v>1.0978000000000001</v>
      </c>
      <c r="T293" s="22">
        <v>23.506</v>
      </c>
      <c r="U293" s="22">
        <v>43.529170000000001</v>
      </c>
      <c r="V293" s="22">
        <v>70.555000000000007</v>
      </c>
    </row>
    <row r="294" spans="1:22" x14ac:dyDescent="0.3">
      <c r="A294" s="21">
        <v>37257</v>
      </c>
      <c r="B294" s="22">
        <v>48.200833000000003</v>
      </c>
      <c r="C294" s="22">
        <v>8.2765000000000004</v>
      </c>
      <c r="D294" s="23">
        <v>15108</v>
      </c>
      <c r="E294" s="22">
        <v>56.95</v>
      </c>
      <c r="F294" s="22">
        <v>7.7984999999999998</v>
      </c>
      <c r="G294" s="22">
        <v>1.5195069999999999</v>
      </c>
      <c r="H294" s="22">
        <v>93.15</v>
      </c>
      <c r="I294" s="9">
        <v>1.8314999999999999</v>
      </c>
      <c r="J294" s="22">
        <v>3.8</v>
      </c>
      <c r="K294" s="13">
        <v>3.673</v>
      </c>
      <c r="L294" s="12">
        <v>10465</v>
      </c>
      <c r="M294" s="14">
        <v>123.45</v>
      </c>
      <c r="N294" s="13">
        <v>45.000965000000001</v>
      </c>
      <c r="O294" s="13">
        <v>29.55</v>
      </c>
      <c r="P294" s="13">
        <v>34.53</v>
      </c>
      <c r="Q294" s="12">
        <v>1752.5</v>
      </c>
      <c r="R294" s="22">
        <v>0.68779999999999997</v>
      </c>
      <c r="S294" s="22">
        <v>1.110822</v>
      </c>
      <c r="T294" s="22">
        <v>24.946999999999999</v>
      </c>
      <c r="U294" s="22">
        <v>42.555247999999999</v>
      </c>
      <c r="V294" s="22">
        <v>68.507000000000005</v>
      </c>
    </row>
    <row r="295" spans="1:22" x14ac:dyDescent="0.3">
      <c r="A295" s="21">
        <v>37226</v>
      </c>
      <c r="B295" s="22">
        <v>47.906360999999997</v>
      </c>
      <c r="C295" s="22">
        <v>8.2766000000000002</v>
      </c>
      <c r="D295" s="23">
        <v>15092</v>
      </c>
      <c r="E295" s="22">
        <v>56.95</v>
      </c>
      <c r="F295" s="22">
        <v>7.7998000000000003</v>
      </c>
      <c r="G295" s="22">
        <v>1.6108560000000001</v>
      </c>
      <c r="H295" s="22">
        <v>91.75</v>
      </c>
      <c r="I295" s="9">
        <v>1.8234999999999999</v>
      </c>
      <c r="J295" s="22">
        <v>3.8</v>
      </c>
      <c r="K295" s="13">
        <v>3.6728999999999998</v>
      </c>
      <c r="L295" s="12">
        <v>10475</v>
      </c>
      <c r="M295" s="14">
        <v>122.47</v>
      </c>
      <c r="N295" s="13">
        <v>45.869539000000003</v>
      </c>
      <c r="O295" s="13">
        <v>29.42</v>
      </c>
      <c r="P295" s="13">
        <v>34.75</v>
      </c>
      <c r="Q295" s="12">
        <v>1752.5</v>
      </c>
      <c r="R295" s="22">
        <v>0.70179999999999998</v>
      </c>
      <c r="S295" s="22">
        <v>1.1621600000000001</v>
      </c>
      <c r="T295" s="22">
        <v>24.024000000000001</v>
      </c>
      <c r="U295" s="22">
        <v>40.836032000000003</v>
      </c>
      <c r="V295" s="22">
        <v>67.153000000000006</v>
      </c>
    </row>
    <row r="296" spans="1:22" x14ac:dyDescent="0.3">
      <c r="A296" s="21">
        <v>37196</v>
      </c>
      <c r="B296" s="22">
        <v>47.953646999999997</v>
      </c>
      <c r="C296" s="22">
        <v>8.2772000000000006</v>
      </c>
      <c r="D296" s="23">
        <v>15057</v>
      </c>
      <c r="E296" s="22">
        <v>56.95</v>
      </c>
      <c r="F296" s="22">
        <v>7.7992999999999997</v>
      </c>
      <c r="G296" s="22">
        <v>1.4823459999999999</v>
      </c>
      <c r="H296" s="22">
        <v>90.05</v>
      </c>
      <c r="I296" s="9">
        <v>1.766</v>
      </c>
      <c r="J296" s="22">
        <v>3.8</v>
      </c>
      <c r="K296" s="13">
        <v>3.6728999999999998</v>
      </c>
      <c r="L296" s="12">
        <v>9707.5</v>
      </c>
      <c r="M296" s="14">
        <v>119.52</v>
      </c>
      <c r="N296" s="13">
        <v>45.344113999999998</v>
      </c>
      <c r="O296" s="13">
        <v>29.24</v>
      </c>
      <c r="P296" s="13">
        <v>34.43</v>
      </c>
      <c r="Q296" s="12">
        <v>1753.5</v>
      </c>
      <c r="R296" s="22">
        <v>0.70630000000000004</v>
      </c>
      <c r="S296" s="22">
        <v>1.1721550000000001</v>
      </c>
      <c r="T296" s="22">
        <v>24.059000000000001</v>
      </c>
      <c r="U296" s="22">
        <v>40.299052000000003</v>
      </c>
      <c r="V296" s="22">
        <v>66.603999999999999</v>
      </c>
    </row>
    <row r="297" spans="1:22" x14ac:dyDescent="0.3">
      <c r="A297" s="21">
        <v>37165</v>
      </c>
      <c r="B297" s="22">
        <v>48.112394999999999</v>
      </c>
      <c r="C297" s="22">
        <v>8.2767999999999997</v>
      </c>
      <c r="D297" s="23">
        <v>15028</v>
      </c>
      <c r="E297" s="22">
        <v>56.95</v>
      </c>
      <c r="F297" s="22">
        <v>7.7996999999999996</v>
      </c>
      <c r="G297" s="22">
        <v>1.4050769999999999</v>
      </c>
      <c r="H297" s="22">
        <v>89.875</v>
      </c>
      <c r="I297" s="9">
        <v>1.7403</v>
      </c>
      <c r="J297" s="22">
        <v>3.8</v>
      </c>
      <c r="K297" s="13">
        <v>3.673</v>
      </c>
      <c r="L297" s="12">
        <v>8862.5</v>
      </c>
      <c r="M297" s="14">
        <v>118.79</v>
      </c>
      <c r="N297" s="13">
        <v>45.888489</v>
      </c>
      <c r="O297" s="13">
        <v>28.8</v>
      </c>
      <c r="P297" s="13">
        <v>33.9</v>
      </c>
      <c r="Q297" s="12">
        <v>1752.5</v>
      </c>
      <c r="R297" s="22">
        <v>0.70499999999999996</v>
      </c>
      <c r="S297" s="22">
        <v>1.1442289999999999</v>
      </c>
      <c r="T297" s="22">
        <v>23.774999999999999</v>
      </c>
      <c r="U297" s="22">
        <v>41.153914</v>
      </c>
      <c r="V297" s="22">
        <v>66.66</v>
      </c>
    </row>
    <row r="298" spans="1:22" x14ac:dyDescent="0.3">
      <c r="A298" s="21">
        <v>37135</v>
      </c>
      <c r="B298" s="22">
        <v>47.774681999999999</v>
      </c>
      <c r="C298" s="22">
        <v>8.2767999999999997</v>
      </c>
      <c r="D298" s="23">
        <v>15018</v>
      </c>
      <c r="E298" s="22">
        <v>57.15</v>
      </c>
      <c r="F298" s="22">
        <v>7.7995999999999999</v>
      </c>
      <c r="G298" s="22">
        <v>1.3275889999999999</v>
      </c>
      <c r="H298" s="22">
        <v>89.9</v>
      </c>
      <c r="I298" s="9">
        <v>1.8032999999999999</v>
      </c>
      <c r="J298" s="22">
        <v>3.8</v>
      </c>
      <c r="K298" s="13">
        <v>3.673</v>
      </c>
      <c r="L298" s="12">
        <v>9500</v>
      </c>
      <c r="M298" s="14">
        <v>125.02</v>
      </c>
      <c r="N298" s="13">
        <v>45.600254999999997</v>
      </c>
      <c r="O298" s="13">
        <v>28.48</v>
      </c>
      <c r="P298" s="13">
        <v>32.89</v>
      </c>
      <c r="Q298" s="12">
        <v>1752.5</v>
      </c>
      <c r="R298" s="22">
        <v>0.69820000000000004</v>
      </c>
      <c r="S298" s="22">
        <v>1.121523</v>
      </c>
      <c r="T298" s="22">
        <v>23.998000000000001</v>
      </c>
      <c r="U298" s="22">
        <v>41.810732000000002</v>
      </c>
      <c r="V298" s="22">
        <v>67.088999999999999</v>
      </c>
    </row>
    <row r="299" spans="1:22" x14ac:dyDescent="0.3">
      <c r="A299" s="21">
        <v>37104</v>
      </c>
      <c r="B299" s="22">
        <v>47.259366</v>
      </c>
      <c r="C299" s="22">
        <v>8.2768999999999995</v>
      </c>
      <c r="D299" s="23">
        <v>14968</v>
      </c>
      <c r="E299" s="22">
        <v>57.65</v>
      </c>
      <c r="F299" s="22">
        <v>7.7998000000000003</v>
      </c>
      <c r="G299" s="22">
        <v>1.216637</v>
      </c>
      <c r="H299" s="22">
        <v>90.625</v>
      </c>
      <c r="I299" s="9">
        <v>1.823</v>
      </c>
      <c r="J299" s="22">
        <v>3.8</v>
      </c>
      <c r="K299" s="13">
        <v>3.6728999999999998</v>
      </c>
      <c r="L299" s="12">
        <v>11390</v>
      </c>
      <c r="M299" s="14">
        <v>124.63</v>
      </c>
      <c r="N299" s="13">
        <v>43.951971999999998</v>
      </c>
      <c r="O299" s="13">
        <v>28.19</v>
      </c>
      <c r="P299" s="13">
        <v>32.799999999999997</v>
      </c>
      <c r="Q299" s="12">
        <v>1752.5</v>
      </c>
      <c r="R299" s="22">
        <v>0.70630000000000004</v>
      </c>
      <c r="S299" s="22">
        <v>1.0999289999999999</v>
      </c>
      <c r="T299" s="22">
        <v>22.67</v>
      </c>
      <c r="U299" s="22">
        <v>42.374113999999999</v>
      </c>
      <c r="V299" s="22">
        <v>66.135000000000005</v>
      </c>
    </row>
    <row r="300" spans="1:22" x14ac:dyDescent="0.3">
      <c r="A300" s="21">
        <v>37073</v>
      </c>
      <c r="B300" s="22">
        <v>47.450383000000002</v>
      </c>
      <c r="C300" s="22">
        <v>8.2769999999999992</v>
      </c>
      <c r="D300" s="23">
        <v>14869</v>
      </c>
      <c r="E300" s="22">
        <v>57.65</v>
      </c>
      <c r="F300" s="22">
        <v>7.7998000000000003</v>
      </c>
      <c r="G300" s="22">
        <v>1.1394839999999999</v>
      </c>
      <c r="H300" s="22">
        <v>91.825000000000003</v>
      </c>
      <c r="I300" s="9">
        <v>1.8095000000000001</v>
      </c>
      <c r="J300" s="22">
        <v>3.8</v>
      </c>
      <c r="K300" s="13">
        <v>3.673</v>
      </c>
      <c r="L300" s="12">
        <v>11125</v>
      </c>
      <c r="M300" s="14">
        <v>119.34</v>
      </c>
      <c r="N300" s="13">
        <v>42.730913000000001</v>
      </c>
      <c r="O300" s="13">
        <v>28.27</v>
      </c>
      <c r="P300" s="13">
        <v>32.35</v>
      </c>
      <c r="Q300" s="12">
        <v>1752.5</v>
      </c>
      <c r="R300" s="22">
        <v>0.69210000000000005</v>
      </c>
      <c r="S300" s="22">
        <v>1.085116</v>
      </c>
      <c r="T300" s="22">
        <v>24.492000000000001</v>
      </c>
      <c r="U300" s="22">
        <v>42.941045000000003</v>
      </c>
      <c r="V300" s="22">
        <v>67.23</v>
      </c>
    </row>
    <row r="301" spans="1:22" x14ac:dyDescent="0.3">
      <c r="A301" s="21">
        <v>37043</v>
      </c>
      <c r="B301" s="22">
        <v>47.236288000000002</v>
      </c>
      <c r="C301" s="22">
        <v>8.2766999999999999</v>
      </c>
      <c r="D301" s="23">
        <v>14686</v>
      </c>
      <c r="E301" s="22">
        <v>57.65</v>
      </c>
      <c r="F301" s="22">
        <v>7.7991000000000001</v>
      </c>
      <c r="G301" s="22">
        <v>1.22048</v>
      </c>
      <c r="H301" s="22">
        <v>90.45</v>
      </c>
      <c r="I301" s="9">
        <v>1.8214999999999999</v>
      </c>
      <c r="J301" s="22">
        <v>3.8</v>
      </c>
      <c r="K301" s="13">
        <v>3.6728999999999998</v>
      </c>
      <c r="L301" s="12">
        <v>11600</v>
      </c>
      <c r="M301" s="14">
        <v>123.62</v>
      </c>
      <c r="N301" s="13">
        <v>43.260733999999999</v>
      </c>
      <c r="O301" s="13">
        <v>27.89</v>
      </c>
      <c r="P301" s="13">
        <v>32.31</v>
      </c>
      <c r="Q301" s="12">
        <v>1752.5</v>
      </c>
      <c r="R301" s="22">
        <v>0.68320000000000003</v>
      </c>
      <c r="S301" s="22">
        <v>1.065941</v>
      </c>
      <c r="T301" s="22">
        <v>25.558</v>
      </c>
      <c r="U301" s="22">
        <v>43.767673000000002</v>
      </c>
      <c r="V301" s="22">
        <v>67.891999999999996</v>
      </c>
    </row>
    <row r="302" spans="1:22" x14ac:dyDescent="0.3">
      <c r="A302" s="21">
        <v>37012</v>
      </c>
      <c r="B302" s="22">
        <v>47.080295999999997</v>
      </c>
      <c r="C302" s="22">
        <v>8.2769999999999992</v>
      </c>
      <c r="D302" s="23">
        <v>14591</v>
      </c>
      <c r="E302" s="22">
        <v>54.1</v>
      </c>
      <c r="F302" s="22">
        <v>7.7991999999999999</v>
      </c>
      <c r="G302" s="22">
        <v>0.97346699999999997</v>
      </c>
      <c r="H302" s="22">
        <v>86.35</v>
      </c>
      <c r="I302" s="9">
        <v>1.8055000000000001</v>
      </c>
      <c r="J302" s="22">
        <v>3.7999000000000001</v>
      </c>
      <c r="K302" s="13">
        <v>3.673</v>
      </c>
      <c r="L302" s="12">
        <v>10417.5</v>
      </c>
      <c r="M302" s="14">
        <v>126.32</v>
      </c>
      <c r="N302" s="13">
        <v>43.403841999999997</v>
      </c>
      <c r="O302" s="13">
        <v>27.82</v>
      </c>
      <c r="P302" s="13">
        <v>33.119999999999997</v>
      </c>
      <c r="Q302" s="12">
        <v>1752.5</v>
      </c>
      <c r="R302" s="22">
        <v>0.66849999999999998</v>
      </c>
      <c r="S302" s="22">
        <v>1.114927</v>
      </c>
      <c r="T302" s="22">
        <v>26.082000000000001</v>
      </c>
      <c r="U302" s="22">
        <v>42.048257999999997</v>
      </c>
      <c r="V302" s="22">
        <v>69.81</v>
      </c>
    </row>
    <row r="303" spans="1:22" x14ac:dyDescent="0.3">
      <c r="A303" s="21">
        <v>36982</v>
      </c>
      <c r="B303" s="22">
        <v>46.889525999999996</v>
      </c>
      <c r="C303" s="22">
        <v>8.2774000000000001</v>
      </c>
      <c r="D303" s="23">
        <v>14569</v>
      </c>
      <c r="E303" s="22">
        <v>54.1</v>
      </c>
      <c r="F303" s="22">
        <v>7.7999000000000001</v>
      </c>
      <c r="G303" s="22">
        <v>0.78147500000000003</v>
      </c>
      <c r="H303" s="22">
        <v>86.5</v>
      </c>
      <c r="I303" s="9">
        <v>1.7446999999999999</v>
      </c>
      <c r="J303" s="22">
        <v>3.8</v>
      </c>
      <c r="K303" s="13">
        <v>3.6728999999999998</v>
      </c>
      <c r="L303" s="12">
        <v>9865</v>
      </c>
      <c r="M303" s="14">
        <v>117.34</v>
      </c>
      <c r="N303" s="13">
        <v>43.749056000000003</v>
      </c>
      <c r="O303" s="13">
        <v>27.725000000000001</v>
      </c>
      <c r="P303" s="13">
        <v>33.03</v>
      </c>
      <c r="Q303" s="12">
        <v>1752.5</v>
      </c>
      <c r="R303" s="22">
        <v>0.70099999999999996</v>
      </c>
      <c r="S303" s="22">
        <v>1.167826</v>
      </c>
      <c r="T303" s="22">
        <v>24.768000000000001</v>
      </c>
      <c r="U303" s="22">
        <v>40.028100000000002</v>
      </c>
      <c r="V303" s="22">
        <v>66.861000000000004</v>
      </c>
    </row>
    <row r="304" spans="1:22" x14ac:dyDescent="0.3">
      <c r="A304" s="21">
        <v>36951</v>
      </c>
      <c r="B304" s="22">
        <v>46.589910000000003</v>
      </c>
      <c r="C304" s="22">
        <v>8.2776999999999994</v>
      </c>
      <c r="D304" s="23">
        <v>14589</v>
      </c>
      <c r="E304" s="22">
        <v>54.1</v>
      </c>
      <c r="F304" s="22">
        <v>7.7991999999999999</v>
      </c>
      <c r="G304" s="22">
        <v>0.671624</v>
      </c>
      <c r="H304" s="22">
        <v>89.5</v>
      </c>
      <c r="I304" s="9">
        <v>1.7435</v>
      </c>
      <c r="J304" s="22">
        <v>3.8</v>
      </c>
      <c r="K304" s="13">
        <v>3.6728000000000001</v>
      </c>
      <c r="L304" s="12">
        <v>9450</v>
      </c>
      <c r="M304" s="14">
        <v>116.59</v>
      </c>
      <c r="N304" s="13">
        <v>43.508828000000001</v>
      </c>
      <c r="O304" s="13">
        <v>26.98</v>
      </c>
      <c r="P304" s="13">
        <v>32.299999999999997</v>
      </c>
      <c r="Q304" s="12">
        <v>1750</v>
      </c>
      <c r="R304" s="22">
        <v>0.6905</v>
      </c>
      <c r="S304" s="22">
        <v>1.1698299999999999</v>
      </c>
      <c r="T304" s="22">
        <v>24.422000000000001</v>
      </c>
      <c r="U304" s="22">
        <v>39.786841000000003</v>
      </c>
      <c r="V304" s="22">
        <v>67.835999999999999</v>
      </c>
    </row>
    <row r="305" spans="1:22" x14ac:dyDescent="0.3">
      <c r="A305" s="21">
        <v>36923</v>
      </c>
      <c r="B305" s="22">
        <v>46.591475000000003</v>
      </c>
      <c r="C305" s="22">
        <v>8.2782999999999998</v>
      </c>
      <c r="D305" s="23">
        <v>14570</v>
      </c>
      <c r="E305" s="22">
        <v>54.1</v>
      </c>
      <c r="F305" s="22">
        <v>7.7996999999999996</v>
      </c>
      <c r="G305" s="22">
        <v>0.67824700000000004</v>
      </c>
      <c r="H305" s="22">
        <v>82.7</v>
      </c>
      <c r="I305" s="9">
        <v>1.7335</v>
      </c>
      <c r="J305" s="22">
        <v>3.8</v>
      </c>
      <c r="K305" s="13">
        <v>3.6728000000000001</v>
      </c>
      <c r="L305" s="12">
        <v>9675</v>
      </c>
      <c r="M305" s="14">
        <v>114.45</v>
      </c>
      <c r="N305" s="13">
        <v>41.923797</v>
      </c>
      <c r="O305" s="13">
        <v>26.225000000000001</v>
      </c>
      <c r="P305" s="13">
        <v>31.24</v>
      </c>
      <c r="Q305" s="12">
        <v>1750</v>
      </c>
      <c r="R305" s="22">
        <v>0.6774</v>
      </c>
      <c r="S305" s="22">
        <v>1.146944</v>
      </c>
      <c r="T305" s="22">
        <v>24.956</v>
      </c>
      <c r="U305" s="22">
        <v>40.053476000000003</v>
      </c>
      <c r="V305" s="22">
        <v>67.88</v>
      </c>
    </row>
    <row r="306" spans="1:22" x14ac:dyDescent="0.3">
      <c r="A306" s="21">
        <v>36892</v>
      </c>
      <c r="B306" s="22">
        <v>46.646681000000001</v>
      </c>
      <c r="C306" s="22">
        <v>8.2781000000000002</v>
      </c>
      <c r="D306" s="23">
        <v>14539</v>
      </c>
      <c r="E306" s="22">
        <v>54.1</v>
      </c>
      <c r="F306" s="22">
        <v>7.7996999999999996</v>
      </c>
      <c r="G306" s="22">
        <v>0.68420999999999998</v>
      </c>
      <c r="H306" s="22">
        <v>81.45</v>
      </c>
      <c r="I306" s="9">
        <v>1.7527999999999999</v>
      </c>
      <c r="J306" s="22">
        <v>3.8</v>
      </c>
      <c r="K306" s="13">
        <v>3.673</v>
      </c>
      <c r="L306" s="12">
        <v>9530</v>
      </c>
      <c r="M306" s="14">
        <v>110.39</v>
      </c>
      <c r="N306" s="13">
        <v>41.039963</v>
      </c>
      <c r="O306" s="13">
        <v>26</v>
      </c>
      <c r="P306" s="13">
        <v>31.04</v>
      </c>
      <c r="Q306" s="12">
        <v>1750</v>
      </c>
      <c r="R306" s="22">
        <v>0.69069999999999998</v>
      </c>
      <c r="S306" s="22">
        <v>1.106222</v>
      </c>
      <c r="T306" s="22">
        <v>26.427</v>
      </c>
      <c r="U306" s="22">
        <v>41.462909000000003</v>
      </c>
      <c r="V306" s="22">
        <v>66.316999999999993</v>
      </c>
    </row>
    <row r="307" spans="1:22" x14ac:dyDescent="0.3">
      <c r="A307" s="21">
        <v>36861</v>
      </c>
      <c r="B307" s="22">
        <v>46.860914000000001</v>
      </c>
      <c r="C307" s="22">
        <v>8.2774000000000001</v>
      </c>
      <c r="D307" s="23">
        <v>14523</v>
      </c>
      <c r="E307" s="22">
        <v>54.1</v>
      </c>
      <c r="F307" s="22">
        <v>7.798</v>
      </c>
      <c r="G307" s="22">
        <v>0.675647</v>
      </c>
      <c r="H307" s="22">
        <v>79.41</v>
      </c>
      <c r="I307" s="9">
        <v>1.7544999999999999</v>
      </c>
      <c r="J307" s="22">
        <v>3.8</v>
      </c>
      <c r="K307" s="13">
        <v>3.6726999999999999</v>
      </c>
      <c r="L307" s="12">
        <v>9347.5</v>
      </c>
      <c r="M307" s="14">
        <v>108.95</v>
      </c>
      <c r="N307" s="13">
        <v>40.270425000000003</v>
      </c>
      <c r="O307" s="13">
        <v>25.824999999999999</v>
      </c>
      <c r="P307" s="13">
        <v>31.01</v>
      </c>
      <c r="Q307" s="12">
        <v>1750</v>
      </c>
      <c r="R307" s="22">
        <v>0.66749999999999998</v>
      </c>
      <c r="S307" s="22">
        <v>1.0643480000000001</v>
      </c>
      <c r="T307" s="22">
        <v>26.154</v>
      </c>
      <c r="U307" s="22">
        <v>42.183014</v>
      </c>
      <c r="V307" s="22">
        <v>67.552000000000007</v>
      </c>
    </row>
    <row r="308" spans="1:22" x14ac:dyDescent="0.3">
      <c r="A308" s="21">
        <v>36831</v>
      </c>
      <c r="B308" s="22">
        <v>46.742063000000002</v>
      </c>
      <c r="C308" s="22">
        <v>8.2776999999999994</v>
      </c>
      <c r="D308" s="23">
        <v>14402</v>
      </c>
      <c r="E308" s="22">
        <v>54.1</v>
      </c>
      <c r="F308" s="22">
        <v>7.7965999999999998</v>
      </c>
      <c r="G308" s="22">
        <v>0.66400899999999996</v>
      </c>
      <c r="H308" s="22">
        <v>79.150000000000006</v>
      </c>
      <c r="I308" s="9">
        <v>1.7395</v>
      </c>
      <c r="J308" s="22">
        <v>3.8</v>
      </c>
      <c r="K308" s="13">
        <v>3.6728999999999998</v>
      </c>
      <c r="L308" s="12">
        <v>8760</v>
      </c>
      <c r="M308" s="14">
        <v>108.12</v>
      </c>
      <c r="N308" s="13">
        <v>39.435339999999997</v>
      </c>
      <c r="O308" s="13">
        <v>25.835000000000001</v>
      </c>
      <c r="P308" s="13">
        <v>30.725000000000001</v>
      </c>
      <c r="Q308" s="12">
        <v>1750</v>
      </c>
      <c r="R308" s="22">
        <v>0.65990000000000004</v>
      </c>
      <c r="S308" s="22">
        <v>1.053652</v>
      </c>
      <c r="T308" s="22">
        <v>26.64</v>
      </c>
      <c r="U308" s="22">
        <v>42.461613999999997</v>
      </c>
      <c r="V308" s="22">
        <v>67.742999999999995</v>
      </c>
    </row>
    <row r="309" spans="1:22" x14ac:dyDescent="0.3">
      <c r="A309" s="21">
        <v>36800</v>
      </c>
      <c r="B309" s="22">
        <v>46.529277999999998</v>
      </c>
      <c r="C309" s="22">
        <v>8.2774999999999999</v>
      </c>
      <c r="D309" s="23">
        <v>14214</v>
      </c>
      <c r="E309" s="22">
        <v>54</v>
      </c>
      <c r="F309" s="22">
        <v>7.7991999999999999</v>
      </c>
      <c r="G309" s="22">
        <v>0.64742599999999995</v>
      </c>
      <c r="H309" s="22">
        <v>78.05</v>
      </c>
      <c r="I309" s="9">
        <v>1.7212000000000001</v>
      </c>
      <c r="J309" s="22">
        <v>3.8</v>
      </c>
      <c r="K309" s="13">
        <v>3.673</v>
      </c>
      <c r="L309" s="12">
        <v>8325</v>
      </c>
      <c r="M309" s="14">
        <v>106.71</v>
      </c>
      <c r="N309" s="13">
        <v>38.975434</v>
      </c>
      <c r="O309" s="13">
        <v>25.855</v>
      </c>
      <c r="P309" s="13">
        <v>30.81</v>
      </c>
      <c r="Q309" s="12">
        <v>1750</v>
      </c>
      <c r="R309" s="22">
        <v>0.66759999999999997</v>
      </c>
      <c r="S309" s="22">
        <v>1.104009</v>
      </c>
      <c r="T309" s="22">
        <v>25.516999999999999</v>
      </c>
      <c r="U309" s="22">
        <v>39.939639</v>
      </c>
      <c r="V309" s="22">
        <v>66.924999999999997</v>
      </c>
    </row>
    <row r="310" spans="1:22" x14ac:dyDescent="0.3">
      <c r="A310" s="21">
        <v>36770</v>
      </c>
      <c r="B310" s="22">
        <v>45.929122999999997</v>
      </c>
      <c r="C310" s="22">
        <v>8.2797999999999998</v>
      </c>
      <c r="D310" s="23">
        <v>14120</v>
      </c>
      <c r="E310" s="22">
        <v>54.05</v>
      </c>
      <c r="F310" s="22">
        <v>7.7986000000000004</v>
      </c>
      <c r="G310" s="22">
        <v>0.62904800000000005</v>
      </c>
      <c r="H310" s="22">
        <v>78.349999999999994</v>
      </c>
      <c r="I310" s="9">
        <v>1.7324999999999999</v>
      </c>
      <c r="J310" s="22">
        <v>3.7999000000000001</v>
      </c>
      <c r="K310" s="13">
        <v>3.673</v>
      </c>
      <c r="L310" s="12">
        <v>8925</v>
      </c>
      <c r="M310" s="14">
        <v>109.33</v>
      </c>
      <c r="N310" s="13">
        <v>37.995832999999998</v>
      </c>
      <c r="O310" s="13">
        <v>25.625</v>
      </c>
      <c r="P310" s="13">
        <v>30.594999999999999</v>
      </c>
      <c r="Q310" s="12">
        <v>1750</v>
      </c>
      <c r="R310" s="22">
        <v>0.64200000000000002</v>
      </c>
      <c r="S310" s="22">
        <v>1.056359</v>
      </c>
      <c r="T310" s="22">
        <v>25.484999999999999</v>
      </c>
      <c r="U310" s="22">
        <v>41.367821999999997</v>
      </c>
      <c r="V310" s="22">
        <v>67.745000000000005</v>
      </c>
    </row>
    <row r="311" spans="1:22" x14ac:dyDescent="0.3">
      <c r="A311" s="21">
        <v>36739</v>
      </c>
      <c r="B311" s="22">
        <v>45.864660999999998</v>
      </c>
      <c r="C311" s="22">
        <v>8.2786000000000008</v>
      </c>
      <c r="D311" s="23">
        <v>14092</v>
      </c>
      <c r="E311" s="22">
        <v>51.15</v>
      </c>
      <c r="F311" s="22">
        <v>7.7956000000000003</v>
      </c>
      <c r="G311" s="22">
        <v>0.61043099999999995</v>
      </c>
      <c r="H311" s="22">
        <v>78.900000000000006</v>
      </c>
      <c r="I311" s="9">
        <v>1.7282999999999999</v>
      </c>
      <c r="J311" s="22">
        <v>3.8</v>
      </c>
      <c r="K311" s="13">
        <v>3.6728999999999998</v>
      </c>
      <c r="L311" s="12">
        <v>8760</v>
      </c>
      <c r="M311" s="14">
        <v>106.13</v>
      </c>
      <c r="N311" s="13">
        <v>37.922609000000001</v>
      </c>
      <c r="O311" s="13">
        <v>25.585000000000001</v>
      </c>
      <c r="P311" s="13">
        <v>30.43</v>
      </c>
      <c r="Q311" s="12">
        <v>1750</v>
      </c>
      <c r="R311" s="22">
        <v>0.62760000000000005</v>
      </c>
      <c r="S311" s="22">
        <v>1.0370090000000001</v>
      </c>
      <c r="T311" s="22">
        <v>26.489000000000001</v>
      </c>
      <c r="U311" s="22">
        <v>42.082242000000001</v>
      </c>
      <c r="V311" s="22">
        <v>69.415000000000006</v>
      </c>
    </row>
    <row r="312" spans="1:22" x14ac:dyDescent="0.3">
      <c r="A312" s="21">
        <v>36708</v>
      </c>
      <c r="B312" s="22">
        <v>44.893577000000001</v>
      </c>
      <c r="C312" s="22">
        <v>8.2791999999999994</v>
      </c>
      <c r="D312" s="23">
        <v>14083</v>
      </c>
      <c r="E312" s="22">
        <v>51</v>
      </c>
      <c r="F312" s="22">
        <v>7.7920999999999996</v>
      </c>
      <c r="G312" s="22">
        <v>0.61697299999999999</v>
      </c>
      <c r="H312" s="22">
        <v>74.734999999999999</v>
      </c>
      <c r="I312" s="9">
        <v>1.7323</v>
      </c>
      <c r="J312" s="22">
        <v>3.7999000000000001</v>
      </c>
      <c r="K312" s="13">
        <v>3.6726999999999999</v>
      </c>
      <c r="L312" s="12">
        <v>8645</v>
      </c>
      <c r="M312" s="14">
        <v>107.61</v>
      </c>
      <c r="N312" s="13">
        <v>37.775238000000002</v>
      </c>
      <c r="O312" s="13">
        <v>25.565000000000001</v>
      </c>
      <c r="P312" s="13">
        <v>30.7</v>
      </c>
      <c r="Q312" s="12">
        <v>1750</v>
      </c>
      <c r="R312" s="22">
        <v>0.63339999999999996</v>
      </c>
      <c r="S312" s="22">
        <v>1.0169649999999999</v>
      </c>
      <c r="T312" s="22">
        <v>26.977</v>
      </c>
      <c r="U312" s="22">
        <v>42.931615999999998</v>
      </c>
      <c r="V312" s="22">
        <v>68.861000000000004</v>
      </c>
    </row>
    <row r="313" spans="1:22" x14ac:dyDescent="0.3">
      <c r="A313" s="21">
        <v>36678</v>
      </c>
      <c r="B313" s="22">
        <v>44.735272999999999</v>
      </c>
      <c r="C313" s="22">
        <v>8.2782</v>
      </c>
      <c r="D313" s="23">
        <v>14084</v>
      </c>
      <c r="E313" s="22">
        <v>51</v>
      </c>
      <c r="F313" s="22">
        <v>7.7891000000000004</v>
      </c>
      <c r="G313" s="22">
        <v>0.59549300000000005</v>
      </c>
      <c r="H313" s="22">
        <v>74.3</v>
      </c>
      <c r="I313" s="9">
        <v>1.7072000000000001</v>
      </c>
      <c r="J313" s="22">
        <v>3.8</v>
      </c>
      <c r="K313" s="13">
        <v>3.673</v>
      </c>
      <c r="L313" s="12">
        <v>7925</v>
      </c>
      <c r="M313" s="14">
        <v>108.13</v>
      </c>
      <c r="N313" s="13">
        <v>37.411301000000002</v>
      </c>
      <c r="O313" s="13">
        <v>25.515000000000001</v>
      </c>
      <c r="P313" s="13">
        <v>30.675000000000001</v>
      </c>
      <c r="Q313" s="12">
        <v>1750</v>
      </c>
      <c r="R313" s="22">
        <v>0.61799999999999999</v>
      </c>
      <c r="S313" s="22">
        <v>0.98673299999999997</v>
      </c>
      <c r="T313" s="22">
        <v>27.788</v>
      </c>
      <c r="U313" s="22">
        <v>44.211278</v>
      </c>
      <c r="V313" s="22">
        <v>70.494</v>
      </c>
    </row>
    <row r="314" spans="1:22" x14ac:dyDescent="0.3">
      <c r="A314" s="21">
        <v>36647</v>
      </c>
      <c r="B314" s="22">
        <v>44.082540999999999</v>
      </c>
      <c r="C314" s="22">
        <v>8.2773000000000003</v>
      </c>
      <c r="D314" s="23">
        <v>14068</v>
      </c>
      <c r="E314" s="22">
        <v>51</v>
      </c>
      <c r="F314" s="22">
        <v>7.7866</v>
      </c>
      <c r="G314" s="22">
        <v>0.58002799999999999</v>
      </c>
      <c r="H314" s="22">
        <v>73.75</v>
      </c>
      <c r="I314" s="9">
        <v>1.7115</v>
      </c>
      <c r="J314" s="22">
        <v>3.8</v>
      </c>
      <c r="K314" s="13">
        <v>3.673</v>
      </c>
      <c r="L314" s="12">
        <v>7570</v>
      </c>
      <c r="M314" s="14">
        <v>105.6</v>
      </c>
      <c r="N314" s="13">
        <v>38.226956999999999</v>
      </c>
      <c r="O314" s="13">
        <v>25.414999999999999</v>
      </c>
      <c r="P314" s="13">
        <v>31.385000000000002</v>
      </c>
      <c r="Q314" s="12">
        <v>1750</v>
      </c>
      <c r="R314" s="22">
        <v>0.61919999999999997</v>
      </c>
      <c r="S314" s="22">
        <v>0.98941500000000004</v>
      </c>
      <c r="T314" s="22">
        <v>28.564</v>
      </c>
      <c r="U314" s="22">
        <v>43.991086000000003</v>
      </c>
      <c r="V314" s="22">
        <v>70.388000000000005</v>
      </c>
    </row>
    <row r="315" spans="1:22" x14ac:dyDescent="0.3">
      <c r="A315" s="21">
        <v>36617</v>
      </c>
      <c r="B315" s="22">
        <v>43.685499999999998</v>
      </c>
      <c r="C315" s="22">
        <v>8.2798999999999996</v>
      </c>
      <c r="D315" s="23">
        <v>14061</v>
      </c>
      <c r="E315" s="22">
        <v>51</v>
      </c>
      <c r="F315" s="22">
        <v>7.7827999999999999</v>
      </c>
      <c r="G315" s="22">
        <v>0.56330599999999997</v>
      </c>
      <c r="H315" s="22">
        <v>73.474999999999994</v>
      </c>
      <c r="I315" s="9">
        <v>1.724</v>
      </c>
      <c r="J315" s="22">
        <v>3.7999000000000001</v>
      </c>
      <c r="K315" s="13">
        <v>3.673</v>
      </c>
      <c r="L315" s="12">
        <v>7435</v>
      </c>
      <c r="M315" s="14">
        <v>110.18</v>
      </c>
      <c r="N315" s="13">
        <v>38.763402999999997</v>
      </c>
      <c r="O315" s="13">
        <v>25.364999999999998</v>
      </c>
      <c r="P315" s="13">
        <v>31.675000000000001</v>
      </c>
      <c r="Q315" s="12">
        <v>1750</v>
      </c>
      <c r="R315" s="22">
        <v>0.62680000000000002</v>
      </c>
      <c r="S315" s="22">
        <v>0.96744600000000003</v>
      </c>
      <c r="T315" s="22">
        <v>27.568999999999999</v>
      </c>
      <c r="U315" s="22">
        <v>44.930506999999999</v>
      </c>
      <c r="V315" s="22">
        <v>69.396000000000001</v>
      </c>
    </row>
    <row r="316" spans="1:22" x14ac:dyDescent="0.3">
      <c r="A316" s="21">
        <v>36586</v>
      </c>
      <c r="B316" s="22">
        <v>43.638261</v>
      </c>
      <c r="C316" s="22">
        <v>8.2787000000000006</v>
      </c>
      <c r="D316" s="23">
        <v>14057</v>
      </c>
      <c r="E316" s="22">
        <v>51</v>
      </c>
      <c r="F316" s="22">
        <v>7.7804000000000002</v>
      </c>
      <c r="G316" s="22">
        <v>0.54494399999999998</v>
      </c>
      <c r="H316" s="22">
        <v>73.150000000000006</v>
      </c>
      <c r="I316" s="9">
        <v>1.7017</v>
      </c>
      <c r="J316" s="22">
        <v>3.7999000000000001</v>
      </c>
      <c r="K316" s="13">
        <v>3.6728999999999998</v>
      </c>
      <c r="L316" s="12">
        <v>7445</v>
      </c>
      <c r="M316" s="14">
        <v>107.26</v>
      </c>
      <c r="N316" s="13">
        <v>39.464221999999999</v>
      </c>
      <c r="O316" s="13">
        <v>25.274999999999999</v>
      </c>
      <c r="P316" s="13">
        <v>31.72</v>
      </c>
      <c r="Q316" s="12">
        <v>1750</v>
      </c>
      <c r="R316" s="22">
        <v>0.60909999999999997</v>
      </c>
      <c r="S316" s="22">
        <v>0.934114</v>
      </c>
      <c r="T316" s="22">
        <v>27.73</v>
      </c>
      <c r="U316" s="22">
        <v>46.634354000000002</v>
      </c>
      <c r="V316" s="22">
        <v>71.37</v>
      </c>
    </row>
    <row r="317" spans="1:22" x14ac:dyDescent="0.3">
      <c r="A317" s="21">
        <v>36557</v>
      </c>
      <c r="B317" s="22">
        <v>43.655237999999997</v>
      </c>
      <c r="C317" s="22">
        <v>8.2786000000000008</v>
      </c>
      <c r="D317" s="23">
        <v>14052</v>
      </c>
      <c r="E317" s="22">
        <v>50.95</v>
      </c>
      <c r="F317" s="22">
        <v>7.7735000000000003</v>
      </c>
      <c r="G317" s="22">
        <v>0.52977099999999999</v>
      </c>
      <c r="H317" s="22">
        <v>71.5</v>
      </c>
      <c r="I317" s="9">
        <v>1.6655</v>
      </c>
      <c r="J317" s="22">
        <v>3.7999000000000001</v>
      </c>
      <c r="K317" s="13">
        <v>3.673</v>
      </c>
      <c r="L317" s="12">
        <v>6987.5</v>
      </c>
      <c r="M317" s="14">
        <v>102.25</v>
      </c>
      <c r="N317" s="13">
        <v>40.019441</v>
      </c>
      <c r="O317" s="13">
        <v>25.3</v>
      </c>
      <c r="P317" s="13">
        <v>31.75</v>
      </c>
      <c r="Q317" s="12">
        <v>1755</v>
      </c>
      <c r="R317" s="22">
        <v>0.60719999999999996</v>
      </c>
      <c r="S317" s="22">
        <v>0.95241299999999995</v>
      </c>
      <c r="T317" s="22">
        <v>28.475999999999999</v>
      </c>
      <c r="U317" s="22">
        <v>45.797364999999999</v>
      </c>
      <c r="V317" s="22">
        <v>71.872</v>
      </c>
    </row>
    <row r="318" spans="1:22" x14ac:dyDescent="0.3">
      <c r="A318" s="21">
        <v>36526</v>
      </c>
      <c r="B318" s="22">
        <v>43.614533000000002</v>
      </c>
      <c r="C318" s="22">
        <v>8.2776999999999994</v>
      </c>
      <c r="D318" s="23">
        <v>14028.5</v>
      </c>
      <c r="E318" s="22">
        <v>51</v>
      </c>
      <c r="F318" s="22">
        <v>7.7664999999999997</v>
      </c>
      <c r="G318" s="22">
        <v>0.49900099999999997</v>
      </c>
      <c r="H318" s="22">
        <v>72.099999999999994</v>
      </c>
      <c r="I318" s="9">
        <v>1.681</v>
      </c>
      <c r="J318" s="22">
        <v>3.8</v>
      </c>
      <c r="K318" s="13">
        <v>3.6728999999999998</v>
      </c>
      <c r="L318" s="12">
        <v>7315</v>
      </c>
      <c r="M318" s="14">
        <v>102.03</v>
      </c>
      <c r="N318" s="13">
        <v>38.060364</v>
      </c>
      <c r="O318" s="13">
        <v>25.225000000000001</v>
      </c>
      <c r="P318" s="13">
        <v>31.8</v>
      </c>
      <c r="Q318" s="12">
        <v>1755</v>
      </c>
      <c r="R318" s="22">
        <v>0.62280000000000002</v>
      </c>
      <c r="S318" s="22">
        <v>0.94317899999999999</v>
      </c>
      <c r="T318" s="22">
        <v>27.812000000000001</v>
      </c>
      <c r="U318" s="22">
        <v>46.128264000000001</v>
      </c>
      <c r="V318" s="22">
        <v>69.753</v>
      </c>
    </row>
    <row r="319" spans="1:22" x14ac:dyDescent="0.3">
      <c r="A319" s="21">
        <v>36495</v>
      </c>
      <c r="B319" s="22">
        <v>43.523913</v>
      </c>
      <c r="C319" s="22">
        <v>8.2795000000000005</v>
      </c>
      <c r="D319" s="23">
        <v>14016</v>
      </c>
      <c r="E319" s="22">
        <v>51</v>
      </c>
      <c r="F319" s="22">
        <v>7.7679999999999998</v>
      </c>
      <c r="G319" s="22">
        <v>0.469916</v>
      </c>
      <c r="H319" s="22">
        <v>71.55</v>
      </c>
      <c r="I319" s="9">
        <v>1.6625000000000001</v>
      </c>
      <c r="J319" s="22">
        <v>3.8</v>
      </c>
      <c r="K319" s="13">
        <v>3.6728999999999998</v>
      </c>
      <c r="L319" s="12">
        <v>6825</v>
      </c>
      <c r="M319" s="14">
        <v>104.01</v>
      </c>
      <c r="N319" s="13">
        <v>37.135567999999999</v>
      </c>
      <c r="O319" s="13">
        <v>25.195</v>
      </c>
      <c r="P319" s="13">
        <v>32.24</v>
      </c>
      <c r="Q319" s="12">
        <v>1755</v>
      </c>
      <c r="R319" s="22">
        <v>0.61709999999999998</v>
      </c>
      <c r="S319" s="22">
        <v>0.966283</v>
      </c>
      <c r="T319" s="22">
        <v>28.213999999999999</v>
      </c>
      <c r="U319" s="22">
        <v>44.891978000000002</v>
      </c>
      <c r="V319" s="22">
        <v>70.292000000000002</v>
      </c>
    </row>
    <row r="320" spans="1:22" x14ac:dyDescent="0.3">
      <c r="A320" s="21">
        <v>36465</v>
      </c>
      <c r="B320" s="22">
        <v>43.460582000000002</v>
      </c>
      <c r="C320" s="22">
        <v>8.2789000000000001</v>
      </c>
      <c r="D320" s="23">
        <v>14009.5</v>
      </c>
      <c r="E320" s="22">
        <v>49.5</v>
      </c>
      <c r="F320" s="22">
        <v>7.7679</v>
      </c>
      <c r="G320" s="22">
        <v>0.45583600000000002</v>
      </c>
      <c r="H320" s="22">
        <v>71.73</v>
      </c>
      <c r="I320" s="9">
        <v>1.698</v>
      </c>
      <c r="J320" s="22">
        <v>3.8</v>
      </c>
      <c r="K320" s="13">
        <v>3.673</v>
      </c>
      <c r="L320" s="12">
        <v>8300</v>
      </c>
      <c r="M320" s="14">
        <v>106.3</v>
      </c>
      <c r="N320" s="13">
        <v>36.925454999999999</v>
      </c>
      <c r="O320" s="13">
        <v>25.175000000000001</v>
      </c>
      <c r="P320" s="13">
        <v>32.299999999999997</v>
      </c>
      <c r="Q320" s="12">
        <v>1755</v>
      </c>
      <c r="R320" s="22">
        <v>0.63419999999999999</v>
      </c>
      <c r="S320" s="22">
        <v>0.96364700000000003</v>
      </c>
      <c r="T320" s="22">
        <v>28.989000000000001</v>
      </c>
      <c r="U320" s="22">
        <v>44.844023</v>
      </c>
      <c r="V320" s="22">
        <v>68.432000000000002</v>
      </c>
    </row>
    <row r="321" spans="1:22" x14ac:dyDescent="0.3">
      <c r="A321" s="21">
        <v>36434</v>
      </c>
      <c r="B321" s="22">
        <v>43.557690999999998</v>
      </c>
      <c r="C321" s="22">
        <v>8.2777999999999992</v>
      </c>
      <c r="D321" s="23">
        <v>13994</v>
      </c>
      <c r="E321" s="22">
        <v>49.5</v>
      </c>
      <c r="F321" s="22">
        <v>7.7649999999999997</v>
      </c>
      <c r="G321" s="22">
        <v>0.43786700000000001</v>
      </c>
      <c r="H321" s="22">
        <v>71.8</v>
      </c>
      <c r="I321" s="9">
        <v>1.6842999999999999</v>
      </c>
      <c r="J321" s="22">
        <v>3.8</v>
      </c>
      <c r="K321" s="13">
        <v>3.673</v>
      </c>
      <c r="L321" s="12">
        <v>7675</v>
      </c>
      <c r="M321" s="14">
        <v>109.7</v>
      </c>
      <c r="N321" s="13">
        <v>37.059606000000002</v>
      </c>
      <c r="O321" s="13">
        <v>25.15</v>
      </c>
      <c r="P321" s="13">
        <v>32.715000000000003</v>
      </c>
      <c r="Q321" s="12">
        <v>1755</v>
      </c>
      <c r="R321" s="22">
        <v>0.62429999999999997</v>
      </c>
      <c r="S321" s="22">
        <v>0.94097500000000001</v>
      </c>
      <c r="T321" s="22">
        <v>27.803000000000001</v>
      </c>
      <c r="U321" s="22">
        <v>45.570287</v>
      </c>
      <c r="V321" s="22">
        <v>68.688999999999993</v>
      </c>
    </row>
    <row r="322" spans="1:22" x14ac:dyDescent="0.3">
      <c r="A322" s="21">
        <v>36404</v>
      </c>
      <c r="B322" s="22">
        <v>43.613269000000003</v>
      </c>
      <c r="C322" s="22">
        <v>8.2777999999999992</v>
      </c>
      <c r="D322" s="23">
        <v>13962</v>
      </c>
      <c r="E322" s="22">
        <v>49.5</v>
      </c>
      <c r="F322" s="22">
        <v>7.7617000000000003</v>
      </c>
      <c r="G322" s="22">
        <v>0.42833399999999999</v>
      </c>
      <c r="H322" s="22">
        <v>71.599999999999994</v>
      </c>
      <c r="I322" s="9">
        <v>1.6825000000000001</v>
      </c>
      <c r="J322" s="22">
        <v>3.8</v>
      </c>
      <c r="K322" s="13">
        <v>3.673</v>
      </c>
      <c r="L322" s="12">
        <v>6880</v>
      </c>
      <c r="M322" s="14">
        <v>114.46</v>
      </c>
      <c r="N322" s="13">
        <v>37.631135999999998</v>
      </c>
      <c r="O322" s="13">
        <v>25.055</v>
      </c>
      <c r="P322" s="13">
        <v>32.700000000000003</v>
      </c>
      <c r="Q322" s="12">
        <v>1755</v>
      </c>
      <c r="R322" s="22">
        <v>0.62129999999999996</v>
      </c>
      <c r="S322" s="22">
        <v>0.93425599999999998</v>
      </c>
      <c r="T322" s="22">
        <v>28.318999999999999</v>
      </c>
      <c r="U322" s="22">
        <v>45.810937000000003</v>
      </c>
      <c r="V322" s="22">
        <v>68.903000000000006</v>
      </c>
    </row>
    <row r="323" spans="1:22" x14ac:dyDescent="0.3">
      <c r="A323" s="21">
        <v>36373</v>
      </c>
      <c r="B323" s="22">
        <v>43.503182000000002</v>
      </c>
      <c r="C323" s="22">
        <v>8.2769999999999992</v>
      </c>
      <c r="D323" s="23">
        <v>13948</v>
      </c>
      <c r="E323" s="22">
        <v>49.5</v>
      </c>
      <c r="F323" s="22">
        <v>7.7582000000000004</v>
      </c>
      <c r="G323" s="22">
        <v>0.47309699999999999</v>
      </c>
      <c r="H323" s="22">
        <v>71.55</v>
      </c>
      <c r="I323" s="9">
        <v>1.7004999999999999</v>
      </c>
      <c r="J323" s="22">
        <v>3.8</v>
      </c>
      <c r="K323" s="13">
        <v>3.6728999999999998</v>
      </c>
      <c r="L323" s="12">
        <v>6705</v>
      </c>
      <c r="M323" s="14">
        <v>121.04</v>
      </c>
      <c r="N323" s="13">
        <v>37.556522000000001</v>
      </c>
      <c r="O323" s="13">
        <v>25.07</v>
      </c>
      <c r="P323" s="13">
        <v>33.145000000000003</v>
      </c>
      <c r="Q323" s="12">
        <v>1755</v>
      </c>
      <c r="R323" s="22">
        <v>0.62029999999999996</v>
      </c>
      <c r="S323" s="22">
        <v>0.91891699999999998</v>
      </c>
      <c r="T323" s="22">
        <v>26.916</v>
      </c>
      <c r="U323" s="22">
        <v>46.270107000000003</v>
      </c>
      <c r="V323" s="22">
        <v>68.304000000000002</v>
      </c>
    </row>
    <row r="324" spans="1:22" x14ac:dyDescent="0.3">
      <c r="A324" s="21">
        <v>36342</v>
      </c>
      <c r="B324" s="22">
        <v>43.362645999999998</v>
      </c>
      <c r="C324" s="22">
        <v>8.2774000000000001</v>
      </c>
      <c r="D324" s="23">
        <v>13932.5</v>
      </c>
      <c r="E324" s="22">
        <v>48.5</v>
      </c>
      <c r="F324" s="22">
        <v>7.7546999999999997</v>
      </c>
      <c r="G324" s="24"/>
      <c r="H324" s="22">
        <v>70.849999999999994</v>
      </c>
      <c r="I324" s="9">
        <v>1.7270000000000001</v>
      </c>
      <c r="J324" s="22">
        <v>3.7997000000000001</v>
      </c>
      <c r="K324" s="13">
        <v>3.673</v>
      </c>
      <c r="L324" s="12">
        <v>8115</v>
      </c>
      <c r="M324" s="14">
        <v>121.52</v>
      </c>
      <c r="N324" s="13">
        <v>37.128486000000002</v>
      </c>
      <c r="O324" s="13">
        <v>24.945</v>
      </c>
      <c r="P324" s="13">
        <v>33.08</v>
      </c>
      <c r="Q324" s="12">
        <v>1755</v>
      </c>
      <c r="R324" s="22">
        <v>0.62429999999999997</v>
      </c>
      <c r="S324" s="22">
        <v>0.89236000000000004</v>
      </c>
      <c r="T324" s="22">
        <v>26.408999999999999</v>
      </c>
      <c r="U324" s="22">
        <v>47.672705000000001</v>
      </c>
      <c r="V324" s="22">
        <v>68.394000000000005</v>
      </c>
    </row>
    <row r="325" spans="1:22" x14ac:dyDescent="0.3">
      <c r="A325" s="21">
        <v>36312</v>
      </c>
      <c r="B325" s="22">
        <v>43.212727000000001</v>
      </c>
      <c r="C325" s="22">
        <v>8.2787000000000006</v>
      </c>
      <c r="D325" s="23">
        <v>13912.5</v>
      </c>
      <c r="E325" s="22">
        <v>48.5</v>
      </c>
      <c r="F325" s="22">
        <v>7.7512999999999996</v>
      </c>
      <c r="G325" s="24"/>
      <c r="H325" s="22">
        <v>69.625</v>
      </c>
      <c r="I325" s="9">
        <v>1.6964999999999999</v>
      </c>
      <c r="J325" s="22">
        <v>3.8</v>
      </c>
      <c r="K325" s="13">
        <v>3.6728000000000001</v>
      </c>
      <c r="L325" s="12">
        <v>8017.5</v>
      </c>
      <c r="M325" s="14">
        <v>119.49</v>
      </c>
      <c r="N325" s="13">
        <v>36.614479000000003</v>
      </c>
      <c r="O325" s="13">
        <v>24.85</v>
      </c>
      <c r="P325" s="13">
        <v>32.314999999999998</v>
      </c>
      <c r="Q325" s="12">
        <v>1755</v>
      </c>
      <c r="R325" s="22">
        <v>0.60809999999999997</v>
      </c>
      <c r="S325" s="22">
        <v>0.86134599999999995</v>
      </c>
      <c r="T325" s="22">
        <v>26.792000000000002</v>
      </c>
      <c r="U325" s="22">
        <v>49.396774000000001</v>
      </c>
      <c r="V325" s="22">
        <v>69.927999999999997</v>
      </c>
    </row>
    <row r="326" spans="1:22" x14ac:dyDescent="0.3">
      <c r="A326" s="21">
        <v>36281</v>
      </c>
      <c r="B326" s="22">
        <v>42.878331000000003</v>
      </c>
      <c r="C326" s="22">
        <v>8.2783999999999995</v>
      </c>
      <c r="D326" s="23">
        <v>13908.5</v>
      </c>
      <c r="E326" s="22">
        <v>48.475000000000001</v>
      </c>
      <c r="F326" s="22">
        <v>7.7495000000000003</v>
      </c>
      <c r="G326" s="24"/>
      <c r="H326" s="22">
        <v>69.424999999999997</v>
      </c>
      <c r="I326" s="9">
        <v>1.7270000000000001</v>
      </c>
      <c r="J326" s="22">
        <v>3.7999000000000001</v>
      </c>
      <c r="K326" s="13">
        <v>3.6728999999999998</v>
      </c>
      <c r="L326" s="12">
        <v>8650</v>
      </c>
      <c r="M326" s="14">
        <v>118.86</v>
      </c>
      <c r="N326" s="13">
        <v>36.283478000000002</v>
      </c>
      <c r="O326" s="13">
        <v>24.73</v>
      </c>
      <c r="P326" s="13">
        <v>32.22</v>
      </c>
      <c r="Q326" s="12">
        <v>1754</v>
      </c>
      <c r="R326" s="22">
        <v>0.6028</v>
      </c>
      <c r="S326" s="22">
        <v>0.853966</v>
      </c>
      <c r="T326" s="22">
        <v>26.013000000000002</v>
      </c>
      <c r="U326" s="22">
        <v>49.876114999999999</v>
      </c>
      <c r="V326" s="22">
        <v>70.251000000000005</v>
      </c>
    </row>
    <row r="327" spans="1:22" x14ac:dyDescent="0.3">
      <c r="A327" s="21">
        <v>36251</v>
      </c>
      <c r="B327" s="22">
        <v>42.796818000000002</v>
      </c>
      <c r="C327" s="22">
        <v>8.2789999999999999</v>
      </c>
      <c r="D327" s="23">
        <v>13902</v>
      </c>
      <c r="E327" s="22">
        <v>48.5</v>
      </c>
      <c r="F327" s="22">
        <v>7.7474999999999996</v>
      </c>
      <c r="G327" s="24"/>
      <c r="H327" s="22">
        <v>69.53</v>
      </c>
      <c r="I327" s="9">
        <v>1.722</v>
      </c>
      <c r="J327" s="22">
        <v>3.8</v>
      </c>
      <c r="K327" s="13">
        <v>3.673</v>
      </c>
      <c r="L327" s="12">
        <v>8800</v>
      </c>
      <c r="M327" s="14">
        <v>119.17</v>
      </c>
      <c r="N327" s="13">
        <v>36.544823999999998</v>
      </c>
      <c r="O327" s="13">
        <v>24.785</v>
      </c>
      <c r="P327" s="13">
        <v>32.445</v>
      </c>
      <c r="Q327" s="12">
        <v>1754</v>
      </c>
      <c r="R327" s="22">
        <v>0.60619999999999996</v>
      </c>
      <c r="S327" s="22">
        <v>0.85961399999999999</v>
      </c>
      <c r="T327" s="22">
        <v>26.751000000000001</v>
      </c>
      <c r="U327" s="22">
        <v>49.361961999999998</v>
      </c>
      <c r="V327" s="22">
        <v>70.144999999999996</v>
      </c>
    </row>
    <row r="328" spans="1:22" x14ac:dyDescent="0.3">
      <c r="A328" s="21">
        <v>36220</v>
      </c>
      <c r="B328" s="22">
        <v>42.516086999999999</v>
      </c>
      <c r="C328" s="22">
        <v>8.2799999999999994</v>
      </c>
      <c r="D328" s="23">
        <v>13892</v>
      </c>
      <c r="E328" s="22">
        <v>48.4</v>
      </c>
      <c r="F328" s="22">
        <v>7.7488000000000001</v>
      </c>
      <c r="G328" s="24"/>
      <c r="H328" s="22">
        <v>68.825000000000003</v>
      </c>
      <c r="I328" s="9">
        <v>1.6912</v>
      </c>
      <c r="J328" s="22">
        <v>3.7999000000000001</v>
      </c>
      <c r="K328" s="13">
        <v>3.6728999999999998</v>
      </c>
      <c r="L328" s="12">
        <v>8850</v>
      </c>
      <c r="M328" s="14">
        <v>116.32</v>
      </c>
      <c r="N328" s="13">
        <v>38.147215000000003</v>
      </c>
      <c r="O328" s="13">
        <v>24.774999999999999</v>
      </c>
      <c r="P328" s="13">
        <v>32.424999999999997</v>
      </c>
      <c r="Q328" s="12">
        <v>1754</v>
      </c>
      <c r="R328" s="22">
        <v>0.59699999999999998</v>
      </c>
      <c r="S328" s="22">
        <v>0.83780399999999999</v>
      </c>
      <c r="T328" s="22">
        <v>26.428000000000001</v>
      </c>
      <c r="U328" s="22">
        <v>50.626663999999998</v>
      </c>
      <c r="V328" s="22">
        <v>70.975999999999999</v>
      </c>
    </row>
    <row r="329" spans="1:22" x14ac:dyDescent="0.3">
      <c r="A329" s="21">
        <v>36192</v>
      </c>
      <c r="B329" s="22">
        <v>42.536136999999997</v>
      </c>
      <c r="C329" s="22">
        <v>8.2789999999999999</v>
      </c>
      <c r="D329" s="23">
        <v>13880</v>
      </c>
      <c r="E329" s="22">
        <v>48.45</v>
      </c>
      <c r="F329" s="22">
        <v>7.7470999999999997</v>
      </c>
      <c r="G329" s="24"/>
      <c r="H329" s="22">
        <v>68.430000000000007</v>
      </c>
      <c r="I329" s="9">
        <v>1.651</v>
      </c>
      <c r="J329" s="22">
        <v>3.8</v>
      </c>
      <c r="K329" s="13">
        <v>3.6728999999999998</v>
      </c>
      <c r="L329" s="12">
        <v>8000</v>
      </c>
      <c r="M329" s="14">
        <v>113.69</v>
      </c>
      <c r="N329" s="13">
        <v>40.399890999999997</v>
      </c>
      <c r="O329" s="13">
        <v>24.585000000000001</v>
      </c>
      <c r="P329" s="13">
        <v>34.450000000000003</v>
      </c>
      <c r="Q329" s="12">
        <v>1754</v>
      </c>
      <c r="R329" s="22">
        <v>0.58860000000000001</v>
      </c>
      <c r="S329" s="22">
        <v>0.86951299999999998</v>
      </c>
      <c r="T329" s="22">
        <v>25.175999999999998</v>
      </c>
      <c r="U329" s="22">
        <v>48.956381</v>
      </c>
      <c r="V329" s="22">
        <v>72.064999999999998</v>
      </c>
    </row>
    <row r="330" spans="1:22" x14ac:dyDescent="0.3">
      <c r="A330" s="21">
        <v>36161</v>
      </c>
      <c r="B330" s="22">
        <v>42.544345</v>
      </c>
      <c r="C330" s="22">
        <v>8.2777999999999992</v>
      </c>
      <c r="D330" s="23">
        <v>13893</v>
      </c>
      <c r="E330" s="22">
        <v>48.5</v>
      </c>
      <c r="F330" s="22">
        <v>7.7424999999999997</v>
      </c>
      <c r="G330" s="24"/>
      <c r="H330" s="22">
        <v>67.900000000000006</v>
      </c>
      <c r="I330" s="9">
        <v>1.6485000000000001</v>
      </c>
      <c r="J330" s="22">
        <v>3.8</v>
      </c>
      <c r="K330" s="13">
        <v>3.6728999999999998</v>
      </c>
      <c r="L330" s="12">
        <v>7437.5</v>
      </c>
      <c r="M330" s="14">
        <v>122.95</v>
      </c>
      <c r="N330" s="13">
        <v>41.72</v>
      </c>
      <c r="O330" s="13">
        <v>24.475000000000001</v>
      </c>
      <c r="P330" s="13">
        <v>34.854999999999997</v>
      </c>
      <c r="Q330" s="12">
        <v>1754</v>
      </c>
      <c r="R330" s="22">
        <v>0.59789999999999999</v>
      </c>
      <c r="S330" s="22">
        <v>0.91300599999999998</v>
      </c>
      <c r="T330" s="22">
        <v>24.164999999999999</v>
      </c>
      <c r="U330" s="22">
        <v>46.926551000000003</v>
      </c>
      <c r="V330" s="22">
        <v>71.548000000000002</v>
      </c>
    </row>
    <row r="331" spans="1:22" x14ac:dyDescent="0.3">
      <c r="A331" s="21">
        <v>36130</v>
      </c>
      <c r="B331" s="22">
        <v>42.591304000000001</v>
      </c>
      <c r="C331" s="22">
        <v>8.2789000000000001</v>
      </c>
      <c r="D331" s="23">
        <v>13885</v>
      </c>
      <c r="E331" s="22">
        <v>48.5</v>
      </c>
      <c r="F331" s="22">
        <v>7.7445000000000004</v>
      </c>
      <c r="G331" s="24"/>
      <c r="H331" s="22">
        <v>67.075000000000003</v>
      </c>
      <c r="I331" s="9">
        <v>1.6234999999999999</v>
      </c>
      <c r="J331" s="22">
        <v>3.8</v>
      </c>
      <c r="K331" s="13">
        <v>3.673</v>
      </c>
      <c r="L331" s="12">
        <v>7600</v>
      </c>
      <c r="M331" s="14">
        <v>115.79</v>
      </c>
      <c r="N331" s="13">
        <v>41.299565000000001</v>
      </c>
      <c r="O331" s="13">
        <v>24.2</v>
      </c>
      <c r="P331" s="13">
        <v>34.365000000000002</v>
      </c>
      <c r="Q331" s="12">
        <v>1754</v>
      </c>
      <c r="R331" s="22">
        <v>0.61170000000000002</v>
      </c>
      <c r="S331" s="22">
        <v>0.91768000000000005</v>
      </c>
      <c r="T331" s="22">
        <v>25.786999999999999</v>
      </c>
      <c r="U331" s="22">
        <v>46.438184999999997</v>
      </c>
      <c r="V331" s="22">
        <v>69.528999999999996</v>
      </c>
    </row>
    <row r="332" spans="1:22" x14ac:dyDescent="0.3">
      <c r="A332" s="21">
        <v>36100</v>
      </c>
      <c r="B332" s="22">
        <v>42.428359</v>
      </c>
      <c r="C332" s="22">
        <v>8.2782</v>
      </c>
      <c r="D332" s="23">
        <v>13906</v>
      </c>
      <c r="E332" s="22">
        <v>48.5</v>
      </c>
      <c r="F332" s="22">
        <v>7.7489999999999997</v>
      </c>
      <c r="G332" s="24"/>
      <c r="H332" s="22">
        <v>65.984999999999999</v>
      </c>
      <c r="I332" s="9">
        <v>1.6875</v>
      </c>
      <c r="J332" s="22">
        <v>3.8050000000000002</v>
      </c>
      <c r="K332" s="13">
        <v>3.673</v>
      </c>
      <c r="L332" s="12">
        <v>10700</v>
      </c>
      <c r="M332" s="14">
        <v>136.47999999999999</v>
      </c>
      <c r="N332" s="13">
        <v>42.331817999999998</v>
      </c>
      <c r="O332" s="13">
        <v>24.25</v>
      </c>
      <c r="P332" s="13">
        <v>34.360999999999997</v>
      </c>
      <c r="Q332" s="12">
        <v>1754</v>
      </c>
      <c r="R332" s="22">
        <v>0.5998</v>
      </c>
      <c r="S332" s="22">
        <v>0.91427800000000004</v>
      </c>
      <c r="T332" s="22">
        <v>26.32</v>
      </c>
      <c r="U332" s="22">
        <v>46.339559999999999</v>
      </c>
      <c r="V332" s="22">
        <v>70.722999999999999</v>
      </c>
    </row>
    <row r="333" spans="1:22" x14ac:dyDescent="0.3">
      <c r="A333" s="21">
        <v>36069</v>
      </c>
      <c r="B333" s="22">
        <v>42.412550000000003</v>
      </c>
      <c r="C333" s="22">
        <v>8.2777999999999992</v>
      </c>
      <c r="D333" s="23">
        <v>13904</v>
      </c>
      <c r="E333" s="22">
        <v>47.1</v>
      </c>
      <c r="F333" s="22">
        <v>7.7496999999999998</v>
      </c>
      <c r="G333" s="24"/>
      <c r="H333" s="22">
        <v>66.525000000000006</v>
      </c>
      <c r="I333" s="9">
        <v>1.7615000000000001</v>
      </c>
      <c r="J333" s="22">
        <v>4.1653000000000002</v>
      </c>
      <c r="K333" s="13">
        <v>3.673</v>
      </c>
      <c r="L333" s="12">
        <v>11050</v>
      </c>
      <c r="M333" s="14">
        <v>139.12</v>
      </c>
      <c r="N333" s="13">
        <v>39.212715000000003</v>
      </c>
      <c r="O333" s="13">
        <v>23.914999999999999</v>
      </c>
      <c r="P333" s="13">
        <v>33.975000000000001</v>
      </c>
      <c r="Q333" s="12">
        <v>1754</v>
      </c>
      <c r="R333" s="22">
        <v>0.61319999999999997</v>
      </c>
      <c r="S333" s="22">
        <v>0.90678199999999998</v>
      </c>
      <c r="T333" s="22">
        <v>25.946000000000002</v>
      </c>
      <c r="U333" s="22">
        <v>44.644871000000002</v>
      </c>
      <c r="V333" s="22">
        <v>67.91</v>
      </c>
    </row>
    <row r="334" spans="1:22" x14ac:dyDescent="0.3">
      <c r="A334" s="21">
        <v>36039</v>
      </c>
      <c r="B334" s="22">
        <v>42.558653999999997</v>
      </c>
      <c r="C334" s="22">
        <v>8.2780000000000005</v>
      </c>
      <c r="D334" s="23">
        <v>13907.5</v>
      </c>
      <c r="E334" s="22">
        <v>47.1</v>
      </c>
      <c r="F334" s="22">
        <v>7.7495000000000003</v>
      </c>
      <c r="G334" s="24"/>
      <c r="H334" s="22">
        <v>65.924999999999997</v>
      </c>
      <c r="I334" s="9">
        <v>1.7284999999999999</v>
      </c>
      <c r="J334" s="22">
        <v>4.1501999999999999</v>
      </c>
      <c r="K334" s="13">
        <v>3.6728999999999998</v>
      </c>
      <c r="L334" s="12">
        <v>13150</v>
      </c>
      <c r="M334" s="14">
        <v>144.53</v>
      </c>
      <c r="N334" s="13">
        <v>39.653635999999999</v>
      </c>
      <c r="O334" s="13">
        <v>23.8</v>
      </c>
      <c r="P334" s="13">
        <v>32.973999999999997</v>
      </c>
      <c r="Q334" s="12">
        <v>1754</v>
      </c>
      <c r="R334" s="22">
        <v>0.59830000000000005</v>
      </c>
      <c r="S334" s="22">
        <v>0.92607200000000001</v>
      </c>
      <c r="T334" s="22">
        <v>25.785</v>
      </c>
      <c r="U334" s="22">
        <v>42.878450000000001</v>
      </c>
      <c r="V334" s="22">
        <v>66.364000000000004</v>
      </c>
    </row>
    <row r="335" spans="1:22" x14ac:dyDescent="0.3">
      <c r="A335" s="21">
        <v>36008</v>
      </c>
      <c r="B335" s="22">
        <v>42.842857000000002</v>
      </c>
      <c r="C335" s="22">
        <v>8.2799999999999994</v>
      </c>
      <c r="D335" s="23">
        <v>12994</v>
      </c>
      <c r="E335" s="22">
        <v>47.1</v>
      </c>
      <c r="F335" s="22">
        <v>7.7469999999999999</v>
      </c>
      <c r="G335" s="24"/>
      <c r="H335" s="22">
        <v>65.400000000000006</v>
      </c>
      <c r="I335" s="9">
        <v>1.6865000000000001</v>
      </c>
      <c r="J335" s="22">
        <v>4.13</v>
      </c>
      <c r="K335" s="13">
        <v>3.673</v>
      </c>
      <c r="L335" s="12">
        <v>14800</v>
      </c>
      <c r="M335" s="14">
        <v>138.86000000000001</v>
      </c>
      <c r="N335" s="13">
        <v>41.365909000000002</v>
      </c>
      <c r="O335" s="13">
        <v>24</v>
      </c>
      <c r="P335" s="13">
        <v>32.875</v>
      </c>
      <c r="Q335" s="12">
        <v>1754</v>
      </c>
      <c r="R335" s="22">
        <v>0.59750000000000003</v>
      </c>
      <c r="S335" s="22">
        <v>0.93153900000000001</v>
      </c>
      <c r="T335" s="22">
        <v>26.166</v>
      </c>
      <c r="U335" s="22">
        <v>42.477567000000001</v>
      </c>
      <c r="V335" s="22">
        <v>66.085999999999999</v>
      </c>
    </row>
    <row r="336" spans="1:22" x14ac:dyDescent="0.3">
      <c r="A336" s="21">
        <v>35977</v>
      </c>
      <c r="B336" s="22">
        <v>42.611826000000001</v>
      </c>
      <c r="C336" s="22">
        <v>8.2798999999999996</v>
      </c>
      <c r="D336" s="23">
        <v>12985.5</v>
      </c>
      <c r="E336" s="22">
        <v>46.3</v>
      </c>
      <c r="F336" s="22">
        <v>7.7492999999999999</v>
      </c>
      <c r="G336" s="24"/>
      <c r="H336" s="22">
        <v>65</v>
      </c>
      <c r="I336" s="9">
        <v>1.6762999999999999</v>
      </c>
      <c r="J336" s="22">
        <v>3.8452999999999999</v>
      </c>
      <c r="K336" s="13">
        <v>3.6728999999999998</v>
      </c>
      <c r="L336" s="12">
        <v>11450</v>
      </c>
      <c r="M336" s="14">
        <v>138.84</v>
      </c>
      <c r="N336" s="13">
        <v>46.009821000000002</v>
      </c>
      <c r="O336" s="13">
        <v>22.9</v>
      </c>
      <c r="P336" s="13">
        <v>32.049999999999997</v>
      </c>
      <c r="Q336" s="12">
        <v>1754</v>
      </c>
      <c r="R336" s="22">
        <v>0.6079</v>
      </c>
      <c r="S336" s="22">
        <v>0.92615599999999998</v>
      </c>
      <c r="T336" s="22">
        <v>26.709</v>
      </c>
      <c r="U336" s="22">
        <v>42.103963</v>
      </c>
      <c r="V336" s="22">
        <v>64.700999999999993</v>
      </c>
    </row>
    <row r="337" spans="1:22" x14ac:dyDescent="0.3">
      <c r="A337" s="21">
        <v>35947</v>
      </c>
      <c r="B337" s="22">
        <v>42.366818000000002</v>
      </c>
      <c r="C337" s="22">
        <v>8.2797000000000001</v>
      </c>
      <c r="D337" s="23">
        <v>12983</v>
      </c>
      <c r="E337" s="22">
        <v>46.3</v>
      </c>
      <c r="F337" s="22">
        <v>7.7484999999999999</v>
      </c>
      <c r="G337" s="24"/>
      <c r="H337" s="22">
        <v>63.305</v>
      </c>
      <c r="I337" s="9">
        <v>1.5834999999999999</v>
      </c>
      <c r="J337" s="22">
        <v>3.7324999999999999</v>
      </c>
      <c r="K337" s="13">
        <v>3.673</v>
      </c>
      <c r="L337" s="12">
        <v>8000</v>
      </c>
      <c r="M337" s="14">
        <v>132.87</v>
      </c>
      <c r="N337" s="13">
        <v>52.657055</v>
      </c>
      <c r="O337" s="13">
        <v>22.774999999999999</v>
      </c>
      <c r="P337" s="13">
        <v>34</v>
      </c>
      <c r="Q337" s="12">
        <v>1754</v>
      </c>
      <c r="R337" s="22">
        <v>0.61199999999999999</v>
      </c>
      <c r="S337" s="22">
        <v>0.92594699999999996</v>
      </c>
      <c r="T337" s="22">
        <v>26.465</v>
      </c>
      <c r="U337" s="22">
        <v>42.574316000000003</v>
      </c>
      <c r="V337" s="22">
        <v>63.134999999999998</v>
      </c>
    </row>
    <row r="338" spans="1:22" x14ac:dyDescent="0.3">
      <c r="A338" s="21">
        <v>35916</v>
      </c>
      <c r="B338" s="22">
        <v>40.482467999999997</v>
      </c>
      <c r="C338" s="22">
        <v>8.2792999999999992</v>
      </c>
      <c r="D338" s="23">
        <v>12984.5</v>
      </c>
      <c r="E338" s="22">
        <v>46.3</v>
      </c>
      <c r="F338" s="22">
        <v>7.7489999999999997</v>
      </c>
      <c r="G338" s="24"/>
      <c r="H338" s="22">
        <v>62.375</v>
      </c>
      <c r="I338" s="9">
        <v>1.6140000000000001</v>
      </c>
      <c r="J338" s="22">
        <v>3.673</v>
      </c>
      <c r="K338" s="13">
        <v>3.6726000000000001</v>
      </c>
      <c r="L338" s="12">
        <v>8700</v>
      </c>
      <c r="M338" s="14">
        <v>133.11000000000001</v>
      </c>
      <c r="N338" s="13">
        <v>44.354348000000002</v>
      </c>
      <c r="O338" s="13">
        <v>22.204999999999998</v>
      </c>
      <c r="P338" s="13">
        <v>32.625</v>
      </c>
      <c r="Q338" s="12">
        <v>1750</v>
      </c>
      <c r="R338" s="22">
        <v>0.60750000000000004</v>
      </c>
      <c r="S338" s="22">
        <v>0.90576699999999999</v>
      </c>
      <c r="T338" s="22">
        <v>25.52</v>
      </c>
      <c r="U338" s="22">
        <v>43.480933</v>
      </c>
      <c r="V338" s="22">
        <v>64.581999999999994</v>
      </c>
    </row>
    <row r="339" spans="1:22" x14ac:dyDescent="0.3">
      <c r="A339" s="21">
        <v>35886</v>
      </c>
      <c r="B339" s="22">
        <v>39.702908999999998</v>
      </c>
      <c r="C339" s="22">
        <v>8.2779000000000007</v>
      </c>
      <c r="D339" s="23">
        <v>12979</v>
      </c>
      <c r="E339" s="22">
        <v>46.3</v>
      </c>
      <c r="F339" s="22">
        <v>7.7424999999999997</v>
      </c>
      <c r="G339" s="24"/>
      <c r="H339" s="22">
        <v>61.674999999999997</v>
      </c>
      <c r="I339" s="9">
        <v>1.6205000000000001</v>
      </c>
      <c r="J339" s="22">
        <v>3.6949999999999998</v>
      </c>
      <c r="K339" s="13">
        <v>3.6728000000000001</v>
      </c>
      <c r="L339" s="12">
        <v>8950</v>
      </c>
      <c r="M339" s="14">
        <v>126.14</v>
      </c>
      <c r="N339" s="13">
        <v>39.032814000000002</v>
      </c>
      <c r="O339" s="13">
        <v>22.024999999999999</v>
      </c>
      <c r="P339" s="13">
        <v>32.225000000000001</v>
      </c>
      <c r="Q339" s="12">
        <v>1750</v>
      </c>
      <c r="R339" s="22">
        <v>0.59289999999999998</v>
      </c>
      <c r="S339" s="22">
        <v>0.88294099999999998</v>
      </c>
      <c r="T339" s="22">
        <v>26.422999999999998</v>
      </c>
      <c r="U339" s="22">
        <v>42.269463000000002</v>
      </c>
      <c r="V339" s="22">
        <v>65.533000000000001</v>
      </c>
    </row>
    <row r="340" spans="1:22" x14ac:dyDescent="0.3">
      <c r="A340" s="21">
        <v>35855</v>
      </c>
      <c r="B340" s="22">
        <v>39.568635999999998</v>
      </c>
      <c r="C340" s="22">
        <v>8.2792999999999992</v>
      </c>
      <c r="D340" s="23">
        <v>12973</v>
      </c>
      <c r="E340" s="22">
        <v>46.3</v>
      </c>
      <c r="F340" s="22">
        <v>7.7344999999999997</v>
      </c>
      <c r="G340" s="24"/>
      <c r="H340" s="22">
        <v>62.25</v>
      </c>
      <c r="I340" s="9">
        <v>1.7124999999999999</v>
      </c>
      <c r="J340" s="22">
        <v>4.1902999999999997</v>
      </c>
      <c r="K340" s="13">
        <v>3.6728999999999998</v>
      </c>
      <c r="L340" s="12">
        <v>10050</v>
      </c>
      <c r="M340" s="14">
        <v>127.09</v>
      </c>
      <c r="N340" s="13">
        <v>37.475309000000003</v>
      </c>
      <c r="O340" s="13">
        <v>21.645</v>
      </c>
      <c r="P340" s="13">
        <v>30.85</v>
      </c>
      <c r="Q340" s="12">
        <v>1750</v>
      </c>
      <c r="R340" s="22">
        <v>0.59709999999999996</v>
      </c>
      <c r="S340" s="22">
        <v>0.89598500000000003</v>
      </c>
      <c r="T340" s="22">
        <v>25.483000000000001</v>
      </c>
      <c r="U340" s="22">
        <v>40.524754999999999</v>
      </c>
      <c r="V340" s="22">
        <v>60.832000000000001</v>
      </c>
    </row>
    <row r="341" spans="1:22" x14ac:dyDescent="0.3">
      <c r="A341" s="21">
        <v>35827</v>
      </c>
      <c r="B341" s="22">
        <v>38.993597999999999</v>
      </c>
      <c r="C341" s="22">
        <v>8.2789000000000001</v>
      </c>
      <c r="D341" s="23">
        <v>12290.5</v>
      </c>
      <c r="E341" s="22">
        <v>45.45</v>
      </c>
      <c r="F341" s="22">
        <v>7.7477999999999998</v>
      </c>
      <c r="G341" s="24"/>
      <c r="H341" s="22">
        <v>61.75</v>
      </c>
      <c r="I341" s="9">
        <v>1.6825000000000001</v>
      </c>
      <c r="J341" s="22">
        <v>3.8845000000000001</v>
      </c>
      <c r="K341" s="13">
        <v>3.6720000000000002</v>
      </c>
      <c r="L341" s="12">
        <v>5550</v>
      </c>
      <c r="M341" s="14">
        <v>130.59</v>
      </c>
      <c r="N341" s="13">
        <v>35.234495000000003</v>
      </c>
      <c r="O341" s="13">
        <v>21.715</v>
      </c>
      <c r="P341" s="13">
        <v>28.61</v>
      </c>
      <c r="Q341" s="12">
        <v>1750</v>
      </c>
      <c r="R341" s="22">
        <v>0.61860000000000004</v>
      </c>
      <c r="S341" s="22">
        <v>0.91250500000000001</v>
      </c>
      <c r="T341" s="22">
        <v>26.254999999999999</v>
      </c>
      <c r="U341" s="22">
        <v>39.992683999999997</v>
      </c>
      <c r="V341" s="22">
        <v>58.548999999999999</v>
      </c>
    </row>
    <row r="342" spans="1:22" x14ac:dyDescent="0.3">
      <c r="A342" s="21">
        <v>35796</v>
      </c>
      <c r="B342" s="22">
        <v>39.421748999999998</v>
      </c>
      <c r="C342" s="22">
        <v>8.2784999999999993</v>
      </c>
      <c r="D342" s="23">
        <v>12292</v>
      </c>
      <c r="E342" s="22">
        <v>45.45</v>
      </c>
      <c r="F342" s="22">
        <v>7.7302999999999997</v>
      </c>
      <c r="G342" s="24"/>
      <c r="H342" s="22">
        <v>60.75</v>
      </c>
      <c r="I342" s="9">
        <v>1.5940000000000001</v>
      </c>
      <c r="J342" s="22">
        <v>3.51</v>
      </c>
      <c r="K342" s="13">
        <v>3.6728000000000001</v>
      </c>
      <c r="L342" s="12">
        <v>3660</v>
      </c>
      <c r="M342" s="14">
        <v>127.89</v>
      </c>
      <c r="N342" s="13">
        <v>32.398570999999997</v>
      </c>
      <c r="O342" s="13">
        <v>21.84</v>
      </c>
      <c r="P342" s="13">
        <v>28.72</v>
      </c>
      <c r="Q342" s="12">
        <v>1750</v>
      </c>
      <c r="R342" s="22">
        <v>0.61699999999999999</v>
      </c>
      <c r="S342" s="22">
        <v>0.93887600000000004</v>
      </c>
      <c r="T342" s="22">
        <v>26.658000000000001</v>
      </c>
      <c r="U342" s="22">
        <v>38.364502999999999</v>
      </c>
      <c r="V342" s="22">
        <v>58.994999999999997</v>
      </c>
    </row>
    <row r="343" spans="1:22" x14ac:dyDescent="0.3">
      <c r="A343" s="21">
        <v>35765</v>
      </c>
      <c r="B343" s="22">
        <v>39.382609000000002</v>
      </c>
      <c r="C343" s="22">
        <v>8.2796000000000003</v>
      </c>
      <c r="D343" s="23">
        <v>12286.5</v>
      </c>
      <c r="E343" s="22">
        <v>45.45</v>
      </c>
      <c r="F343" s="22">
        <v>7.73</v>
      </c>
      <c r="G343" s="24"/>
      <c r="H343" s="22">
        <v>59.774999999999999</v>
      </c>
      <c r="I343" s="9">
        <v>1.573</v>
      </c>
      <c r="J343" s="22">
        <v>3.35</v>
      </c>
      <c r="K343" s="13">
        <v>3.6720000000000002</v>
      </c>
      <c r="L343" s="12">
        <v>3600</v>
      </c>
      <c r="M343" s="14">
        <v>120.41</v>
      </c>
      <c r="N343" s="13">
        <v>30.216873</v>
      </c>
      <c r="O343" s="13">
        <v>21.495000000000001</v>
      </c>
      <c r="P343" s="13">
        <v>28.7</v>
      </c>
      <c r="Q343" s="12">
        <v>1750</v>
      </c>
      <c r="R343" s="22">
        <v>0.61029999999999995</v>
      </c>
      <c r="S343" s="22">
        <v>0.913215</v>
      </c>
      <c r="T343" s="22">
        <v>26.712</v>
      </c>
      <c r="U343" s="22">
        <v>39.159233</v>
      </c>
      <c r="V343" s="22">
        <v>58.566000000000003</v>
      </c>
    </row>
    <row r="344" spans="1:22" x14ac:dyDescent="0.3">
      <c r="A344" s="21">
        <v>35735</v>
      </c>
      <c r="B344" s="22">
        <v>37.324874000000001</v>
      </c>
      <c r="C344" s="22">
        <v>8.2796000000000003</v>
      </c>
      <c r="D344" s="23">
        <v>12245</v>
      </c>
      <c r="E344" s="22">
        <v>45</v>
      </c>
      <c r="F344" s="22">
        <v>7.7380000000000004</v>
      </c>
      <c r="G344" s="24"/>
      <c r="H344" s="22">
        <v>59.75</v>
      </c>
      <c r="I344" s="9">
        <v>1.5289999999999999</v>
      </c>
      <c r="J344" s="22">
        <v>3.2454999999999998</v>
      </c>
      <c r="K344" s="13">
        <v>3.673</v>
      </c>
      <c r="L344" s="12">
        <v>3270</v>
      </c>
      <c r="M344" s="14">
        <v>120.39</v>
      </c>
      <c r="N344" s="13">
        <v>24.534286000000002</v>
      </c>
      <c r="O344" s="13">
        <v>20.805</v>
      </c>
      <c r="P344" s="13">
        <v>27.8</v>
      </c>
      <c r="Q344" s="12">
        <v>1750</v>
      </c>
      <c r="R344" s="22">
        <v>0.60089999999999999</v>
      </c>
      <c r="S344" s="22">
        <v>0.88229299999999999</v>
      </c>
      <c r="T344" s="22">
        <v>26.998000000000001</v>
      </c>
      <c r="U344" s="22">
        <v>40.599497999999997</v>
      </c>
      <c r="V344" s="22">
        <v>59.625</v>
      </c>
    </row>
    <row r="345" spans="1:22" x14ac:dyDescent="0.3">
      <c r="A345" s="21">
        <v>35704</v>
      </c>
      <c r="B345" s="22">
        <v>36.305546999999997</v>
      </c>
      <c r="C345" s="22">
        <v>8.2834000000000003</v>
      </c>
      <c r="D345" s="23">
        <v>11718.5</v>
      </c>
      <c r="E345" s="22">
        <v>44.55</v>
      </c>
      <c r="F345" s="22">
        <v>7.7495000000000003</v>
      </c>
      <c r="G345" s="24"/>
      <c r="H345" s="22">
        <v>59.284999999999997</v>
      </c>
      <c r="I345" s="9">
        <v>1.5155000000000001</v>
      </c>
      <c r="J345" s="22">
        <v>2.9287000000000001</v>
      </c>
      <c r="K345" s="13">
        <v>3.6728999999999998</v>
      </c>
      <c r="L345" s="12">
        <v>2935</v>
      </c>
      <c r="M345" s="14">
        <v>120.88</v>
      </c>
      <c r="N345" s="13">
        <v>25.745346999999999</v>
      </c>
      <c r="O345" s="13">
        <v>20.414999999999999</v>
      </c>
      <c r="P345" s="13">
        <v>27.87</v>
      </c>
      <c r="Q345" s="12">
        <v>1750</v>
      </c>
      <c r="R345" s="22">
        <v>0.61009999999999998</v>
      </c>
      <c r="S345" s="22">
        <v>0.87141500000000005</v>
      </c>
      <c r="T345" s="22">
        <v>27.193999999999999</v>
      </c>
      <c r="U345" s="22">
        <v>41.105581000000001</v>
      </c>
      <c r="V345" s="22">
        <v>58.698999999999998</v>
      </c>
    </row>
    <row r="346" spans="1:22" x14ac:dyDescent="0.3">
      <c r="A346" s="21">
        <v>35674</v>
      </c>
      <c r="B346" s="22">
        <v>36.489657999999999</v>
      </c>
      <c r="C346" s="22">
        <v>8.2849000000000004</v>
      </c>
      <c r="D346" s="23">
        <v>11697</v>
      </c>
      <c r="E346" s="22">
        <v>44.55</v>
      </c>
      <c r="F346" s="22">
        <v>7.7415000000000003</v>
      </c>
      <c r="G346" s="24"/>
      <c r="H346" s="22">
        <v>58.85</v>
      </c>
      <c r="I346" s="9">
        <v>1.4717</v>
      </c>
      <c r="J346" s="22">
        <v>2.6355</v>
      </c>
      <c r="K346" s="13">
        <v>3.6720000000000002</v>
      </c>
      <c r="L346" s="12">
        <v>2615</v>
      </c>
      <c r="M346" s="14">
        <v>118.61</v>
      </c>
      <c r="N346" s="13">
        <v>26.064091000000001</v>
      </c>
      <c r="O346" s="13">
        <v>20.545000000000002</v>
      </c>
      <c r="P346" s="13">
        <v>27.67</v>
      </c>
      <c r="Q346" s="12">
        <v>1750</v>
      </c>
      <c r="R346" s="22">
        <v>0.61609999999999998</v>
      </c>
      <c r="S346" s="22">
        <v>0.87412400000000001</v>
      </c>
      <c r="T346" s="22">
        <v>27.916</v>
      </c>
      <c r="U346" s="22">
        <v>40.993065999999999</v>
      </c>
      <c r="V346" s="22">
        <v>58.069000000000003</v>
      </c>
    </row>
    <row r="347" spans="1:22" x14ac:dyDescent="0.3">
      <c r="A347" s="21">
        <v>35643</v>
      </c>
      <c r="B347" s="22">
        <v>36.008476000000002</v>
      </c>
      <c r="C347" s="22">
        <v>8.2883999999999993</v>
      </c>
      <c r="D347" s="23">
        <v>11682.5</v>
      </c>
      <c r="E347" s="22">
        <v>44.1</v>
      </c>
      <c r="F347" s="22">
        <v>7.7469999999999999</v>
      </c>
      <c r="G347" s="24"/>
      <c r="H347" s="22">
        <v>58.49</v>
      </c>
      <c r="I347" s="9">
        <v>1.4305000000000001</v>
      </c>
      <c r="J347" s="22">
        <v>2.5245000000000002</v>
      </c>
      <c r="K347" s="13">
        <v>3.6726999999999999</v>
      </c>
      <c r="L347" s="12">
        <v>2431.5</v>
      </c>
      <c r="M347" s="14">
        <v>114.66</v>
      </c>
      <c r="N347" s="13">
        <v>25.958570999999999</v>
      </c>
      <c r="O347" s="13">
        <v>20.085000000000001</v>
      </c>
      <c r="P347" s="13">
        <v>27.54</v>
      </c>
      <c r="Q347" s="12">
        <v>1750</v>
      </c>
      <c r="R347" s="22">
        <v>0.6119</v>
      </c>
      <c r="S347" s="22">
        <v>0.86764399999999997</v>
      </c>
      <c r="T347" s="22">
        <v>28.192</v>
      </c>
      <c r="U347" s="22">
        <v>41.36103</v>
      </c>
      <c r="V347" s="22">
        <v>58.790999999999997</v>
      </c>
    </row>
    <row r="348" spans="1:22" x14ac:dyDescent="0.3">
      <c r="A348" s="21">
        <v>35612</v>
      </c>
      <c r="B348" s="22">
        <v>35.746968000000003</v>
      </c>
      <c r="C348" s="22">
        <v>8.2903000000000002</v>
      </c>
      <c r="D348" s="23">
        <v>11667.5</v>
      </c>
      <c r="E348" s="22">
        <v>43.65</v>
      </c>
      <c r="F348" s="22">
        <v>7.7484999999999999</v>
      </c>
      <c r="G348" s="24"/>
      <c r="H348" s="22">
        <v>58.305</v>
      </c>
      <c r="I348" s="9">
        <v>1.4305000000000001</v>
      </c>
      <c r="J348" s="22">
        <v>2.5139999999999998</v>
      </c>
      <c r="K348" s="13">
        <v>3.6720000000000002</v>
      </c>
      <c r="L348" s="12">
        <v>2433.5</v>
      </c>
      <c r="M348" s="14">
        <v>116.23</v>
      </c>
      <c r="N348" s="13">
        <v>25.970072999999999</v>
      </c>
      <c r="O348" s="13">
        <v>20.074999999999999</v>
      </c>
      <c r="P348" s="13">
        <v>27.52</v>
      </c>
      <c r="Q348" s="12">
        <v>1747.5</v>
      </c>
      <c r="R348" s="22">
        <v>0.6139</v>
      </c>
      <c r="S348" s="22">
        <v>0.85646800000000001</v>
      </c>
      <c r="T348" s="22">
        <v>27.911999999999999</v>
      </c>
      <c r="U348" s="22">
        <v>41.919179</v>
      </c>
      <c r="V348" s="22">
        <v>58.433999999999997</v>
      </c>
    </row>
    <row r="349" spans="1:22" x14ac:dyDescent="0.3">
      <c r="A349" s="21">
        <v>35582</v>
      </c>
      <c r="B349" s="22">
        <v>35.820189999999997</v>
      </c>
      <c r="C349" s="22">
        <v>8.2906999999999993</v>
      </c>
      <c r="D349" s="23">
        <v>11660</v>
      </c>
      <c r="E349" s="22">
        <v>43.65</v>
      </c>
      <c r="F349" s="22">
        <v>7.7462</v>
      </c>
      <c r="G349" s="24"/>
      <c r="H349" s="22">
        <v>59.2</v>
      </c>
      <c r="I349" s="9">
        <v>1.4475</v>
      </c>
      <c r="J349" s="22">
        <v>2.5110000000000001</v>
      </c>
      <c r="K349" s="13">
        <v>3.6720000000000002</v>
      </c>
      <c r="L349" s="12">
        <v>2430</v>
      </c>
      <c r="M349" s="14">
        <v>127.09</v>
      </c>
      <c r="N349" s="13">
        <v>25.732989</v>
      </c>
      <c r="O349" s="13">
        <v>19.954999999999998</v>
      </c>
      <c r="P349" s="13">
        <v>27.43</v>
      </c>
      <c r="Q349" s="12"/>
      <c r="R349" s="22">
        <v>0.62409999999999999</v>
      </c>
      <c r="S349" s="22">
        <v>0.817998</v>
      </c>
      <c r="T349" s="22">
        <v>27.33</v>
      </c>
      <c r="U349" s="22">
        <v>43.934578000000002</v>
      </c>
      <c r="V349" s="22">
        <v>57.45</v>
      </c>
    </row>
    <row r="350" spans="1:22" x14ac:dyDescent="0.3">
      <c r="A350" s="21">
        <v>35551</v>
      </c>
      <c r="B350" s="22">
        <v>35.817919000000003</v>
      </c>
      <c r="C350" s="22">
        <v>8.2920999999999996</v>
      </c>
      <c r="D350" s="23">
        <v>11656</v>
      </c>
      <c r="E350" s="22">
        <v>43.65</v>
      </c>
      <c r="F350" s="22">
        <v>7.7488999999999999</v>
      </c>
      <c r="G350" s="24"/>
      <c r="H350" s="22">
        <v>58.33</v>
      </c>
      <c r="I350" s="9">
        <v>1.4450000000000001</v>
      </c>
      <c r="J350" s="22">
        <v>2.4790000000000001</v>
      </c>
      <c r="K350" s="13">
        <v>3.6722999999999999</v>
      </c>
      <c r="L350" s="12">
        <v>2401</v>
      </c>
      <c r="M350" s="14">
        <v>123.94</v>
      </c>
      <c r="N350" s="13">
        <v>25.6</v>
      </c>
      <c r="O350" s="13">
        <v>19.829999999999998</v>
      </c>
      <c r="P350" s="13">
        <v>27.5</v>
      </c>
      <c r="Q350" s="12"/>
      <c r="R350" s="22">
        <v>0.58409999999999995</v>
      </c>
      <c r="S350" s="22">
        <v>0.79411299999999996</v>
      </c>
      <c r="T350" s="22">
        <v>28.495000000000001</v>
      </c>
      <c r="U350" s="22">
        <v>45.183503999999999</v>
      </c>
      <c r="V350" s="22">
        <v>61.411000000000001</v>
      </c>
    </row>
    <row r="351" spans="1:22" x14ac:dyDescent="0.3">
      <c r="A351" s="21">
        <v>35521</v>
      </c>
      <c r="B351" s="22">
        <v>35.828136000000001</v>
      </c>
      <c r="C351" s="22">
        <v>8.2944999999999993</v>
      </c>
      <c r="D351" s="23">
        <v>11650.5</v>
      </c>
      <c r="E351" s="22">
        <v>43.2</v>
      </c>
      <c r="F351" s="22">
        <v>7.7435</v>
      </c>
      <c r="G351" s="24"/>
      <c r="H351" s="22">
        <v>57.5</v>
      </c>
      <c r="I351" s="9">
        <v>1.425</v>
      </c>
      <c r="J351" s="22">
        <v>2.4815</v>
      </c>
      <c r="K351" s="13">
        <v>3.6728999999999998</v>
      </c>
      <c r="L351" s="12">
        <v>2396.5</v>
      </c>
      <c r="M351" s="14">
        <v>120.42</v>
      </c>
      <c r="N351" s="13">
        <v>25.462848000000001</v>
      </c>
      <c r="O351" s="13">
        <v>20.114999999999998</v>
      </c>
      <c r="P351" s="13">
        <v>27.489000000000001</v>
      </c>
      <c r="Q351" s="12"/>
      <c r="R351" s="22">
        <v>0.59489999999999998</v>
      </c>
      <c r="S351" s="22">
        <v>0.77552200000000004</v>
      </c>
      <c r="T351" s="22">
        <v>29.161999999999999</v>
      </c>
      <c r="U351" s="22">
        <v>46.230240000000002</v>
      </c>
      <c r="V351" s="22">
        <v>60.084000000000003</v>
      </c>
    </row>
    <row r="352" spans="1:22" x14ac:dyDescent="0.3">
      <c r="A352" s="21">
        <v>35490</v>
      </c>
      <c r="B352" s="22">
        <v>35.884762000000002</v>
      </c>
      <c r="C352" s="22">
        <v>8.2955000000000005</v>
      </c>
      <c r="D352" s="23">
        <v>11204.5</v>
      </c>
      <c r="E352" s="22">
        <v>42.75</v>
      </c>
      <c r="F352" s="22">
        <v>7.7492000000000001</v>
      </c>
      <c r="G352" s="24"/>
      <c r="H352" s="22">
        <v>57.69</v>
      </c>
      <c r="I352" s="9">
        <v>1.4085000000000001</v>
      </c>
      <c r="J352" s="22">
        <v>2.4857999999999998</v>
      </c>
      <c r="K352" s="13">
        <v>3.6724999999999999</v>
      </c>
      <c r="L352" s="12">
        <v>2376.5</v>
      </c>
      <c r="M352" s="14">
        <v>121.36</v>
      </c>
      <c r="N352" s="13">
        <v>25.474464999999999</v>
      </c>
      <c r="O352" s="13">
        <v>20.399999999999999</v>
      </c>
      <c r="P352" s="13">
        <v>27.54</v>
      </c>
      <c r="Q352" s="12"/>
      <c r="R352" s="22">
        <v>0.61439999999999995</v>
      </c>
      <c r="S352" s="22">
        <v>0.78400300000000001</v>
      </c>
      <c r="T352" s="22">
        <v>28.254999999999999</v>
      </c>
      <c r="U352" s="22">
        <v>45.665306000000001</v>
      </c>
      <c r="V352" s="22">
        <v>58.088999999999999</v>
      </c>
    </row>
    <row r="353" spans="1:22" x14ac:dyDescent="0.3">
      <c r="A353" s="21">
        <v>35462</v>
      </c>
      <c r="B353" s="22">
        <v>35.898850000000003</v>
      </c>
      <c r="C353" s="22">
        <v>8.2954000000000008</v>
      </c>
      <c r="D353" s="23">
        <v>11182.5</v>
      </c>
      <c r="E353" s="22">
        <v>42.45</v>
      </c>
      <c r="F353" s="22">
        <v>7.7344999999999997</v>
      </c>
      <c r="G353" s="24"/>
      <c r="H353" s="22">
        <v>56.73</v>
      </c>
      <c r="I353" s="9">
        <v>1.3995</v>
      </c>
      <c r="J353" s="22">
        <v>2.5255000000000001</v>
      </c>
      <c r="K353" s="13">
        <v>3.6720000000000002</v>
      </c>
      <c r="L353" s="12">
        <v>2362</v>
      </c>
      <c r="M353" s="14">
        <v>115.89</v>
      </c>
      <c r="N353" s="13">
        <v>25.402294000000001</v>
      </c>
      <c r="O353" s="13">
        <v>20.61</v>
      </c>
      <c r="P353" s="13">
        <v>27.48</v>
      </c>
      <c r="Q353" s="12"/>
      <c r="R353" s="22">
        <v>0.63919999999999999</v>
      </c>
      <c r="S353" s="22">
        <v>0.77525200000000005</v>
      </c>
      <c r="T353" s="22">
        <v>28.219000000000001</v>
      </c>
      <c r="U353" s="22">
        <v>46.269317000000001</v>
      </c>
      <c r="V353" s="22">
        <v>55.805</v>
      </c>
    </row>
    <row r="354" spans="1:22" x14ac:dyDescent="0.3">
      <c r="A354" s="21">
        <v>35431</v>
      </c>
      <c r="B354" s="22">
        <v>35.922632</v>
      </c>
      <c r="C354" s="22">
        <v>8.2934000000000001</v>
      </c>
      <c r="D354" s="23">
        <v>11150.5</v>
      </c>
      <c r="E354" s="22">
        <v>42.45</v>
      </c>
      <c r="F354" s="22">
        <v>7.7320000000000002</v>
      </c>
      <c r="G354" s="24"/>
      <c r="H354" s="22">
        <v>56.63</v>
      </c>
      <c r="I354" s="9">
        <v>1.4025000000000001</v>
      </c>
      <c r="J354" s="22">
        <v>2.5270000000000001</v>
      </c>
      <c r="K354" s="13">
        <v>3.6728000000000001</v>
      </c>
      <c r="L354" s="12">
        <v>2345</v>
      </c>
      <c r="M354" s="14">
        <v>113.96</v>
      </c>
      <c r="N354" s="13">
        <v>25.289090999999999</v>
      </c>
      <c r="O354" s="13">
        <v>20.245000000000001</v>
      </c>
      <c r="P354" s="13">
        <v>27.471</v>
      </c>
      <c r="Q354" s="12"/>
      <c r="R354" s="22">
        <v>0.6401</v>
      </c>
      <c r="S354" s="22">
        <v>0.76526300000000003</v>
      </c>
      <c r="T354" s="22">
        <v>28.148</v>
      </c>
      <c r="U354" s="22">
        <v>46.781759000000001</v>
      </c>
      <c r="V354" s="22">
        <v>55.686999999999998</v>
      </c>
    </row>
    <row r="355" spans="1:22" x14ac:dyDescent="0.3">
      <c r="A355" s="21">
        <v>35400</v>
      </c>
      <c r="B355" s="22">
        <v>35.880091</v>
      </c>
      <c r="C355" s="22">
        <v>8.2984000000000009</v>
      </c>
      <c r="D355" s="23">
        <v>11094.5</v>
      </c>
      <c r="E355" s="22">
        <v>42.45</v>
      </c>
      <c r="F355" s="22">
        <v>7.7323000000000004</v>
      </c>
      <c r="G355" s="24"/>
      <c r="H355" s="22">
        <v>57.05</v>
      </c>
      <c r="I355" s="9">
        <v>1.4095</v>
      </c>
      <c r="J355" s="22">
        <v>2.5270000000000001</v>
      </c>
      <c r="K355" s="13">
        <v>3.6724999999999999</v>
      </c>
      <c r="L355" s="12">
        <v>2329.3000000000002</v>
      </c>
      <c r="M355" s="14">
        <v>114.04</v>
      </c>
      <c r="N355" s="13">
        <v>25.352163000000001</v>
      </c>
      <c r="O355" s="13">
        <v>20.05</v>
      </c>
      <c r="P355" s="13">
        <v>27.518000000000001</v>
      </c>
      <c r="Q355" s="12"/>
      <c r="R355" s="22">
        <v>0.64280000000000004</v>
      </c>
      <c r="S355" s="22">
        <v>0.77398500000000003</v>
      </c>
      <c r="T355" s="22">
        <v>27.471</v>
      </c>
      <c r="U355" s="22">
        <v>46.054588000000003</v>
      </c>
      <c r="V355" s="22">
        <v>55.335000000000001</v>
      </c>
    </row>
    <row r="356" spans="1:22" x14ac:dyDescent="0.3">
      <c r="A356" s="21">
        <v>35370</v>
      </c>
      <c r="B356" s="22">
        <v>35.851078000000001</v>
      </c>
      <c r="C356" s="22">
        <v>8.3011999999999997</v>
      </c>
      <c r="D356" s="23">
        <v>11065</v>
      </c>
      <c r="E356" s="22">
        <v>43.649825999999997</v>
      </c>
      <c r="F356" s="22">
        <v>7.7327000000000004</v>
      </c>
      <c r="G356" s="24"/>
      <c r="H356" s="22">
        <v>56.6</v>
      </c>
      <c r="I356" s="9">
        <v>1.4076</v>
      </c>
      <c r="J356" s="22">
        <v>2.5062000000000002</v>
      </c>
      <c r="K356" s="13">
        <v>3.673</v>
      </c>
      <c r="L356" s="12">
        <v>2322.8000000000002</v>
      </c>
      <c r="M356" s="14">
        <v>110.84</v>
      </c>
      <c r="N356" s="13">
        <v>25.353999999999999</v>
      </c>
      <c r="O356" s="13">
        <v>20.015000000000001</v>
      </c>
      <c r="P356" s="13">
        <v>27.52</v>
      </c>
      <c r="Q356" s="12"/>
      <c r="R356" s="22">
        <v>0.64390000000000003</v>
      </c>
      <c r="S356" s="22">
        <v>0.785362</v>
      </c>
      <c r="T356" s="22">
        <v>27.542999999999999</v>
      </c>
      <c r="U356" s="22">
        <v>44.693018000000002</v>
      </c>
      <c r="V356" s="22">
        <v>54.267000000000003</v>
      </c>
    </row>
    <row r="357" spans="1:22" x14ac:dyDescent="0.3">
      <c r="A357" s="21">
        <v>35339</v>
      </c>
      <c r="B357" s="22">
        <v>35.800514999999997</v>
      </c>
      <c r="C357" s="22">
        <v>8.3000000000000007</v>
      </c>
      <c r="D357" s="23">
        <v>11030.5</v>
      </c>
      <c r="E357" s="22">
        <v>43.284039</v>
      </c>
      <c r="F357" s="22">
        <v>7.7324999999999999</v>
      </c>
      <c r="G357" s="24"/>
      <c r="H357" s="22">
        <v>55.6</v>
      </c>
      <c r="I357" s="9">
        <v>1.4065000000000001</v>
      </c>
      <c r="J357" s="22">
        <v>2.4935</v>
      </c>
      <c r="K357" s="13">
        <v>3.6732</v>
      </c>
      <c r="L357" s="12">
        <v>2342</v>
      </c>
      <c r="M357" s="14">
        <v>108.91</v>
      </c>
      <c r="N357" s="13">
        <v>25.290870000000002</v>
      </c>
      <c r="O357" s="13">
        <v>19.55</v>
      </c>
      <c r="P357" s="13">
        <v>27.677</v>
      </c>
      <c r="Q357" s="12"/>
      <c r="R357" s="22">
        <v>0.64510000000000001</v>
      </c>
      <c r="S357" s="22">
        <v>0.788358</v>
      </c>
      <c r="T357" s="22">
        <v>27.913</v>
      </c>
      <c r="U357" s="22">
        <v>44.440860000000001</v>
      </c>
      <c r="V357" s="22">
        <v>54.209000000000003</v>
      </c>
    </row>
    <row r="358" spans="1:22" x14ac:dyDescent="0.3">
      <c r="A358" s="21">
        <v>35309</v>
      </c>
      <c r="B358" s="22">
        <v>35.868250000000003</v>
      </c>
      <c r="C358" s="22">
        <v>8.3017000000000003</v>
      </c>
      <c r="D358" s="23">
        <v>11019.5</v>
      </c>
      <c r="E358" s="22">
        <v>42.806511999999998</v>
      </c>
      <c r="F358" s="22">
        <v>7.7335000000000003</v>
      </c>
      <c r="G358" s="24"/>
      <c r="H358" s="22">
        <v>55.12</v>
      </c>
      <c r="I358" s="9">
        <v>1.4131</v>
      </c>
      <c r="J358" s="22">
        <v>2.4952000000000001</v>
      </c>
      <c r="K358" s="13">
        <v>3.6728000000000001</v>
      </c>
      <c r="L358" s="12">
        <v>2352.5</v>
      </c>
      <c r="M358" s="14">
        <v>106.84</v>
      </c>
      <c r="N358" s="13">
        <v>25.29</v>
      </c>
      <c r="O358" s="13">
        <v>19.414999999999999</v>
      </c>
      <c r="P358" s="13">
        <v>27.173999999999999</v>
      </c>
      <c r="Q358" s="12"/>
      <c r="R358" s="22">
        <v>0.6653</v>
      </c>
      <c r="S358" s="22">
        <v>0.77536700000000003</v>
      </c>
      <c r="T358" s="22">
        <v>27.279</v>
      </c>
      <c r="U358" s="22">
        <v>44.265253999999999</v>
      </c>
      <c r="V358" s="22">
        <v>52.198</v>
      </c>
    </row>
    <row r="359" spans="1:22" x14ac:dyDescent="0.3">
      <c r="A359" s="21">
        <v>35278</v>
      </c>
      <c r="B359" s="22">
        <v>35.799999999999997</v>
      </c>
      <c r="C359" s="22">
        <v>8.3063000000000002</v>
      </c>
      <c r="D359" s="23">
        <v>11020</v>
      </c>
      <c r="E359" s="22">
        <v>43.233561999999999</v>
      </c>
      <c r="F359" s="22">
        <v>7.7409999999999997</v>
      </c>
      <c r="G359" s="24"/>
      <c r="H359" s="22">
        <v>55.505000000000003</v>
      </c>
      <c r="I359" s="9">
        <v>1.4115</v>
      </c>
      <c r="J359" s="22">
        <v>2.4950000000000001</v>
      </c>
      <c r="K359" s="13">
        <v>3.6726999999999999</v>
      </c>
      <c r="L359" s="12">
        <v>2326.5</v>
      </c>
      <c r="M359" s="14">
        <v>109.74</v>
      </c>
      <c r="N359" s="13">
        <v>25.250475999999999</v>
      </c>
      <c r="O359" s="13">
        <v>18.934999999999999</v>
      </c>
      <c r="P359" s="13">
        <v>27.27</v>
      </c>
      <c r="Q359" s="12"/>
      <c r="R359" s="22">
        <v>0.6552</v>
      </c>
      <c r="S359" s="22">
        <v>0.76519499999999996</v>
      </c>
      <c r="T359" s="22">
        <v>26.677</v>
      </c>
      <c r="U359" s="22">
        <v>45.067785999999998</v>
      </c>
      <c r="V359" s="22">
        <v>52.054000000000002</v>
      </c>
    </row>
    <row r="360" spans="1:22" x14ac:dyDescent="0.3">
      <c r="A360" s="21">
        <v>35247</v>
      </c>
      <c r="B360" s="22">
        <v>35.636952000000001</v>
      </c>
      <c r="C360" s="22">
        <v>8.3107000000000006</v>
      </c>
      <c r="D360" s="23">
        <v>11014</v>
      </c>
      <c r="E360" s="22">
        <v>43.840200000000003</v>
      </c>
      <c r="F360" s="22">
        <v>7.7366999999999999</v>
      </c>
      <c r="G360" s="24"/>
      <c r="H360" s="22">
        <v>54.95</v>
      </c>
      <c r="I360" s="9">
        <v>1.4079999999999999</v>
      </c>
      <c r="J360" s="22">
        <v>2.496</v>
      </c>
      <c r="K360" s="13">
        <v>3.6726999999999999</v>
      </c>
      <c r="L360" s="12">
        <v>2332.5</v>
      </c>
      <c r="M360" s="14">
        <v>108.11</v>
      </c>
      <c r="N360" s="13">
        <v>25.234650999999999</v>
      </c>
      <c r="O360" s="13">
        <v>18.684999999999999</v>
      </c>
      <c r="P360" s="13">
        <v>27.498000000000001</v>
      </c>
      <c r="Q360" s="12"/>
      <c r="R360" s="22">
        <v>0.65310000000000001</v>
      </c>
      <c r="S360" s="22">
        <v>0.76090000000000002</v>
      </c>
      <c r="T360" s="22">
        <v>26.507999999999999</v>
      </c>
      <c r="U360" s="22">
        <v>48.062868999999999</v>
      </c>
      <c r="V360" s="22">
        <v>53.125999999999998</v>
      </c>
    </row>
    <row r="361" spans="1:22" x14ac:dyDescent="0.3">
      <c r="A361" s="21">
        <v>35217</v>
      </c>
      <c r="B361" s="22">
        <v>35.099499999999999</v>
      </c>
      <c r="C361" s="22">
        <v>8.3221000000000007</v>
      </c>
      <c r="D361" s="23">
        <v>11011.5</v>
      </c>
      <c r="E361" s="22">
        <v>44.067968999999998</v>
      </c>
      <c r="F361" s="22">
        <v>7.7356999999999996</v>
      </c>
      <c r="G361" s="24"/>
      <c r="H361" s="22">
        <v>54.734999999999999</v>
      </c>
      <c r="I361" s="9">
        <v>1.4059999999999999</v>
      </c>
      <c r="J361" s="22">
        <v>2.4935</v>
      </c>
      <c r="K361" s="13">
        <v>3.6728999999999998</v>
      </c>
      <c r="L361" s="12">
        <v>2328.5</v>
      </c>
      <c r="M361" s="14">
        <v>105.17</v>
      </c>
      <c r="N361" s="13">
        <v>25.292622999999999</v>
      </c>
      <c r="O361" s="13">
        <v>18.765000000000001</v>
      </c>
      <c r="P361" s="13">
        <v>27.47</v>
      </c>
      <c r="Q361" s="12"/>
      <c r="R361" s="22">
        <v>0.66149999999999998</v>
      </c>
      <c r="S361" s="22">
        <v>0.75802899999999995</v>
      </c>
      <c r="T361" s="22">
        <v>27.193999999999999</v>
      </c>
      <c r="U361" s="22">
        <v>47.209175999999999</v>
      </c>
      <c r="V361" s="22">
        <v>55.149000000000001</v>
      </c>
    </row>
    <row r="362" spans="1:22" x14ac:dyDescent="0.3">
      <c r="A362" s="21">
        <v>35186</v>
      </c>
      <c r="B362" s="22">
        <v>35.034782999999997</v>
      </c>
      <c r="C362" s="22">
        <v>8.3254999999999999</v>
      </c>
      <c r="D362" s="23">
        <v>11013</v>
      </c>
      <c r="E362" s="22">
        <v>43.410007</v>
      </c>
      <c r="F362" s="22">
        <v>7.7347000000000001</v>
      </c>
      <c r="G362" s="24"/>
      <c r="H362" s="22">
        <v>53.685000000000002</v>
      </c>
      <c r="I362" s="9">
        <v>1.409</v>
      </c>
      <c r="J362" s="22">
        <v>2.5339999999999998</v>
      </c>
      <c r="K362" s="13">
        <v>3.6728000000000001</v>
      </c>
      <c r="L362" s="12">
        <v>2338</v>
      </c>
      <c r="M362" s="14">
        <v>107.34</v>
      </c>
      <c r="N362" s="13">
        <v>25.164762</v>
      </c>
      <c r="O362" s="13">
        <v>18.204999999999998</v>
      </c>
      <c r="P362" s="13">
        <v>27.286999999999999</v>
      </c>
      <c r="Q362" s="12"/>
      <c r="R362" s="22">
        <v>0.64500000000000002</v>
      </c>
      <c r="S362" s="22">
        <v>0.75092400000000004</v>
      </c>
      <c r="T362" s="22">
        <v>26.119</v>
      </c>
      <c r="U362" s="22">
        <v>46.566862</v>
      </c>
      <c r="V362" s="22">
        <v>54.531999999999996</v>
      </c>
    </row>
    <row r="363" spans="1:22" x14ac:dyDescent="0.3">
      <c r="A363" s="21">
        <v>35156</v>
      </c>
      <c r="B363" s="22">
        <v>34.319544999999998</v>
      </c>
      <c r="C363" s="22">
        <v>8.3300999999999998</v>
      </c>
      <c r="D363" s="23">
        <v>11013</v>
      </c>
      <c r="E363" s="22">
        <v>42.867637000000002</v>
      </c>
      <c r="F363" s="22">
        <v>7.7314999999999996</v>
      </c>
      <c r="G363" s="24"/>
      <c r="H363" s="22">
        <v>53.685000000000002</v>
      </c>
      <c r="I363" s="9">
        <v>1.4123000000000001</v>
      </c>
      <c r="J363" s="22">
        <v>2.548</v>
      </c>
      <c r="K363" s="13">
        <v>3.673</v>
      </c>
      <c r="L363" s="12">
        <v>2316.5</v>
      </c>
      <c r="M363" s="14">
        <v>105.16</v>
      </c>
      <c r="N363" s="13">
        <v>25.165467</v>
      </c>
      <c r="O363" s="13">
        <v>18.190000000000001</v>
      </c>
      <c r="P363" s="13">
        <v>27.312000000000001</v>
      </c>
      <c r="Q363" s="12"/>
      <c r="R363" s="22">
        <v>0.65400000000000003</v>
      </c>
      <c r="S363" s="22">
        <v>0.73992800000000003</v>
      </c>
      <c r="T363" s="22">
        <v>25.95</v>
      </c>
      <c r="U363" s="22">
        <v>46.921104999999997</v>
      </c>
      <c r="V363" s="22">
        <v>53.454000000000001</v>
      </c>
    </row>
    <row r="364" spans="1:22" x14ac:dyDescent="0.3">
      <c r="A364" s="21">
        <v>35125</v>
      </c>
      <c r="B364" s="22">
        <v>34.485238000000003</v>
      </c>
      <c r="C364" s="22">
        <v>8.3338000000000001</v>
      </c>
      <c r="D364" s="23">
        <v>11012.5</v>
      </c>
      <c r="E364" s="22">
        <v>42.627983999999998</v>
      </c>
      <c r="F364" s="22">
        <v>7.7324999999999999</v>
      </c>
      <c r="G364" s="24"/>
      <c r="H364" s="22">
        <v>53.685000000000002</v>
      </c>
      <c r="I364" s="9">
        <v>1.4198</v>
      </c>
      <c r="J364" s="22">
        <v>2.5608</v>
      </c>
      <c r="K364" s="13">
        <v>3.673</v>
      </c>
      <c r="L364" s="12">
        <v>2292</v>
      </c>
      <c r="M364" s="14">
        <v>106.94</v>
      </c>
      <c r="N364" s="13">
        <v>25.114032999999999</v>
      </c>
      <c r="O364" s="13">
        <v>17.925000000000001</v>
      </c>
      <c r="P364" s="13">
        <v>26.986999999999998</v>
      </c>
      <c r="Q364" s="12"/>
      <c r="R364" s="22">
        <v>0.63260000000000005</v>
      </c>
      <c r="S364" s="22">
        <v>0.74173500000000003</v>
      </c>
      <c r="T364" s="22">
        <v>26.010999999999999</v>
      </c>
      <c r="U364" s="22">
        <v>46.683886000000001</v>
      </c>
      <c r="V364" s="22">
        <v>54.052999999999997</v>
      </c>
    </row>
    <row r="365" spans="1:22" x14ac:dyDescent="0.3">
      <c r="A365" s="21">
        <v>35096</v>
      </c>
      <c r="B365" s="22">
        <v>36.571534</v>
      </c>
      <c r="C365" s="22">
        <v>8.3210999999999995</v>
      </c>
      <c r="D365" s="23">
        <v>11012.5</v>
      </c>
      <c r="E365" s="22">
        <v>42.494788999999997</v>
      </c>
      <c r="F365" s="22">
        <v>7.7324999999999999</v>
      </c>
      <c r="G365" s="24"/>
      <c r="H365" s="22">
        <v>54.05</v>
      </c>
      <c r="I365" s="9">
        <v>1.4142999999999999</v>
      </c>
      <c r="J365" s="22">
        <v>2.5390000000000001</v>
      </c>
      <c r="K365" s="13">
        <v>3.6728000000000001</v>
      </c>
      <c r="L365" s="12">
        <v>2286.5</v>
      </c>
      <c r="M365" s="14">
        <v>103.53</v>
      </c>
      <c r="N365" s="13">
        <v>25.119273</v>
      </c>
      <c r="O365" s="13">
        <v>17.824999999999999</v>
      </c>
      <c r="P365" s="13">
        <v>27.062000000000001</v>
      </c>
      <c r="Q365" s="12"/>
      <c r="R365" s="22">
        <v>0.63190000000000002</v>
      </c>
      <c r="S365" s="22">
        <v>0.76211399999999996</v>
      </c>
      <c r="T365" s="22">
        <v>25.625</v>
      </c>
      <c r="U365" s="22">
        <v>43.626891000000001</v>
      </c>
      <c r="V365" s="22">
        <v>53.720999999999997</v>
      </c>
    </row>
    <row r="366" spans="1:22" x14ac:dyDescent="0.3">
      <c r="A366" s="21">
        <v>35065</v>
      </c>
      <c r="B366" s="22">
        <v>35.782229999999998</v>
      </c>
      <c r="C366" s="22">
        <v>8.3138000000000005</v>
      </c>
      <c r="D366" s="23">
        <v>11011</v>
      </c>
      <c r="E366" s="22">
        <v>37.985072000000002</v>
      </c>
      <c r="F366" s="22">
        <v>7.7347999999999999</v>
      </c>
      <c r="G366" s="24"/>
      <c r="H366" s="22">
        <v>53.25</v>
      </c>
      <c r="I366" s="9">
        <v>1.4112</v>
      </c>
      <c r="J366" s="22">
        <v>2.5373000000000001</v>
      </c>
      <c r="K366" s="13">
        <v>3.6726000000000001</v>
      </c>
      <c r="L366" s="12">
        <v>2283.5</v>
      </c>
      <c r="M366" s="14">
        <v>102.04</v>
      </c>
      <c r="N366" s="13">
        <v>24.960435</v>
      </c>
      <c r="O366" s="13">
        <v>18.204999999999998</v>
      </c>
      <c r="P366" s="13">
        <v>27.498000000000001</v>
      </c>
      <c r="Q366" s="12"/>
      <c r="R366" s="22">
        <v>0.64559999999999995</v>
      </c>
      <c r="S366" s="22">
        <v>0.75283999999999995</v>
      </c>
      <c r="T366" s="22">
        <v>23.925000000000001</v>
      </c>
      <c r="U366" s="22">
        <v>41.982900000000001</v>
      </c>
      <c r="V366" s="22">
        <v>49.37</v>
      </c>
    </row>
    <row r="367" spans="1:22" x14ac:dyDescent="0.3">
      <c r="A367" s="21">
        <v>35034</v>
      </c>
      <c r="B367" s="22">
        <v>34.967381000000003</v>
      </c>
      <c r="C367" s="22">
        <v>8.3173999999999992</v>
      </c>
      <c r="D367" s="23">
        <v>11010</v>
      </c>
      <c r="E367" s="22">
        <v>37.426640999999996</v>
      </c>
      <c r="F367" s="22">
        <v>7.7313000000000001</v>
      </c>
      <c r="G367" s="24"/>
      <c r="H367" s="22">
        <v>52.585000000000001</v>
      </c>
      <c r="I367" s="9">
        <v>1.4139999999999999</v>
      </c>
      <c r="J367" s="22">
        <v>2.5411999999999999</v>
      </c>
      <c r="K367" s="13">
        <v>3.673</v>
      </c>
      <c r="L367" s="12">
        <v>2271</v>
      </c>
      <c r="M367" s="14">
        <v>101.92</v>
      </c>
      <c r="N367" s="13">
        <v>24.749862</v>
      </c>
      <c r="O367" s="13">
        <v>17.545000000000002</v>
      </c>
      <c r="P367" s="13">
        <v>26.469000000000001</v>
      </c>
      <c r="Q367" s="12"/>
      <c r="R367" s="22">
        <v>0.62460000000000004</v>
      </c>
      <c r="S367" s="22">
        <v>0.72877800000000004</v>
      </c>
      <c r="T367" s="22">
        <v>23.201000000000001</v>
      </c>
      <c r="U367" s="22">
        <v>43.066544999999998</v>
      </c>
      <c r="V367" s="22">
        <v>50.186</v>
      </c>
    </row>
    <row r="368" spans="1:22" x14ac:dyDescent="0.3">
      <c r="A368" s="21">
        <v>35004</v>
      </c>
      <c r="B368" s="22">
        <v>34.717362999999999</v>
      </c>
      <c r="C368" s="22">
        <v>8.3116000000000003</v>
      </c>
      <c r="D368" s="23">
        <v>11006</v>
      </c>
      <c r="E368" s="22">
        <v>37.473666999999999</v>
      </c>
      <c r="F368" s="22">
        <v>7.7320000000000002</v>
      </c>
      <c r="G368" s="24"/>
      <c r="H368" s="22">
        <v>52.54</v>
      </c>
      <c r="I368" s="9">
        <v>1.4242999999999999</v>
      </c>
      <c r="J368" s="22">
        <v>2.5150000000000001</v>
      </c>
      <c r="K368" s="13">
        <v>3.6726999999999999</v>
      </c>
      <c r="L368" s="12">
        <v>2265.5</v>
      </c>
      <c r="M368" s="14">
        <v>99.74</v>
      </c>
      <c r="N368" s="13">
        <v>24.671817999999998</v>
      </c>
      <c r="O368" s="13">
        <v>17.434999999999999</v>
      </c>
      <c r="P368" s="13">
        <v>25.827999999999999</v>
      </c>
      <c r="Q368" s="12"/>
      <c r="R368" s="22">
        <v>0.62860000000000005</v>
      </c>
      <c r="S368" s="22">
        <v>0.73715699999999995</v>
      </c>
      <c r="T368" s="22">
        <v>22.276</v>
      </c>
      <c r="U368" s="22">
        <v>42.603659999999998</v>
      </c>
      <c r="V368" s="22">
        <v>50.082999999999998</v>
      </c>
    </row>
    <row r="369" spans="1:22" x14ac:dyDescent="0.3">
      <c r="A369" s="21">
        <v>34973</v>
      </c>
      <c r="B369" s="22">
        <v>34.619968999999998</v>
      </c>
      <c r="C369" s="22">
        <v>8.3148999999999997</v>
      </c>
      <c r="D369" s="23">
        <v>11022.5</v>
      </c>
      <c r="E369" s="22">
        <v>38.449466999999999</v>
      </c>
      <c r="F369" s="22">
        <v>7.7409999999999997</v>
      </c>
      <c r="G369" s="24"/>
      <c r="H369" s="22">
        <v>51.65</v>
      </c>
      <c r="I369" s="9">
        <v>1.4205000000000001</v>
      </c>
      <c r="J369" s="22">
        <v>2.4935</v>
      </c>
      <c r="K369" s="13">
        <v>3.673</v>
      </c>
      <c r="L369" s="12">
        <v>2266.5</v>
      </c>
      <c r="M369" s="14">
        <v>97.47</v>
      </c>
      <c r="N369" s="13">
        <v>24.663800999999999</v>
      </c>
      <c r="O369" s="13">
        <v>17.395</v>
      </c>
      <c r="P369" s="13">
        <v>25.576000000000001</v>
      </c>
      <c r="Q369" s="12"/>
      <c r="R369" s="22">
        <v>0.629</v>
      </c>
      <c r="S369" s="22">
        <v>0.74333300000000002</v>
      </c>
      <c r="T369" s="22">
        <v>22.568000000000001</v>
      </c>
      <c r="U369" s="22">
        <v>42.287891000000002</v>
      </c>
      <c r="V369" s="22">
        <v>49.868000000000002</v>
      </c>
    </row>
    <row r="370" spans="1:22" x14ac:dyDescent="0.3">
      <c r="A370" s="21">
        <v>34943</v>
      </c>
      <c r="B370" s="22">
        <v>33.236511</v>
      </c>
      <c r="C370" s="22">
        <v>8.3185000000000002</v>
      </c>
      <c r="D370" s="23">
        <v>11030.5</v>
      </c>
      <c r="E370" s="22">
        <v>38.001246000000002</v>
      </c>
      <c r="F370" s="22">
        <v>7.7382</v>
      </c>
      <c r="G370" s="24"/>
      <c r="H370" s="22">
        <v>50.59</v>
      </c>
      <c r="I370" s="9">
        <v>1.3939999999999999</v>
      </c>
      <c r="J370" s="22">
        <v>2.4577</v>
      </c>
      <c r="K370" s="13">
        <v>3.673</v>
      </c>
      <c r="L370" s="12">
        <v>2235</v>
      </c>
      <c r="M370" s="14">
        <v>88.48</v>
      </c>
      <c r="N370" s="13">
        <v>24.57225</v>
      </c>
      <c r="O370" s="13"/>
      <c r="P370" s="13">
        <v>25.401</v>
      </c>
      <c r="Q370" s="12"/>
      <c r="R370" s="22">
        <v>0.62119999999999997</v>
      </c>
      <c r="S370" s="22">
        <v>0.73218300000000003</v>
      </c>
      <c r="T370" s="22">
        <v>22.875</v>
      </c>
      <c r="U370" s="22">
        <v>42.898097</v>
      </c>
      <c r="V370" s="22">
        <v>50.685000000000002</v>
      </c>
    </row>
    <row r="371" spans="1:22" x14ac:dyDescent="0.3">
      <c r="A371" s="21">
        <v>34912</v>
      </c>
      <c r="B371" s="22">
        <v>31.592348000000001</v>
      </c>
      <c r="C371" s="22">
        <v>8.3198000000000008</v>
      </c>
      <c r="D371" s="23">
        <v>11039</v>
      </c>
      <c r="E371" s="22">
        <v>36.841586</v>
      </c>
      <c r="F371" s="22">
        <v>7.7377000000000002</v>
      </c>
      <c r="G371" s="24"/>
      <c r="H371" s="22">
        <v>50.344999999999999</v>
      </c>
      <c r="I371" s="9">
        <v>1.397</v>
      </c>
      <c r="J371" s="22">
        <v>2.4380000000000002</v>
      </c>
      <c r="K371" s="13">
        <v>3.6728000000000001</v>
      </c>
      <c r="L371" s="12">
        <v>2227</v>
      </c>
      <c r="M371" s="14">
        <v>84.64</v>
      </c>
      <c r="N371" s="13">
        <v>24.760435000000001</v>
      </c>
      <c r="O371" s="13"/>
      <c r="P371" s="13">
        <v>25.997</v>
      </c>
      <c r="Q371" s="12"/>
      <c r="R371" s="22">
        <v>0.61429999999999996</v>
      </c>
      <c r="S371" s="22">
        <v>0.74619599999999997</v>
      </c>
      <c r="T371" s="22">
        <v>23.065999999999999</v>
      </c>
      <c r="U371" s="22">
        <v>42.337739999999997</v>
      </c>
      <c r="V371" s="22">
        <v>50.954999999999998</v>
      </c>
    </row>
    <row r="372" spans="1:22" x14ac:dyDescent="0.3">
      <c r="A372" s="21">
        <v>34881</v>
      </c>
      <c r="B372" s="22">
        <v>31.385041000000001</v>
      </c>
      <c r="C372" s="22">
        <v>8.3003</v>
      </c>
      <c r="D372" s="23">
        <v>11046</v>
      </c>
      <c r="E372" s="22">
        <v>37.222710999999997</v>
      </c>
      <c r="F372" s="22">
        <v>7.7355</v>
      </c>
      <c r="G372" s="24"/>
      <c r="H372" s="22">
        <v>49.604999999999997</v>
      </c>
      <c r="I372" s="9">
        <v>1.3919999999999999</v>
      </c>
      <c r="J372" s="22">
        <v>2.4660000000000002</v>
      </c>
      <c r="K372" s="13">
        <v>3.6728999999999998</v>
      </c>
      <c r="L372" s="12">
        <v>2226.5</v>
      </c>
      <c r="M372" s="14">
        <v>84.56</v>
      </c>
      <c r="N372" s="13">
        <v>25.010339999999999</v>
      </c>
      <c r="O372" s="13"/>
      <c r="P372" s="13">
        <v>26.346</v>
      </c>
      <c r="Q372" s="12"/>
      <c r="R372" s="22">
        <v>0.63260000000000005</v>
      </c>
      <c r="S372" s="22">
        <v>0.78322099999999995</v>
      </c>
      <c r="T372" s="22">
        <v>23.225999999999999</v>
      </c>
      <c r="U372" s="22">
        <v>40.059230999999997</v>
      </c>
      <c r="V372" s="22">
        <v>49.747999999999998</v>
      </c>
    </row>
    <row r="373" spans="1:22" x14ac:dyDescent="0.3">
      <c r="A373" s="21">
        <v>34851</v>
      </c>
      <c r="B373" s="22">
        <v>31.403682</v>
      </c>
      <c r="C373" s="22">
        <v>8.3010999999999999</v>
      </c>
      <c r="D373" s="23">
        <v>11051</v>
      </c>
      <c r="E373" s="22">
        <v>37.520271000000001</v>
      </c>
      <c r="F373" s="22">
        <v>7.742</v>
      </c>
      <c r="G373" s="24"/>
      <c r="H373" s="22">
        <v>49.36</v>
      </c>
      <c r="I373" s="9">
        <v>1.3939999999999999</v>
      </c>
      <c r="J373" s="22">
        <v>2.4689999999999999</v>
      </c>
      <c r="K373" s="13">
        <v>3.673</v>
      </c>
      <c r="L373" s="12">
        <v>2233</v>
      </c>
      <c r="M373" s="14">
        <v>84.29</v>
      </c>
      <c r="N373" s="13">
        <v>25.142491</v>
      </c>
      <c r="O373" s="13"/>
      <c r="P373" s="13">
        <v>26.29</v>
      </c>
      <c r="Q373" s="12"/>
      <c r="R373" s="22">
        <v>0.63009999999999999</v>
      </c>
      <c r="S373" s="22">
        <v>0.79586299999999999</v>
      </c>
      <c r="T373" s="22">
        <v>23.736000000000001</v>
      </c>
      <c r="U373" s="22">
        <v>39.433017999999997</v>
      </c>
      <c r="V373" s="22">
        <v>49.540999999999997</v>
      </c>
    </row>
    <row r="374" spans="1:22" x14ac:dyDescent="0.3">
      <c r="A374" s="21">
        <v>34820</v>
      </c>
      <c r="B374" s="22">
        <v>31.420846999999998</v>
      </c>
      <c r="C374" s="22">
        <v>8.3055000000000003</v>
      </c>
      <c r="D374" s="23">
        <v>10131.146500000001</v>
      </c>
      <c r="E374" s="22">
        <v>36.968319000000001</v>
      </c>
      <c r="F374" s="22">
        <v>7.7324999999999999</v>
      </c>
      <c r="G374" s="24"/>
      <c r="H374" s="22">
        <v>49.45</v>
      </c>
      <c r="I374" s="9">
        <v>1.411</v>
      </c>
      <c r="J374" s="22">
        <v>2.5289999999999999</v>
      </c>
      <c r="K374" s="13">
        <v>3.6726999999999999</v>
      </c>
      <c r="L374" s="12">
        <v>2238</v>
      </c>
      <c r="M374" s="14">
        <v>86.59</v>
      </c>
      <c r="N374" s="13">
        <v>25.110181999999998</v>
      </c>
      <c r="O374" s="13"/>
      <c r="P374" s="13">
        <v>26.288</v>
      </c>
      <c r="Q374" s="12"/>
      <c r="R374" s="22">
        <v>0.63919999999999999</v>
      </c>
      <c r="S374" s="22">
        <v>0.81326500000000002</v>
      </c>
      <c r="T374" s="22">
        <v>24.318999999999999</v>
      </c>
      <c r="U374" s="22">
        <v>38.597608000000001</v>
      </c>
      <c r="V374" s="22">
        <v>49.139000000000003</v>
      </c>
    </row>
    <row r="375" spans="1:22" x14ac:dyDescent="0.3">
      <c r="A375" s="21">
        <v>34790</v>
      </c>
      <c r="B375" s="22">
        <v>31.407250000000001</v>
      </c>
      <c r="C375" s="22">
        <v>8.4074000000000009</v>
      </c>
      <c r="D375" s="23">
        <v>10310.412651000001</v>
      </c>
      <c r="E375" s="22">
        <v>37.622456999999997</v>
      </c>
      <c r="F375" s="22">
        <v>7.7314999999999996</v>
      </c>
      <c r="G375" s="24"/>
      <c r="H375" s="22">
        <v>49.88</v>
      </c>
      <c r="I375" s="9">
        <v>1.4495</v>
      </c>
      <c r="J375" s="22">
        <v>2.5531999999999999</v>
      </c>
      <c r="K375" s="13">
        <v>3.6726000000000001</v>
      </c>
      <c r="L375" s="12">
        <v>2216.5</v>
      </c>
      <c r="M375" s="14">
        <v>96.68</v>
      </c>
      <c r="N375" s="13">
        <v>25.001231000000001</v>
      </c>
      <c r="O375" s="13"/>
      <c r="P375" s="13">
        <v>26.268000000000001</v>
      </c>
      <c r="Q375" s="12"/>
      <c r="R375" s="22">
        <v>0.63890000000000002</v>
      </c>
      <c r="S375" s="22">
        <v>0.79477100000000001</v>
      </c>
      <c r="T375" s="22">
        <v>24.135000000000002</v>
      </c>
      <c r="U375" s="22">
        <v>39.525089999999999</v>
      </c>
      <c r="V375" s="22">
        <v>49.142000000000003</v>
      </c>
    </row>
    <row r="376" spans="1:22" x14ac:dyDescent="0.3">
      <c r="A376" s="21">
        <v>34759</v>
      </c>
      <c r="B376" s="22">
        <v>31.586542999999999</v>
      </c>
      <c r="C376" s="22">
        <v>8.4263999999999992</v>
      </c>
      <c r="D376" s="23">
        <v>10788.775444999999</v>
      </c>
      <c r="E376" s="22">
        <v>39.367991000000004</v>
      </c>
      <c r="F376" s="22">
        <v>7.7335000000000003</v>
      </c>
      <c r="G376" s="24"/>
      <c r="H376" s="22">
        <v>49.96</v>
      </c>
      <c r="I376" s="9">
        <v>1.4542999999999999</v>
      </c>
      <c r="J376" s="22">
        <v>2.5565000000000002</v>
      </c>
      <c r="K376" s="13">
        <v>3.673</v>
      </c>
      <c r="L376" s="12">
        <v>2217</v>
      </c>
      <c r="M376" s="14">
        <v>99.59</v>
      </c>
      <c r="N376" s="13">
        <v>25.009432</v>
      </c>
      <c r="O376" s="13"/>
      <c r="P376" s="13">
        <v>26.047000000000001</v>
      </c>
      <c r="Q376" s="12"/>
      <c r="R376" s="22">
        <v>0.61329999999999996</v>
      </c>
      <c r="S376" s="22">
        <v>0.78365700000000005</v>
      </c>
      <c r="T376" s="22">
        <v>23.302</v>
      </c>
      <c r="U376" s="22">
        <v>40.052598000000003</v>
      </c>
      <c r="V376" s="22">
        <v>51.332999999999998</v>
      </c>
    </row>
    <row r="377" spans="1:22" x14ac:dyDescent="0.3">
      <c r="A377" s="21">
        <v>34731</v>
      </c>
      <c r="B377" s="22">
        <v>31.369385000000001</v>
      </c>
      <c r="C377" s="22">
        <v>8.4311000000000007</v>
      </c>
      <c r="D377" s="23">
        <v>10943.489377</v>
      </c>
      <c r="E377" s="22">
        <v>39.932538999999998</v>
      </c>
      <c r="F377" s="22">
        <v>7.7380000000000004</v>
      </c>
      <c r="G377" s="24"/>
      <c r="H377" s="22">
        <v>49.62</v>
      </c>
      <c r="I377" s="9">
        <v>1.458</v>
      </c>
      <c r="J377" s="22">
        <v>2.5535000000000001</v>
      </c>
      <c r="K377" s="13">
        <v>3.673</v>
      </c>
      <c r="L377" s="12">
        <v>2198</v>
      </c>
      <c r="M377" s="14">
        <v>99.76</v>
      </c>
      <c r="N377" s="13">
        <v>24.958155999999999</v>
      </c>
      <c r="O377" s="13"/>
      <c r="P377" s="13">
        <v>26.15</v>
      </c>
      <c r="Q377" s="12"/>
      <c r="R377" s="22">
        <v>0.63400000000000001</v>
      </c>
      <c r="S377" s="22">
        <v>0.79916699999999996</v>
      </c>
      <c r="T377" s="22">
        <v>23.206</v>
      </c>
      <c r="U377" s="22">
        <v>39.235934999999998</v>
      </c>
      <c r="V377" s="22">
        <v>49.49</v>
      </c>
    </row>
    <row r="378" spans="1:22" x14ac:dyDescent="0.3">
      <c r="A378" s="21">
        <v>34700</v>
      </c>
      <c r="B378" s="22">
        <v>31.380106999999999</v>
      </c>
      <c r="C378" s="22">
        <v>8.4383999999999997</v>
      </c>
      <c r="D378" s="23">
        <v>10064.203858999999</v>
      </c>
      <c r="E378" s="22">
        <v>36.906022</v>
      </c>
      <c r="F378" s="22">
        <v>7.7335000000000003</v>
      </c>
      <c r="G378" s="24"/>
      <c r="H378" s="22">
        <v>49.43</v>
      </c>
      <c r="I378" s="9">
        <v>1.4644999999999999</v>
      </c>
      <c r="J378" s="22">
        <v>2.5556999999999999</v>
      </c>
      <c r="K378" s="13">
        <v>3.673</v>
      </c>
      <c r="L378" s="12">
        <v>2178.6</v>
      </c>
      <c r="M378" s="14">
        <v>98.9</v>
      </c>
      <c r="N378" s="13">
        <v>25.021304000000001</v>
      </c>
      <c r="O378" s="13"/>
      <c r="P378" s="13">
        <v>26.193999999999999</v>
      </c>
      <c r="Q378" s="12"/>
      <c r="R378" s="22">
        <v>0.65039999999999998</v>
      </c>
      <c r="S378" s="22">
        <v>0.80685799999999996</v>
      </c>
      <c r="T378" s="22">
        <v>23.3</v>
      </c>
      <c r="U378" s="22">
        <v>38.886698000000003</v>
      </c>
      <c r="V378" s="22">
        <v>48.151000000000003</v>
      </c>
    </row>
    <row r="379" spans="1:22" x14ac:dyDescent="0.3">
      <c r="A379" s="21">
        <v>34669</v>
      </c>
      <c r="B379" s="22">
        <v>31.389544999999998</v>
      </c>
      <c r="C379" s="22">
        <v>8.4461999999999993</v>
      </c>
      <c r="D379" s="23">
        <v>9838.855039</v>
      </c>
      <c r="E379" s="22">
        <v>36.079655000000002</v>
      </c>
      <c r="F379" s="22">
        <v>7.7270000000000003</v>
      </c>
      <c r="G379" s="24"/>
      <c r="H379" s="22">
        <v>48.94</v>
      </c>
      <c r="I379" s="9">
        <v>1.468</v>
      </c>
      <c r="J379" s="22">
        <v>2.5562</v>
      </c>
      <c r="K379" s="13">
        <v>3.6726999999999999</v>
      </c>
      <c r="L379" s="12">
        <v>2171.1</v>
      </c>
      <c r="M379" s="14">
        <v>96.97</v>
      </c>
      <c r="N379" s="13">
        <v>24.977058</v>
      </c>
      <c r="O379" s="13"/>
      <c r="P379" s="13">
        <v>26.582999999999998</v>
      </c>
      <c r="Q379" s="12"/>
      <c r="R379" s="22">
        <v>0.65069999999999995</v>
      </c>
      <c r="S379" s="22">
        <v>0.80804600000000004</v>
      </c>
      <c r="T379" s="22">
        <v>23.209</v>
      </c>
      <c r="U379" s="22">
        <v>38.831814000000001</v>
      </c>
      <c r="V379" s="22">
        <v>48.435000000000002</v>
      </c>
    </row>
    <row r="380" spans="1:22" x14ac:dyDescent="0.3">
      <c r="A380" s="21">
        <v>34639</v>
      </c>
      <c r="B380" s="22">
        <v>31.406704000000001</v>
      </c>
      <c r="C380" s="22">
        <v>8.5090000000000003</v>
      </c>
      <c r="D380" s="23">
        <v>9704.6528510000007</v>
      </c>
      <c r="E380" s="22">
        <v>35.587527999999999</v>
      </c>
      <c r="F380" s="22">
        <v>7.7270000000000003</v>
      </c>
      <c r="G380" s="24"/>
      <c r="H380" s="22">
        <v>49.28</v>
      </c>
      <c r="I380" s="9">
        <v>1.4832000000000001</v>
      </c>
      <c r="J380" s="22">
        <v>2.5634999999999999</v>
      </c>
      <c r="K380" s="13">
        <v>3.6728999999999998</v>
      </c>
      <c r="L380" s="12">
        <v>2176.1</v>
      </c>
      <c r="M380" s="14">
        <v>99.36</v>
      </c>
      <c r="N380" s="13">
        <v>25.136818000000002</v>
      </c>
      <c r="O380" s="13"/>
      <c r="P380" s="13">
        <v>26.818999999999999</v>
      </c>
      <c r="Q380" s="12"/>
      <c r="R380" s="22">
        <v>0.64800000000000002</v>
      </c>
      <c r="S380" s="22">
        <v>0.83617200000000003</v>
      </c>
      <c r="T380" s="22">
        <v>22.827000000000002</v>
      </c>
      <c r="U380" s="22">
        <v>37.545354000000003</v>
      </c>
      <c r="V380" s="22">
        <v>48.447000000000003</v>
      </c>
    </row>
    <row r="381" spans="1:22" x14ac:dyDescent="0.3">
      <c r="A381" s="21">
        <v>34608</v>
      </c>
      <c r="B381" s="22">
        <v>31.380856000000001</v>
      </c>
      <c r="C381" s="22">
        <v>8.5259999999999998</v>
      </c>
      <c r="D381" s="23">
        <v>9903.7006939999992</v>
      </c>
      <c r="E381" s="22">
        <v>36.317447999999999</v>
      </c>
      <c r="F381" s="22">
        <v>7.7279999999999998</v>
      </c>
      <c r="G381" s="24"/>
      <c r="H381" s="22">
        <v>49.23</v>
      </c>
      <c r="I381" s="9">
        <v>1.4995000000000001</v>
      </c>
      <c r="J381" s="22">
        <v>2.5590000000000002</v>
      </c>
      <c r="K381" s="13">
        <v>3.6728000000000001</v>
      </c>
      <c r="L381" s="12">
        <v>2173.8000000000002</v>
      </c>
      <c r="M381" s="14">
        <v>100.19</v>
      </c>
      <c r="N381" s="13">
        <v>25.210726999999999</v>
      </c>
      <c r="O381" s="13"/>
      <c r="P381" s="13">
        <v>27.055</v>
      </c>
      <c r="Q381" s="12"/>
      <c r="R381" s="22">
        <v>0.66139999999999999</v>
      </c>
      <c r="S381" s="22">
        <v>0.850217</v>
      </c>
      <c r="T381" s="22">
        <v>23.120999999999999</v>
      </c>
      <c r="U381" s="22">
        <v>36.902808</v>
      </c>
      <c r="V381" s="22">
        <v>47.401000000000003</v>
      </c>
    </row>
    <row r="382" spans="1:22" x14ac:dyDescent="0.3">
      <c r="A382" s="21">
        <v>34578</v>
      </c>
      <c r="B382" s="22">
        <v>31.354785</v>
      </c>
      <c r="C382" s="22">
        <v>8.5299999999999994</v>
      </c>
      <c r="D382" s="23">
        <v>10002.853563999999</v>
      </c>
      <c r="E382" s="22">
        <v>36.681047</v>
      </c>
      <c r="F382" s="22">
        <v>7.7248000000000001</v>
      </c>
      <c r="G382" s="24"/>
      <c r="H382" s="22">
        <v>49.1</v>
      </c>
      <c r="I382" s="9">
        <v>1.5106999999999999</v>
      </c>
      <c r="J382" s="22">
        <v>2.5937000000000001</v>
      </c>
      <c r="K382" s="13">
        <v>3.6728000000000001</v>
      </c>
      <c r="L382" s="12">
        <v>2165.4</v>
      </c>
      <c r="M382" s="14">
        <v>100.14</v>
      </c>
      <c r="N382" s="13">
        <v>25.267499999999998</v>
      </c>
      <c r="O382" s="13"/>
      <c r="P382" s="13">
        <v>26.41</v>
      </c>
      <c r="Q382" s="12"/>
      <c r="R382" s="22">
        <v>0.65939999999999999</v>
      </c>
      <c r="S382" s="22">
        <v>0.86833000000000005</v>
      </c>
      <c r="T382" s="22">
        <v>22.434999999999999</v>
      </c>
      <c r="U382" s="22">
        <v>36.154952999999999</v>
      </c>
      <c r="V382" s="22">
        <v>47.664999999999999</v>
      </c>
    </row>
    <row r="383" spans="1:22" x14ac:dyDescent="0.3">
      <c r="A383" s="21">
        <v>34547</v>
      </c>
      <c r="B383" s="22">
        <v>31.372717000000002</v>
      </c>
      <c r="C383" s="22">
        <v>8.5591000000000008</v>
      </c>
      <c r="D383" s="23">
        <v>10013.759609999999</v>
      </c>
      <c r="E383" s="22">
        <v>36.721040000000002</v>
      </c>
      <c r="F383" s="22">
        <v>7.7294999999999998</v>
      </c>
      <c r="G383" s="24"/>
      <c r="H383" s="22">
        <v>49.09</v>
      </c>
      <c r="I383" s="9">
        <v>1.5255000000000001</v>
      </c>
      <c r="J383" s="22">
        <v>2.6044999999999998</v>
      </c>
      <c r="K383" s="13">
        <v>3.6726999999999999</v>
      </c>
      <c r="L383" s="12">
        <v>2170</v>
      </c>
      <c r="M383" s="14">
        <v>98.43</v>
      </c>
      <c r="N383" s="13">
        <v>25.324783</v>
      </c>
      <c r="O383" s="13"/>
      <c r="P383" s="13">
        <v>26.32</v>
      </c>
      <c r="Q383" s="12"/>
      <c r="R383" s="22">
        <v>0.67359999999999998</v>
      </c>
      <c r="S383" s="22">
        <v>0.86789499999999997</v>
      </c>
      <c r="T383" s="22">
        <v>22.061</v>
      </c>
      <c r="U383" s="22">
        <v>36.198743</v>
      </c>
      <c r="V383" s="22">
        <v>46.552999999999997</v>
      </c>
    </row>
    <row r="384" spans="1:22" x14ac:dyDescent="0.3">
      <c r="A384" s="21">
        <v>34516</v>
      </c>
      <c r="B384" s="22">
        <v>31.372505</v>
      </c>
      <c r="C384" s="22">
        <v>8.6196999999999999</v>
      </c>
      <c r="D384" s="23">
        <v>10340.403236</v>
      </c>
      <c r="E384" s="22">
        <v>37.918861999999997</v>
      </c>
      <c r="F384" s="22">
        <v>7.7264999999999997</v>
      </c>
      <c r="G384" s="24"/>
      <c r="H384" s="22">
        <v>49.33</v>
      </c>
      <c r="I384" s="9">
        <v>1.5343</v>
      </c>
      <c r="J384" s="22">
        <v>2.5790000000000002</v>
      </c>
      <c r="K384" s="13">
        <v>3.6726999999999999</v>
      </c>
      <c r="L384" s="12">
        <v>2164.1999999999998</v>
      </c>
      <c r="M384" s="14">
        <v>104.74</v>
      </c>
      <c r="N384" s="13">
        <v>25.384162</v>
      </c>
      <c r="O384" s="13"/>
      <c r="P384" s="13">
        <v>26.484999999999999</v>
      </c>
      <c r="Q384" s="12"/>
      <c r="R384" s="22">
        <v>0.67279999999999995</v>
      </c>
      <c r="S384" s="22">
        <v>0.888127</v>
      </c>
      <c r="T384" s="22">
        <v>22.370999999999999</v>
      </c>
      <c r="U384" s="22">
        <v>35.414544999999997</v>
      </c>
      <c r="V384" s="22">
        <v>46.585000000000001</v>
      </c>
    </row>
    <row r="385" spans="1:22" x14ac:dyDescent="0.3">
      <c r="A385" s="21">
        <v>34486</v>
      </c>
      <c r="B385" s="22">
        <v>31.384544999999999</v>
      </c>
      <c r="C385" s="22">
        <v>8.6516999999999999</v>
      </c>
      <c r="D385" s="23">
        <v>10510.969241000001</v>
      </c>
      <c r="E385" s="22">
        <v>38.544336999999999</v>
      </c>
      <c r="F385" s="22">
        <v>7.7247000000000003</v>
      </c>
      <c r="G385" s="24"/>
      <c r="H385" s="22">
        <v>48.75</v>
      </c>
      <c r="I385" s="9">
        <v>1.5548999999999999</v>
      </c>
      <c r="J385" s="22">
        <v>2.6778</v>
      </c>
      <c r="K385" s="13">
        <v>3.6726999999999999</v>
      </c>
      <c r="L385" s="12">
        <v>2156.5</v>
      </c>
      <c r="M385" s="14">
        <v>101.69</v>
      </c>
      <c r="N385" s="13">
        <v>25.543727000000001</v>
      </c>
      <c r="O385" s="13"/>
      <c r="P385" s="13">
        <v>26.42</v>
      </c>
      <c r="Q385" s="12"/>
      <c r="R385" s="22">
        <v>0.66710000000000003</v>
      </c>
      <c r="S385" s="22">
        <v>0.89214499999999997</v>
      </c>
      <c r="T385" s="22">
        <v>22.227</v>
      </c>
      <c r="U385" s="22">
        <v>35.239722</v>
      </c>
      <c r="V385" s="22">
        <v>47.223999999999997</v>
      </c>
    </row>
    <row r="386" spans="1:22" x14ac:dyDescent="0.3">
      <c r="A386" s="21">
        <v>34455</v>
      </c>
      <c r="B386" s="22">
        <v>31.373698999999998</v>
      </c>
      <c r="C386" s="22">
        <v>8.6595999999999993</v>
      </c>
      <c r="D386" s="23">
        <v>10725.968437</v>
      </c>
      <c r="E386" s="22">
        <v>39.332751999999999</v>
      </c>
      <c r="F386" s="22">
        <v>7.7275</v>
      </c>
      <c r="G386" s="24"/>
      <c r="H386" s="22">
        <v>48.8</v>
      </c>
      <c r="I386" s="9">
        <v>1.5692999999999999</v>
      </c>
      <c r="J386" s="22">
        <v>2.6760000000000002</v>
      </c>
      <c r="K386" s="13">
        <v>3.6726999999999999</v>
      </c>
      <c r="L386" s="12">
        <v>2155</v>
      </c>
      <c r="M386" s="14">
        <v>102.74</v>
      </c>
      <c r="N386" s="13">
        <v>25.459565000000001</v>
      </c>
      <c r="O386" s="13"/>
      <c r="P386" s="13">
        <v>26.625</v>
      </c>
      <c r="Q386" s="12"/>
      <c r="R386" s="22">
        <v>0.67659999999999998</v>
      </c>
      <c r="S386" s="22">
        <v>0.87908399999999998</v>
      </c>
      <c r="T386" s="22">
        <v>21.300999999999998</v>
      </c>
      <c r="U386" s="22">
        <v>35.765901999999997</v>
      </c>
      <c r="V386" s="22">
        <v>46.332000000000001</v>
      </c>
    </row>
    <row r="387" spans="1:22" x14ac:dyDescent="0.3">
      <c r="A387" s="21">
        <v>34425</v>
      </c>
      <c r="B387" s="22">
        <v>31.391428999999999</v>
      </c>
      <c r="C387" s="22">
        <v>8.7072000000000003</v>
      </c>
      <c r="D387" s="23">
        <v>10714.344352</v>
      </c>
      <c r="E387" s="22">
        <v>39.290126000000001</v>
      </c>
      <c r="F387" s="22">
        <v>7.7272999999999996</v>
      </c>
      <c r="G387" s="24"/>
      <c r="H387" s="22">
        <v>48.95</v>
      </c>
      <c r="I387" s="9">
        <v>1.5818000000000001</v>
      </c>
      <c r="J387" s="22">
        <v>2.7275</v>
      </c>
      <c r="K387" s="13">
        <v>3.6726999999999999</v>
      </c>
      <c r="L387" s="12">
        <v>2145.1</v>
      </c>
      <c r="M387" s="14">
        <v>104.59</v>
      </c>
      <c r="N387" s="13">
        <v>25.382795999999999</v>
      </c>
      <c r="O387" s="13"/>
      <c r="P387" s="13">
        <v>26.93</v>
      </c>
      <c r="Q387" s="12"/>
      <c r="R387" s="22">
        <v>0.67500000000000004</v>
      </c>
      <c r="S387" s="22">
        <v>0.87842500000000001</v>
      </c>
      <c r="T387" s="22">
        <v>20.678000000000001</v>
      </c>
      <c r="U387" s="22">
        <v>35.786515000000001</v>
      </c>
      <c r="V387" s="22">
        <v>46.616999999999997</v>
      </c>
    </row>
    <row r="388" spans="1:22" x14ac:dyDescent="0.3">
      <c r="A388" s="21">
        <v>34394</v>
      </c>
      <c r="B388" s="22">
        <v>31.414674000000002</v>
      </c>
      <c r="C388" s="22">
        <v>8.7080000000000002</v>
      </c>
      <c r="D388" s="23">
        <v>10947.379864</v>
      </c>
      <c r="E388" s="22">
        <v>40.144680000000001</v>
      </c>
      <c r="F388" s="22">
        <v>7.7233000000000001</v>
      </c>
      <c r="G388" s="24"/>
      <c r="H388" s="22">
        <v>49.43</v>
      </c>
      <c r="I388" s="9">
        <v>1.5922000000000001</v>
      </c>
      <c r="J388" s="22">
        <v>2.7675000000000001</v>
      </c>
      <c r="K388" s="13">
        <v>3.6722999999999999</v>
      </c>
      <c r="L388" s="12">
        <v>2115.1999999999998</v>
      </c>
      <c r="M388" s="14">
        <v>108.49</v>
      </c>
      <c r="N388" s="13">
        <v>25.260325999999999</v>
      </c>
      <c r="O388" s="13"/>
      <c r="P388" s="13">
        <v>26.85</v>
      </c>
      <c r="Q388" s="12"/>
      <c r="R388" s="22">
        <v>0.67200000000000004</v>
      </c>
      <c r="S388" s="22">
        <v>0.85062400000000005</v>
      </c>
      <c r="T388" s="22">
        <v>20.901</v>
      </c>
      <c r="U388" s="22">
        <v>37.042222000000002</v>
      </c>
      <c r="V388" s="22">
        <v>46.383000000000003</v>
      </c>
    </row>
    <row r="389" spans="1:22" x14ac:dyDescent="0.3">
      <c r="A389" s="21">
        <v>34366</v>
      </c>
      <c r="B389" s="22">
        <v>31.450897000000001</v>
      </c>
      <c r="C389" s="22">
        <v>8.7055000000000007</v>
      </c>
      <c r="D389" s="23">
        <v>10980.755018</v>
      </c>
      <c r="E389" s="22">
        <v>40.267068999999999</v>
      </c>
      <c r="F389" s="22">
        <v>7.7275</v>
      </c>
      <c r="G389" s="24"/>
      <c r="H389" s="22">
        <v>49.3</v>
      </c>
      <c r="I389" s="9">
        <v>1.6085</v>
      </c>
      <c r="J389" s="22">
        <v>2.6939000000000002</v>
      </c>
      <c r="K389" s="13">
        <v>3.6728000000000001</v>
      </c>
      <c r="L389" s="12">
        <v>2111.1999999999998</v>
      </c>
      <c r="M389" s="14">
        <v>111.84</v>
      </c>
      <c r="N389" s="13">
        <v>25.175930000000001</v>
      </c>
      <c r="O389" s="13"/>
      <c r="P389" s="13">
        <v>26.65</v>
      </c>
      <c r="Q389" s="12"/>
      <c r="R389" s="22">
        <v>0.66749999999999998</v>
      </c>
      <c r="S389" s="22">
        <v>0.83974599999999999</v>
      </c>
      <c r="T389" s="22">
        <v>20.273</v>
      </c>
      <c r="U389" s="22">
        <v>37.582363999999998</v>
      </c>
      <c r="V389" s="22">
        <v>46.908999999999999</v>
      </c>
    </row>
    <row r="390" spans="1:22" x14ac:dyDescent="0.3">
      <c r="A390" s="21">
        <v>34335</v>
      </c>
      <c r="B390" s="22">
        <v>31.438582</v>
      </c>
      <c r="C390" s="22">
        <v>8.6999999999999993</v>
      </c>
      <c r="D390" s="23">
        <v>11414.753864</v>
      </c>
      <c r="E390" s="22">
        <v>42.444533</v>
      </c>
      <c r="F390" s="22">
        <v>7.7248000000000001</v>
      </c>
      <c r="G390" s="24"/>
      <c r="H390" s="22">
        <v>49.3</v>
      </c>
      <c r="I390" s="9">
        <v>1.6</v>
      </c>
      <c r="J390" s="22">
        <v>2.5579999999999998</v>
      </c>
      <c r="K390" s="13">
        <v>3.6722999999999999</v>
      </c>
      <c r="L390" s="12">
        <v>2103.3000000000002</v>
      </c>
      <c r="M390" s="14">
        <v>109.07</v>
      </c>
      <c r="N390" s="13">
        <v>25.194668</v>
      </c>
      <c r="O390" s="13"/>
      <c r="P390" s="13">
        <v>26.66</v>
      </c>
      <c r="Q390" s="12"/>
      <c r="R390" s="22">
        <v>0.67190000000000005</v>
      </c>
      <c r="S390" s="22">
        <v>0.87552799999999997</v>
      </c>
      <c r="T390" s="22">
        <v>21.125</v>
      </c>
      <c r="U390" s="22">
        <v>36.110442999999997</v>
      </c>
      <c r="V390" s="22">
        <v>46.795000000000002</v>
      </c>
    </row>
    <row r="391" spans="1:22" x14ac:dyDescent="0.3">
      <c r="A391" s="21">
        <v>34304</v>
      </c>
      <c r="B391" s="22">
        <v>31.44</v>
      </c>
      <c r="C391" s="22">
        <v>5.8</v>
      </c>
      <c r="D391" s="23">
        <v>11414.707904000001</v>
      </c>
      <c r="E391" s="22">
        <v>42.444361999999998</v>
      </c>
      <c r="F391" s="22">
        <v>7.7275</v>
      </c>
      <c r="G391" s="24"/>
      <c r="H391" s="22">
        <v>49.05</v>
      </c>
      <c r="I391" s="9">
        <v>1.5862000000000001</v>
      </c>
      <c r="J391" s="22">
        <v>2.556</v>
      </c>
      <c r="K391" s="13">
        <v>3.6728999999999998</v>
      </c>
      <c r="L391" s="12">
        <v>2101.6</v>
      </c>
      <c r="M391" s="14">
        <v>108.61</v>
      </c>
      <c r="N391" s="13">
        <v>25.332495999999999</v>
      </c>
      <c r="O391" s="13"/>
      <c r="P391" s="13">
        <v>26.625</v>
      </c>
      <c r="Q391" s="12"/>
      <c r="R391" s="22">
        <v>0.67520000000000002</v>
      </c>
      <c r="S391" s="22">
        <v>0.87146000000000001</v>
      </c>
      <c r="T391" s="22">
        <v>21.611999999999998</v>
      </c>
      <c r="U391" s="22">
        <v>36.267673000000002</v>
      </c>
      <c r="V391" s="22">
        <v>46.487000000000002</v>
      </c>
    </row>
    <row r="392" spans="1:22" x14ac:dyDescent="0.3">
      <c r="A392" s="21">
        <v>34274</v>
      </c>
      <c r="B392" s="22">
        <v>31.435120999999999</v>
      </c>
      <c r="C392" s="22">
        <v>5.8121999999999998</v>
      </c>
      <c r="D392" s="23">
        <v>11073.109759000001</v>
      </c>
      <c r="E392" s="22">
        <v>41.174166</v>
      </c>
      <c r="F392" s="22">
        <v>7.7329999999999997</v>
      </c>
      <c r="G392" s="24"/>
      <c r="H392" s="22">
        <v>48.93</v>
      </c>
      <c r="I392" s="9">
        <v>1.5827</v>
      </c>
      <c r="J392" s="22">
        <v>2.5459999999999998</v>
      </c>
      <c r="K392" s="13">
        <v>3.6726000000000001</v>
      </c>
      <c r="L392" s="12">
        <v>2105.5</v>
      </c>
      <c r="M392" s="14">
        <v>106.14</v>
      </c>
      <c r="N392" s="13">
        <v>25.213750000000001</v>
      </c>
      <c r="O392" s="13"/>
      <c r="P392" s="13">
        <v>26.385000000000002</v>
      </c>
      <c r="Q392" s="12"/>
      <c r="R392" s="22">
        <v>0.66639999999999999</v>
      </c>
      <c r="S392" s="22">
        <v>0.83472800000000003</v>
      </c>
      <c r="T392" s="22">
        <v>20.881</v>
      </c>
      <c r="U392" s="22">
        <v>37.960245999999998</v>
      </c>
      <c r="V392" s="22">
        <v>46.713000000000001</v>
      </c>
    </row>
    <row r="393" spans="1:22" x14ac:dyDescent="0.3">
      <c r="A393" s="21">
        <v>34243</v>
      </c>
      <c r="B393" s="22">
        <v>31.500931999999999</v>
      </c>
      <c r="C393" s="22">
        <v>5.7941000000000003</v>
      </c>
      <c r="D393" s="23">
        <v>10929.850488</v>
      </c>
      <c r="E393" s="22">
        <v>40.641472</v>
      </c>
      <c r="F393" s="22">
        <v>7.7483000000000004</v>
      </c>
      <c r="G393" s="24"/>
      <c r="H393" s="22">
        <v>48.88</v>
      </c>
      <c r="I393" s="9">
        <v>1.6051</v>
      </c>
      <c r="J393" s="22">
        <v>2.5474999999999999</v>
      </c>
      <c r="K393" s="13">
        <v>3.6728999999999998</v>
      </c>
      <c r="L393" s="12">
        <v>2102</v>
      </c>
      <c r="M393" s="14">
        <v>103.79</v>
      </c>
      <c r="N393" s="13">
        <v>25.232886000000001</v>
      </c>
      <c r="O393" s="13"/>
      <c r="P393" s="13">
        <v>26.065000000000001</v>
      </c>
      <c r="Q393" s="12"/>
      <c r="R393" s="22">
        <v>0.63959999999999995</v>
      </c>
      <c r="S393" s="22">
        <v>0.81235400000000002</v>
      </c>
      <c r="T393" s="22">
        <v>21.213000000000001</v>
      </c>
      <c r="U393" s="22">
        <v>38.925798999999998</v>
      </c>
      <c r="V393" s="22">
        <v>49.003999999999998</v>
      </c>
    </row>
    <row r="394" spans="1:22" x14ac:dyDescent="0.3">
      <c r="A394" s="21">
        <v>34213</v>
      </c>
      <c r="B394" s="22">
        <v>31.555066</v>
      </c>
      <c r="C394" s="22">
        <v>5.7868000000000004</v>
      </c>
      <c r="D394" s="23">
        <v>11370.98878</v>
      </c>
      <c r="E394" s="22">
        <v>42.281796999999997</v>
      </c>
      <c r="F394" s="22">
        <v>7.7554999999999996</v>
      </c>
      <c r="G394" s="24"/>
      <c r="H394" s="22">
        <v>48.75</v>
      </c>
      <c r="I394" s="9">
        <v>1.6173999999999999</v>
      </c>
      <c r="J394" s="22">
        <v>2.5630000000000002</v>
      </c>
      <c r="K394" s="13">
        <v>3.6728999999999998</v>
      </c>
      <c r="L394" s="12">
        <v>2096</v>
      </c>
      <c r="M394" s="14">
        <v>104.89</v>
      </c>
      <c r="N394" s="13">
        <v>25.245951000000002</v>
      </c>
      <c r="O394" s="13"/>
      <c r="P394" s="13">
        <v>25.895</v>
      </c>
      <c r="Q394" s="12"/>
      <c r="R394" s="22">
        <v>0.63759999999999994</v>
      </c>
      <c r="S394" s="22">
        <v>0.80998400000000004</v>
      </c>
      <c r="T394" s="22">
        <v>22.149000000000001</v>
      </c>
      <c r="U394" s="22">
        <v>39.028331000000001</v>
      </c>
      <c r="V394" s="22">
        <v>49.317999999999998</v>
      </c>
    </row>
    <row r="395" spans="1:22" x14ac:dyDescent="0.3">
      <c r="A395" s="21">
        <v>34182</v>
      </c>
      <c r="B395" s="22">
        <v>31.612272999999998</v>
      </c>
      <c r="C395" s="22">
        <v>5.7882999999999996</v>
      </c>
      <c r="D395" s="23">
        <v>11318.979453</v>
      </c>
      <c r="E395" s="22">
        <v>42.088405999999999</v>
      </c>
      <c r="F395" s="22">
        <v>7.7424999999999997</v>
      </c>
      <c r="G395" s="24"/>
      <c r="H395" s="22">
        <v>48.2</v>
      </c>
      <c r="I395" s="9">
        <v>1.6245000000000001</v>
      </c>
      <c r="J395" s="22">
        <v>2.5724999999999998</v>
      </c>
      <c r="K395" s="13">
        <v>3.6728999999999998</v>
      </c>
      <c r="L395" s="12">
        <v>2089</v>
      </c>
      <c r="M395" s="14">
        <v>107.19</v>
      </c>
      <c r="N395" s="13">
        <v>25.425217</v>
      </c>
      <c r="O395" s="13"/>
      <c r="P395" s="13">
        <v>26.145</v>
      </c>
      <c r="Q395" s="12"/>
      <c r="R395" s="22">
        <v>0.66390000000000005</v>
      </c>
      <c r="S395" s="22">
        <v>0.83610399999999996</v>
      </c>
      <c r="T395" s="22">
        <v>21.989000000000001</v>
      </c>
      <c r="U395" s="22">
        <v>38.202612000000002</v>
      </c>
      <c r="V395" s="22">
        <v>47.264000000000003</v>
      </c>
    </row>
    <row r="396" spans="1:22" x14ac:dyDescent="0.3">
      <c r="A396" s="21">
        <v>34151</v>
      </c>
      <c r="B396" s="22">
        <v>31.602547999999999</v>
      </c>
      <c r="C396" s="22">
        <v>5.7611999999999997</v>
      </c>
      <c r="D396" s="23">
        <v>10879.571049</v>
      </c>
      <c r="E396" s="22">
        <v>40.454512999999999</v>
      </c>
      <c r="F396" s="22">
        <v>7.7247000000000003</v>
      </c>
      <c r="G396" s="24"/>
      <c r="H396" s="22">
        <v>47.92</v>
      </c>
      <c r="I396" s="9">
        <v>1.6040000000000001</v>
      </c>
      <c r="J396" s="22">
        <v>2.5547</v>
      </c>
      <c r="K396" s="13">
        <v>3.6728000000000001</v>
      </c>
      <c r="L396" s="12">
        <v>2081.4</v>
      </c>
      <c r="M396" s="14">
        <v>107.04</v>
      </c>
      <c r="N396" s="13">
        <v>25.517522</v>
      </c>
      <c r="O396" s="13"/>
      <c r="P396" s="13">
        <v>25.745000000000001</v>
      </c>
      <c r="Q396" s="12"/>
      <c r="R396" s="22">
        <v>0.70399999999999996</v>
      </c>
      <c r="S396" s="22">
        <v>0.83185799999999999</v>
      </c>
      <c r="T396" s="22">
        <v>22.864000000000001</v>
      </c>
      <c r="U396" s="22">
        <v>36.150424000000001</v>
      </c>
      <c r="V396" s="22">
        <v>46.82</v>
      </c>
    </row>
    <row r="397" spans="1:22" x14ac:dyDescent="0.3">
      <c r="A397" s="21">
        <v>34121</v>
      </c>
      <c r="B397" s="22">
        <v>31.668182000000002</v>
      </c>
      <c r="C397" s="22">
        <v>5.7611999999999997</v>
      </c>
      <c r="D397" s="23">
        <v>10590.621311000001</v>
      </c>
      <c r="E397" s="22">
        <v>39.380085000000001</v>
      </c>
      <c r="F397" s="22">
        <v>7.7294999999999998</v>
      </c>
      <c r="G397" s="24"/>
      <c r="H397" s="22">
        <v>47.81</v>
      </c>
      <c r="I397" s="9">
        <v>1.613</v>
      </c>
      <c r="J397" s="22">
        <v>2.5659999999999998</v>
      </c>
      <c r="K397" s="13">
        <v>3.6728000000000001</v>
      </c>
      <c r="L397" s="12">
        <v>2079.5</v>
      </c>
      <c r="M397" s="14">
        <v>111.14</v>
      </c>
      <c r="N397" s="13">
        <v>25.525072999999999</v>
      </c>
      <c r="O397" s="13"/>
      <c r="P397" s="13">
        <v>25.49</v>
      </c>
      <c r="Q397" s="12"/>
      <c r="R397" s="22">
        <v>0.67179999999999995</v>
      </c>
      <c r="S397" s="22">
        <v>0.81497399999999998</v>
      </c>
      <c r="T397" s="22">
        <v>21.329000000000001</v>
      </c>
      <c r="U397" s="22">
        <v>35.638592000000003</v>
      </c>
      <c r="V397" s="22">
        <v>46.642000000000003</v>
      </c>
    </row>
    <row r="398" spans="1:22" x14ac:dyDescent="0.3">
      <c r="A398" s="21">
        <v>34090</v>
      </c>
      <c r="B398" s="22">
        <v>31.616667</v>
      </c>
      <c r="C398" s="22">
        <v>5.7290000000000001</v>
      </c>
      <c r="D398" s="23">
        <v>10565.898316000001</v>
      </c>
      <c r="E398" s="22">
        <v>39.288155000000003</v>
      </c>
      <c r="F398" s="22">
        <v>7.7309999999999999</v>
      </c>
      <c r="G398" s="24"/>
      <c r="H398" s="22">
        <v>47.45</v>
      </c>
      <c r="I398" s="9">
        <v>1.6385000000000001</v>
      </c>
      <c r="J398" s="22">
        <v>2.5914999999999999</v>
      </c>
      <c r="K398" s="13">
        <v>3.6728999999999998</v>
      </c>
      <c r="L398" s="12">
        <v>2071</v>
      </c>
      <c r="M398" s="14">
        <v>114.69</v>
      </c>
      <c r="N398" s="13">
        <v>25.488043000000001</v>
      </c>
      <c r="O398" s="13"/>
      <c r="P398" s="13">
        <v>25.4</v>
      </c>
      <c r="Q398" s="12"/>
      <c r="R398" s="22">
        <v>0.66010000000000002</v>
      </c>
      <c r="S398" s="22">
        <v>0.79674999999999996</v>
      </c>
      <c r="T398" s="22">
        <v>21.262</v>
      </c>
      <c r="U398" s="22">
        <v>36.377645999999999</v>
      </c>
      <c r="V398" s="22">
        <v>46.57</v>
      </c>
    </row>
    <row r="399" spans="1:22" x14ac:dyDescent="0.3">
      <c r="A399" s="21">
        <v>34060</v>
      </c>
      <c r="B399" s="22">
        <v>31.609090999999999</v>
      </c>
      <c r="C399" s="22">
        <v>5.7084000000000001</v>
      </c>
      <c r="D399" s="23">
        <v>10932.217404000001</v>
      </c>
      <c r="E399" s="22">
        <v>40.650272999999999</v>
      </c>
      <c r="F399" s="22">
        <v>7.7332000000000001</v>
      </c>
      <c r="G399" s="24"/>
      <c r="H399" s="22">
        <v>46.52</v>
      </c>
      <c r="I399" s="9">
        <v>1.6435</v>
      </c>
      <c r="J399" s="22">
        <v>2.6284999999999998</v>
      </c>
      <c r="K399" s="13">
        <v>3.6724999999999999</v>
      </c>
      <c r="L399" s="12">
        <v>2067</v>
      </c>
      <c r="M399" s="14">
        <v>118.14</v>
      </c>
      <c r="N399" s="13">
        <v>25.464048999999999</v>
      </c>
      <c r="O399" s="13"/>
      <c r="P399" s="13">
        <v>25.445</v>
      </c>
      <c r="Q399" s="12"/>
      <c r="R399" s="22">
        <v>0.66</v>
      </c>
      <c r="S399" s="22">
        <v>0.79517599999999999</v>
      </c>
      <c r="T399" s="22">
        <v>20.670999999999999</v>
      </c>
      <c r="U399" s="22">
        <v>35.815027999999998</v>
      </c>
      <c r="V399" s="22">
        <v>45.918999999999997</v>
      </c>
    </row>
    <row r="400" spans="1:22" x14ac:dyDescent="0.3">
      <c r="A400" s="21">
        <v>34029</v>
      </c>
      <c r="B400" s="22">
        <v>31.939129999999999</v>
      </c>
      <c r="C400" s="22">
        <v>5.7190000000000003</v>
      </c>
      <c r="D400" s="23">
        <v>10898.883873999999</v>
      </c>
      <c r="E400" s="22">
        <v>40.526325999999997</v>
      </c>
      <c r="F400" s="22">
        <v>7.7324999999999999</v>
      </c>
      <c r="G400" s="24"/>
      <c r="H400" s="22">
        <v>46.2</v>
      </c>
      <c r="I400" s="9">
        <v>1.6455</v>
      </c>
      <c r="J400" s="22">
        <v>2.625</v>
      </c>
      <c r="K400" s="13">
        <v>3.6728999999999998</v>
      </c>
      <c r="L400" s="12">
        <v>2065</v>
      </c>
      <c r="M400" s="14">
        <v>124.74</v>
      </c>
      <c r="N400" s="13">
        <v>25.25874</v>
      </c>
      <c r="O400" s="13"/>
      <c r="P400" s="13">
        <v>25.364999999999998</v>
      </c>
      <c r="Q400" s="12"/>
      <c r="R400" s="22">
        <v>0.63970000000000005</v>
      </c>
      <c r="S400" s="22">
        <v>0.74502199999999996</v>
      </c>
      <c r="T400" s="22">
        <v>20.9</v>
      </c>
      <c r="U400" s="22">
        <v>38.249144000000001</v>
      </c>
      <c r="V400" s="22">
        <v>46.820999999999998</v>
      </c>
    </row>
    <row r="401" spans="1:22" x14ac:dyDescent="0.3">
      <c r="A401" s="21">
        <v>34001</v>
      </c>
      <c r="B401" s="22">
        <v>30.071645</v>
      </c>
      <c r="C401" s="22">
        <v>5.7401999999999997</v>
      </c>
      <c r="D401" s="23">
        <v>10631.971842000001</v>
      </c>
      <c r="E401" s="22">
        <v>39.533842</v>
      </c>
      <c r="F401" s="22">
        <v>7.742</v>
      </c>
      <c r="G401" s="24"/>
      <c r="H401" s="22">
        <v>46.1</v>
      </c>
      <c r="I401" s="9">
        <v>1.6402000000000001</v>
      </c>
      <c r="J401" s="22">
        <v>2.6150000000000002</v>
      </c>
      <c r="K401" s="13">
        <v>3.6726999999999999</v>
      </c>
      <c r="L401" s="12">
        <v>2067.5</v>
      </c>
      <c r="M401" s="14">
        <v>124.85</v>
      </c>
      <c r="N401" s="13">
        <v>25.187725</v>
      </c>
      <c r="O401" s="13"/>
      <c r="P401" s="13">
        <v>25.2</v>
      </c>
      <c r="Q401" s="12"/>
      <c r="R401" s="22">
        <v>0.56269999999999998</v>
      </c>
      <c r="S401" s="22">
        <v>0.71789599999999998</v>
      </c>
      <c r="T401" s="22">
        <v>21.459</v>
      </c>
      <c r="U401" s="22">
        <v>39.679074</v>
      </c>
      <c r="V401" s="22">
        <v>53.615000000000002</v>
      </c>
    </row>
    <row r="402" spans="1:22" x14ac:dyDescent="0.3">
      <c r="A402" s="21">
        <v>33970</v>
      </c>
      <c r="B402" s="22">
        <v>29.038591</v>
      </c>
      <c r="C402" s="22">
        <v>5.7750000000000004</v>
      </c>
      <c r="D402" s="23">
        <v>12129.761802000001</v>
      </c>
      <c r="E402" s="22">
        <v>42.175981</v>
      </c>
      <c r="F402" s="22">
        <v>7.7408999999999999</v>
      </c>
      <c r="G402" s="24"/>
      <c r="H402" s="22">
        <v>44.45</v>
      </c>
      <c r="I402" s="9">
        <v>1.635</v>
      </c>
      <c r="J402" s="22">
        <v>2.5337000000000001</v>
      </c>
      <c r="K402" s="13">
        <v>3.6728000000000001</v>
      </c>
      <c r="L402" s="12">
        <v>2064</v>
      </c>
      <c r="M402" s="14">
        <v>124.54</v>
      </c>
      <c r="N402" s="13">
        <v>25.265000000000001</v>
      </c>
      <c r="O402" s="13"/>
      <c r="P402" s="13">
        <v>25.125</v>
      </c>
      <c r="Q402" s="12"/>
      <c r="R402" s="22">
        <v>0.50390000000000001</v>
      </c>
      <c r="S402" s="22">
        <v>0.71241200000000005</v>
      </c>
      <c r="T402" s="22">
        <v>21.692</v>
      </c>
      <c r="U402" s="22">
        <v>39.980307000000003</v>
      </c>
      <c r="V402" s="22">
        <v>60.334000000000003</v>
      </c>
    </row>
    <row r="403" spans="1:22" x14ac:dyDescent="0.3">
      <c r="A403" s="21">
        <v>33939</v>
      </c>
      <c r="B403" s="22">
        <v>28.979565000000001</v>
      </c>
      <c r="C403" s="22">
        <v>5.7518000000000002</v>
      </c>
      <c r="D403" s="23">
        <v>12126.21284</v>
      </c>
      <c r="E403" s="22">
        <v>42.163640999999998</v>
      </c>
      <c r="F403" s="22">
        <v>7.73</v>
      </c>
      <c r="G403" s="24"/>
      <c r="H403" s="22">
        <v>44.34</v>
      </c>
      <c r="I403" s="9">
        <v>1.621</v>
      </c>
      <c r="J403" s="22">
        <v>2.5089999999999999</v>
      </c>
      <c r="K403" s="13">
        <v>3.6728000000000001</v>
      </c>
      <c r="L403" s="12">
        <v>2045.5</v>
      </c>
      <c r="M403" s="14">
        <v>123.39</v>
      </c>
      <c r="N403" s="13">
        <v>25.286055000000001</v>
      </c>
      <c r="O403" s="13"/>
      <c r="P403" s="13">
        <v>24.99</v>
      </c>
      <c r="Q403" s="12"/>
      <c r="R403" s="22">
        <v>0.51910000000000001</v>
      </c>
      <c r="S403" s="22">
        <v>0.72956799999999999</v>
      </c>
      <c r="T403" s="22">
        <v>22.393999999999998</v>
      </c>
      <c r="U403" s="22">
        <v>39.155557000000002</v>
      </c>
      <c r="V403" s="22">
        <v>57.963000000000001</v>
      </c>
    </row>
    <row r="404" spans="1:22" x14ac:dyDescent="0.3">
      <c r="A404" s="21">
        <v>33909</v>
      </c>
      <c r="B404" s="22">
        <v>28.47663</v>
      </c>
      <c r="C404" s="22">
        <v>5.7198000000000002</v>
      </c>
      <c r="D404" s="23">
        <v>11344.277527</v>
      </c>
      <c r="E404" s="22">
        <v>39.444800000000001</v>
      </c>
      <c r="F404" s="22">
        <v>7.7240000000000002</v>
      </c>
      <c r="G404" s="24"/>
      <c r="H404" s="22">
        <v>44.2</v>
      </c>
      <c r="I404" s="9">
        <v>1.591</v>
      </c>
      <c r="J404" s="22">
        <v>2.4940000000000002</v>
      </c>
      <c r="K404" s="13">
        <v>3.6728000000000001</v>
      </c>
      <c r="L404" s="12">
        <v>2038</v>
      </c>
      <c r="M404" s="14">
        <v>119.86</v>
      </c>
      <c r="N404" s="13">
        <v>25.399545</v>
      </c>
      <c r="O404" s="13"/>
      <c r="P404" s="13">
        <v>24.645</v>
      </c>
      <c r="Q404" s="12"/>
      <c r="R404" s="22">
        <v>0.52549999999999997</v>
      </c>
      <c r="S404" s="22">
        <v>0.76937800000000001</v>
      </c>
      <c r="T404" s="22">
        <v>23.076000000000001</v>
      </c>
      <c r="U404" s="22">
        <v>37.075752000000001</v>
      </c>
      <c r="V404" s="22">
        <v>58.713999999999999</v>
      </c>
    </row>
    <row r="405" spans="1:22" x14ac:dyDescent="0.3">
      <c r="A405" s="21">
        <v>33878</v>
      </c>
      <c r="B405" s="22">
        <v>28.473904000000001</v>
      </c>
      <c r="C405" s="22">
        <v>5.5525000000000002</v>
      </c>
      <c r="D405" s="23">
        <v>10845.990946</v>
      </c>
      <c r="E405" s="22">
        <v>37.712224999999997</v>
      </c>
      <c r="F405" s="22">
        <v>7.7283999999999997</v>
      </c>
      <c r="G405" s="24"/>
      <c r="H405" s="22">
        <v>44</v>
      </c>
      <c r="I405" s="9">
        <v>1.5983000000000001</v>
      </c>
      <c r="J405" s="22">
        <v>2.4929999999999999</v>
      </c>
      <c r="K405" s="13">
        <v>3.6728999999999998</v>
      </c>
      <c r="L405" s="12">
        <v>2031.5</v>
      </c>
      <c r="M405" s="14">
        <v>123.09</v>
      </c>
      <c r="N405" s="13">
        <v>25.547573</v>
      </c>
      <c r="O405" s="13"/>
      <c r="P405" s="13">
        <v>24.895</v>
      </c>
      <c r="Q405" s="12"/>
      <c r="R405" s="22">
        <v>0.54610000000000003</v>
      </c>
      <c r="S405" s="22">
        <v>0.79185899999999998</v>
      </c>
      <c r="T405" s="22">
        <v>23.16</v>
      </c>
      <c r="U405" s="22">
        <v>36.047083999999998</v>
      </c>
      <c r="V405" s="22">
        <v>55.945</v>
      </c>
    </row>
    <row r="406" spans="1:22" x14ac:dyDescent="0.3">
      <c r="A406" s="21">
        <v>33848</v>
      </c>
      <c r="B406" s="22">
        <v>28.454554000000002</v>
      </c>
      <c r="C406" s="22">
        <v>5.5002000000000004</v>
      </c>
      <c r="D406" s="23">
        <v>10718.349732000001</v>
      </c>
      <c r="E406" s="22">
        <v>37.268408000000001</v>
      </c>
      <c r="F406" s="22">
        <v>7.734</v>
      </c>
      <c r="G406" s="24"/>
      <c r="H406" s="22">
        <v>44.2</v>
      </c>
      <c r="I406" s="9">
        <v>1.613</v>
      </c>
      <c r="J406" s="22">
        <v>2.5005000000000002</v>
      </c>
      <c r="K406" s="13">
        <v>3.6728999999999998</v>
      </c>
      <c r="L406" s="12">
        <v>2031</v>
      </c>
      <c r="M406" s="14">
        <v>127.09</v>
      </c>
      <c r="N406" s="13">
        <v>25.644091</v>
      </c>
      <c r="O406" s="13"/>
      <c r="P406" s="13">
        <v>25.225000000000001</v>
      </c>
      <c r="Q406" s="12"/>
      <c r="R406" s="22">
        <v>0.56410000000000005</v>
      </c>
      <c r="S406" s="22">
        <v>0.80641700000000005</v>
      </c>
      <c r="T406" s="22">
        <v>23.123000000000001</v>
      </c>
      <c r="U406" s="22">
        <v>35.840606999999999</v>
      </c>
      <c r="V406" s="22">
        <v>54.41</v>
      </c>
    </row>
    <row r="407" spans="1:22" x14ac:dyDescent="0.3">
      <c r="A407" s="21">
        <v>33817</v>
      </c>
      <c r="B407" s="22">
        <v>28.473305</v>
      </c>
      <c r="C407" s="22">
        <v>5.4063999999999997</v>
      </c>
      <c r="D407" s="23">
        <v>10960.542543</v>
      </c>
      <c r="E407" s="22">
        <v>38.110528000000002</v>
      </c>
      <c r="F407" s="22">
        <v>7.7297000000000002</v>
      </c>
      <c r="G407" s="24"/>
      <c r="H407" s="22">
        <v>44.17</v>
      </c>
      <c r="I407" s="9">
        <v>1.617</v>
      </c>
      <c r="J407" s="22">
        <v>2.5049999999999999</v>
      </c>
      <c r="K407" s="13">
        <v>3.6726999999999999</v>
      </c>
      <c r="L407" s="12">
        <v>2033</v>
      </c>
      <c r="M407" s="14">
        <v>125.6</v>
      </c>
      <c r="N407" s="13">
        <v>25.628672999999999</v>
      </c>
      <c r="O407" s="13"/>
      <c r="P407" s="13">
        <v>25.5</v>
      </c>
      <c r="Q407" s="12"/>
      <c r="R407" s="22">
        <v>0.57640000000000002</v>
      </c>
      <c r="S407" s="22">
        <v>0.81301699999999999</v>
      </c>
      <c r="T407" s="22">
        <v>24.120999999999999</v>
      </c>
      <c r="U407" s="22">
        <v>34.904645000000002</v>
      </c>
      <c r="V407" s="22">
        <v>54.436</v>
      </c>
    </row>
    <row r="408" spans="1:22" x14ac:dyDescent="0.3">
      <c r="A408" s="21">
        <v>33786</v>
      </c>
      <c r="B408" s="22">
        <v>28.563912999999999</v>
      </c>
      <c r="C408" s="22">
        <v>5.42</v>
      </c>
      <c r="D408" s="23">
        <v>11535.451734</v>
      </c>
      <c r="E408" s="22">
        <v>40.109526000000002</v>
      </c>
      <c r="F408" s="22">
        <v>7.7435</v>
      </c>
      <c r="G408" s="24"/>
      <c r="H408" s="22">
        <v>43.47</v>
      </c>
      <c r="I408" s="9">
        <v>1.6279999999999999</v>
      </c>
      <c r="J408" s="22">
        <v>2.5099999999999998</v>
      </c>
      <c r="K408" s="13">
        <v>3.673</v>
      </c>
      <c r="L408" s="12">
        <v>2031</v>
      </c>
      <c r="M408" s="14">
        <v>127.69</v>
      </c>
      <c r="N408" s="13">
        <v>25.405781000000001</v>
      </c>
      <c r="O408" s="13"/>
      <c r="P408" s="13">
        <v>25.155000000000001</v>
      </c>
      <c r="Q408" s="12"/>
      <c r="R408" s="22">
        <v>0.56879999999999997</v>
      </c>
      <c r="S408" s="22">
        <v>0.79276400000000002</v>
      </c>
      <c r="T408" s="22">
        <v>19.78</v>
      </c>
      <c r="U408" s="22">
        <v>32.787132</v>
      </c>
      <c r="V408" s="22">
        <v>46.191000000000003</v>
      </c>
    </row>
    <row r="409" spans="1:22" x14ac:dyDescent="0.3">
      <c r="A409" s="21">
        <v>33756</v>
      </c>
      <c r="B409" s="22">
        <v>28.518636000000001</v>
      </c>
      <c r="C409" s="22">
        <v>5.4621000000000004</v>
      </c>
      <c r="D409" s="23">
        <v>11864.746911</v>
      </c>
      <c r="E409" s="22">
        <v>41.254506999999997</v>
      </c>
      <c r="F409" s="22">
        <v>7.7572000000000001</v>
      </c>
      <c r="G409" s="24"/>
      <c r="H409" s="22">
        <v>43.37</v>
      </c>
      <c r="I409" s="9">
        <v>1.6563000000000001</v>
      </c>
      <c r="J409" s="22">
        <v>2.5222000000000002</v>
      </c>
      <c r="K409" s="13">
        <v>3.673</v>
      </c>
      <c r="L409" s="12">
        <v>2022</v>
      </c>
      <c r="M409" s="14">
        <v>133.13999999999999</v>
      </c>
      <c r="N409" s="13">
        <v>25.274961000000001</v>
      </c>
      <c r="O409" s="13"/>
      <c r="P409" s="13">
        <v>25.04</v>
      </c>
      <c r="Q409" s="12"/>
      <c r="R409" s="22">
        <v>0.55789999999999995</v>
      </c>
      <c r="S409" s="22">
        <v>0.77185099999999995</v>
      </c>
      <c r="T409" s="22">
        <v>19.518000000000001</v>
      </c>
      <c r="U409" s="22">
        <v>33.490299</v>
      </c>
      <c r="V409" s="22">
        <v>46.424999999999997</v>
      </c>
    </row>
    <row r="410" spans="1:22" x14ac:dyDescent="0.3">
      <c r="A410" s="21">
        <v>33725</v>
      </c>
      <c r="B410" s="22">
        <v>28.541533999999999</v>
      </c>
      <c r="C410" s="22">
        <v>5.4911000000000003</v>
      </c>
      <c r="D410" s="23">
        <v>12096.637983000001</v>
      </c>
      <c r="E410" s="22">
        <v>42.060806999999997</v>
      </c>
      <c r="F410" s="22">
        <v>7.7385999999999999</v>
      </c>
      <c r="G410" s="24"/>
      <c r="H410" s="22">
        <v>43.07</v>
      </c>
      <c r="I410" s="9">
        <v>1.6555</v>
      </c>
      <c r="J410" s="22">
        <v>2.5825</v>
      </c>
      <c r="K410" s="13">
        <v>3.6726999999999999</v>
      </c>
      <c r="L410" s="12">
        <v>2017</v>
      </c>
      <c r="M410" s="14">
        <v>132.74</v>
      </c>
      <c r="N410" s="13">
        <v>25.121084</v>
      </c>
      <c r="O410" s="13"/>
      <c r="P410" s="13">
        <v>25.754999999999999</v>
      </c>
      <c r="Q410" s="12"/>
      <c r="R410" s="22">
        <v>0.53539999999999999</v>
      </c>
      <c r="S410" s="22">
        <v>0.76750200000000002</v>
      </c>
      <c r="T410" s="22">
        <v>19.565000000000001</v>
      </c>
      <c r="U410" s="22">
        <v>33.657885</v>
      </c>
      <c r="V410" s="22">
        <v>48.171999999999997</v>
      </c>
    </row>
    <row r="411" spans="1:22" x14ac:dyDescent="0.3">
      <c r="A411" s="21">
        <v>33695</v>
      </c>
      <c r="B411" s="22">
        <v>28.900455000000001</v>
      </c>
      <c r="C411" s="22">
        <v>5.5101000000000004</v>
      </c>
      <c r="D411" s="23">
        <v>12208.591038</v>
      </c>
      <c r="E411" s="22">
        <v>42.450074999999998</v>
      </c>
      <c r="F411" s="22">
        <v>7.7554999999999996</v>
      </c>
      <c r="G411" s="24"/>
      <c r="H411" s="22">
        <v>43.05</v>
      </c>
      <c r="I411" s="9">
        <v>1.6435</v>
      </c>
      <c r="J411" s="22">
        <v>2.5853999999999999</v>
      </c>
      <c r="K411" s="13">
        <v>3.6728000000000001</v>
      </c>
      <c r="L411" s="12">
        <v>2009</v>
      </c>
      <c r="M411" s="14">
        <v>129.59</v>
      </c>
      <c r="N411" s="13">
        <v>25.500762999999999</v>
      </c>
      <c r="O411" s="13"/>
      <c r="P411" s="13">
        <v>25.75</v>
      </c>
      <c r="Q411" s="12"/>
      <c r="R411" s="22">
        <v>0.56720000000000004</v>
      </c>
      <c r="S411" s="22">
        <v>0.79626699999999995</v>
      </c>
      <c r="T411" s="22">
        <v>20.244</v>
      </c>
      <c r="U411" s="22">
        <v>32.416029000000002</v>
      </c>
      <c r="V411" s="22">
        <v>45.631999999999998</v>
      </c>
    </row>
    <row r="412" spans="1:22" x14ac:dyDescent="0.3">
      <c r="A412" s="21">
        <v>33664</v>
      </c>
      <c r="B412" s="22">
        <v>28.377727</v>
      </c>
      <c r="C412" s="22">
        <v>5.4675000000000002</v>
      </c>
      <c r="D412" s="23">
        <v>11898.343799</v>
      </c>
      <c r="E412" s="22">
        <v>41.371324999999999</v>
      </c>
      <c r="F412" s="22">
        <v>7.7611999999999997</v>
      </c>
      <c r="G412" s="24"/>
      <c r="H412" s="22">
        <v>42.68</v>
      </c>
      <c r="I412" s="9">
        <v>1.6355</v>
      </c>
      <c r="J412" s="22">
        <v>2.625</v>
      </c>
      <c r="K412" s="13">
        <v>3.673</v>
      </c>
      <c r="L412" s="12">
        <v>2004</v>
      </c>
      <c r="M412" s="14">
        <v>125.89</v>
      </c>
      <c r="N412" s="13">
        <v>25.546519</v>
      </c>
      <c r="O412" s="13"/>
      <c r="P412" s="13">
        <v>26.28</v>
      </c>
      <c r="Q412" s="12"/>
      <c r="R412" s="22">
        <v>0.57540000000000002</v>
      </c>
      <c r="S412" s="22">
        <v>0.82745100000000005</v>
      </c>
      <c r="T412" s="22">
        <v>20.12</v>
      </c>
      <c r="U412" s="22">
        <v>31.172650999999998</v>
      </c>
      <c r="V412" s="22">
        <v>44.866</v>
      </c>
    </row>
    <row r="413" spans="1:22" x14ac:dyDescent="0.3">
      <c r="A413" s="21">
        <v>33635</v>
      </c>
      <c r="B413" s="22">
        <v>25.986719000000001</v>
      </c>
      <c r="C413" s="22">
        <v>5.4692999999999996</v>
      </c>
      <c r="D413" s="23">
        <v>11591.703221</v>
      </c>
      <c r="E413" s="22">
        <v>40.305115999999998</v>
      </c>
      <c r="F413" s="22">
        <v>7.7774999999999999</v>
      </c>
      <c r="G413" s="24"/>
      <c r="H413" s="22">
        <v>42.53</v>
      </c>
      <c r="I413" s="9">
        <v>1.6220000000000001</v>
      </c>
      <c r="J413" s="22">
        <v>2.7250000000000001</v>
      </c>
      <c r="K413" s="13">
        <v>3.6728999999999998</v>
      </c>
      <c r="L413" s="12">
        <v>1992</v>
      </c>
      <c r="M413" s="14">
        <v>124.85</v>
      </c>
      <c r="N413" s="13">
        <v>25.609179000000001</v>
      </c>
      <c r="O413" s="13"/>
      <c r="P413" s="13">
        <v>26.484999999999999</v>
      </c>
      <c r="Q413" s="12"/>
      <c r="R413" s="22">
        <v>0.57130000000000003</v>
      </c>
      <c r="S413" s="22">
        <v>0.83043900000000004</v>
      </c>
      <c r="T413" s="22">
        <v>20.611000000000001</v>
      </c>
      <c r="U413" s="22">
        <v>31.116501</v>
      </c>
      <c r="V413" s="22">
        <v>45.13</v>
      </c>
    </row>
    <row r="414" spans="1:22" x14ac:dyDescent="0.3">
      <c r="A414" s="21">
        <v>33604</v>
      </c>
      <c r="B414" s="22">
        <v>25.836255000000001</v>
      </c>
      <c r="C414" s="22">
        <v>5.4686000000000003</v>
      </c>
      <c r="D414" s="23">
        <v>10497.328791</v>
      </c>
      <c r="E414" s="22">
        <v>38.274467999999999</v>
      </c>
      <c r="F414" s="22">
        <v>7.7619999999999996</v>
      </c>
      <c r="G414" s="24"/>
      <c r="H414" s="22">
        <v>42.43</v>
      </c>
      <c r="I414" s="9">
        <v>1.6639999999999999</v>
      </c>
      <c r="J414" s="22">
        <v>2.7509999999999999</v>
      </c>
      <c r="K414" s="13">
        <v>3.6728000000000001</v>
      </c>
      <c r="L414" s="12">
        <v>1984</v>
      </c>
      <c r="M414" s="14">
        <v>129.9</v>
      </c>
      <c r="N414" s="13">
        <v>25.719605000000001</v>
      </c>
      <c r="O414" s="13"/>
      <c r="P414" s="13">
        <v>26.7</v>
      </c>
      <c r="Q414" s="12"/>
      <c r="R414" s="22">
        <v>0.59670000000000001</v>
      </c>
      <c r="S414" s="22">
        <v>0.85292299999999999</v>
      </c>
      <c r="T414" s="22">
        <v>20.260000000000002</v>
      </c>
      <c r="U414" s="22">
        <v>30.326771000000001</v>
      </c>
      <c r="V414" s="22">
        <v>43.37</v>
      </c>
    </row>
    <row r="415" spans="1:22" x14ac:dyDescent="0.3">
      <c r="A415" s="21">
        <v>33573</v>
      </c>
      <c r="B415" s="22">
        <v>25.820909</v>
      </c>
      <c r="C415" s="22">
        <v>5.4478</v>
      </c>
      <c r="D415" s="23">
        <v>10879.571234999999</v>
      </c>
      <c r="E415" s="22">
        <v>39.668168000000001</v>
      </c>
      <c r="F415" s="22">
        <v>7.7736999999999998</v>
      </c>
      <c r="G415" s="24"/>
      <c r="H415" s="22">
        <v>42.26</v>
      </c>
      <c r="I415" s="9">
        <v>1.6884999999999999</v>
      </c>
      <c r="J415" s="22">
        <v>2.7475000000000001</v>
      </c>
      <c r="K415" s="13">
        <v>3.6726000000000001</v>
      </c>
      <c r="L415" s="12">
        <v>1979.8</v>
      </c>
      <c r="M415" s="14">
        <v>130.76</v>
      </c>
      <c r="N415" s="13">
        <v>25.752538000000001</v>
      </c>
      <c r="O415" s="13"/>
      <c r="P415" s="13">
        <v>26.905000000000001</v>
      </c>
      <c r="Q415" s="12"/>
      <c r="R415" s="22">
        <v>0.59379999999999999</v>
      </c>
      <c r="S415" s="22">
        <v>0.87378299999999998</v>
      </c>
      <c r="T415" s="22">
        <v>20.123000000000001</v>
      </c>
      <c r="U415" s="22">
        <v>29.358315999999999</v>
      </c>
      <c r="V415" s="22">
        <v>43.607999999999997</v>
      </c>
    </row>
    <row r="416" spans="1:22" x14ac:dyDescent="0.3">
      <c r="A416" s="21">
        <v>33543</v>
      </c>
      <c r="B416" s="22">
        <v>25.807542999999999</v>
      </c>
      <c r="C416" s="22">
        <v>5.4115000000000002</v>
      </c>
      <c r="D416" s="23">
        <v>11296.523184</v>
      </c>
      <c r="E416" s="22">
        <v>41.188423</v>
      </c>
      <c r="F416" s="22">
        <v>7.7412999999999998</v>
      </c>
      <c r="G416" s="24"/>
      <c r="H416" s="22">
        <v>42.01</v>
      </c>
      <c r="I416" s="9">
        <v>1.6855</v>
      </c>
      <c r="J416" s="22">
        <v>2.738</v>
      </c>
      <c r="K416" s="13">
        <v>3.6728999999999998</v>
      </c>
      <c r="L416" s="12">
        <v>1968</v>
      </c>
      <c r="M416" s="14">
        <v>133.11000000000001</v>
      </c>
      <c r="N416" s="13">
        <v>25.765499999999999</v>
      </c>
      <c r="O416" s="13"/>
      <c r="P416" s="13">
        <v>27.125</v>
      </c>
      <c r="Q416" s="12"/>
      <c r="R416" s="22">
        <v>0.61670000000000003</v>
      </c>
      <c r="S416" s="22">
        <v>0.87149600000000005</v>
      </c>
      <c r="T416" s="22">
        <v>16.256</v>
      </c>
      <c r="U416" s="22">
        <v>24.171168000000002</v>
      </c>
      <c r="V416" s="22">
        <v>34.380000000000003</v>
      </c>
    </row>
    <row r="417" spans="1:22" x14ac:dyDescent="0.3">
      <c r="A417" s="21">
        <v>33512</v>
      </c>
      <c r="B417" s="22">
        <v>25.791886999999999</v>
      </c>
      <c r="C417" s="22">
        <v>5.3944000000000001</v>
      </c>
      <c r="D417" s="23">
        <v>11331.134368999999</v>
      </c>
      <c r="E417" s="22">
        <v>41.314619</v>
      </c>
      <c r="F417" s="22">
        <v>7.7598000000000003</v>
      </c>
      <c r="G417" s="24"/>
      <c r="H417" s="22">
        <v>41.88</v>
      </c>
      <c r="I417" s="9">
        <v>1.7224999999999999</v>
      </c>
      <c r="J417" s="22">
        <v>2.7862</v>
      </c>
      <c r="K417" s="13">
        <v>3.6726999999999999</v>
      </c>
      <c r="L417" s="12">
        <v>1964</v>
      </c>
      <c r="M417" s="14">
        <v>136.85</v>
      </c>
      <c r="N417" s="13">
        <v>25.667573999999998</v>
      </c>
      <c r="O417" s="13"/>
      <c r="P417" s="13">
        <v>27.19</v>
      </c>
      <c r="Q417" s="12"/>
      <c r="R417" s="22">
        <v>0.58720000000000006</v>
      </c>
      <c r="S417" s="22">
        <v>0.83725799999999995</v>
      </c>
      <c r="T417" s="22">
        <v>15.909000000000001</v>
      </c>
      <c r="U417" s="22">
        <v>24.516843999999999</v>
      </c>
      <c r="V417" s="22">
        <v>35.494</v>
      </c>
    </row>
    <row r="418" spans="1:22" x14ac:dyDescent="0.3">
      <c r="A418" s="21">
        <v>33482</v>
      </c>
      <c r="B418" s="22">
        <v>25.835156999999999</v>
      </c>
      <c r="C418" s="22">
        <v>5.3898999999999999</v>
      </c>
      <c r="D418" s="23">
        <v>11634.427086</v>
      </c>
      <c r="E418" s="22">
        <v>42.420459000000001</v>
      </c>
      <c r="F418" s="22">
        <v>7.7595000000000001</v>
      </c>
      <c r="G418" s="24"/>
      <c r="H418" s="22">
        <v>41.42</v>
      </c>
      <c r="I418" s="9">
        <v>1.7430000000000001</v>
      </c>
      <c r="J418" s="22">
        <v>2.7862</v>
      </c>
      <c r="K418" s="13">
        <v>3.673</v>
      </c>
      <c r="L418" s="12">
        <v>1959</v>
      </c>
      <c r="M418" s="14">
        <v>137.37</v>
      </c>
      <c r="N418" s="13">
        <v>25.582843</v>
      </c>
      <c r="O418" s="13"/>
      <c r="P418" s="13">
        <v>27.35</v>
      </c>
      <c r="Q418" s="12"/>
      <c r="R418" s="22">
        <v>0.58120000000000005</v>
      </c>
      <c r="S418" s="22">
        <v>0.83043699999999998</v>
      </c>
      <c r="T418" s="22">
        <v>15.821</v>
      </c>
      <c r="U418" s="22">
        <v>23.975754999999999</v>
      </c>
      <c r="V418" s="22">
        <v>35.048000000000002</v>
      </c>
    </row>
    <row r="419" spans="1:22" x14ac:dyDescent="0.3">
      <c r="A419" s="21">
        <v>33451</v>
      </c>
      <c r="B419" s="22">
        <v>25.862393000000001</v>
      </c>
      <c r="C419" s="22">
        <v>5.3861999999999997</v>
      </c>
      <c r="D419" s="23">
        <v>11914.402915000001</v>
      </c>
      <c r="E419" s="22">
        <v>43.441282999999999</v>
      </c>
      <c r="F419" s="22">
        <v>7.7649999999999997</v>
      </c>
      <c r="G419" s="24"/>
      <c r="H419" s="22">
        <v>41.19</v>
      </c>
      <c r="I419" s="9">
        <v>1.7669999999999999</v>
      </c>
      <c r="J419" s="22">
        <v>2.7850000000000001</v>
      </c>
      <c r="K419" s="13">
        <v>3.6728000000000001</v>
      </c>
      <c r="L419" s="12">
        <v>1954</v>
      </c>
      <c r="M419" s="14">
        <v>137.47</v>
      </c>
      <c r="N419" s="13">
        <v>25.474039000000001</v>
      </c>
      <c r="O419" s="13"/>
      <c r="P419" s="13">
        <v>27.48</v>
      </c>
      <c r="Q419" s="12"/>
      <c r="R419" s="22">
        <v>0.57520000000000004</v>
      </c>
      <c r="S419" s="22">
        <v>0.78680099999999997</v>
      </c>
      <c r="T419" s="22">
        <v>15.164999999999999</v>
      </c>
      <c r="U419" s="22">
        <v>24.483177000000001</v>
      </c>
      <c r="V419" s="22">
        <v>34.276000000000003</v>
      </c>
    </row>
    <row r="420" spans="1:22" x14ac:dyDescent="0.3">
      <c r="A420" s="21">
        <v>33420</v>
      </c>
      <c r="B420" s="22">
        <v>25.642340999999998</v>
      </c>
      <c r="C420" s="22">
        <v>5.3605</v>
      </c>
      <c r="D420" s="23">
        <v>11887.022365000001</v>
      </c>
      <c r="E420" s="22">
        <v>43.341450999999999</v>
      </c>
      <c r="F420" s="22">
        <v>7.7370000000000001</v>
      </c>
      <c r="G420" s="24"/>
      <c r="H420" s="22">
        <v>41.12</v>
      </c>
      <c r="I420" s="9">
        <v>1.7675000000000001</v>
      </c>
      <c r="J420" s="22">
        <v>2.7597</v>
      </c>
      <c r="K420" s="13">
        <v>3.673</v>
      </c>
      <c r="L420" s="12">
        <v>1947</v>
      </c>
      <c r="M420" s="14">
        <v>138.41999999999999</v>
      </c>
      <c r="N420" s="13">
        <v>25.171372000000002</v>
      </c>
      <c r="O420" s="13"/>
      <c r="P420" s="13">
        <v>27.164999999999999</v>
      </c>
      <c r="Q420" s="12"/>
      <c r="R420" s="22">
        <v>0.52259999999999995</v>
      </c>
      <c r="S420" s="22">
        <v>0.72440300000000002</v>
      </c>
      <c r="T420" s="22">
        <v>14.997999999999999</v>
      </c>
      <c r="U420" s="22">
        <v>26.047778000000001</v>
      </c>
      <c r="V420" s="22">
        <v>36.470999999999997</v>
      </c>
    </row>
    <row r="421" spans="1:22" x14ac:dyDescent="0.3">
      <c r="A421" s="21">
        <v>33390</v>
      </c>
      <c r="B421" s="22">
        <v>21.062000000000001</v>
      </c>
      <c r="C421" s="22">
        <v>5.3689999999999998</v>
      </c>
      <c r="D421" s="23">
        <v>11411.670814999999</v>
      </c>
      <c r="E421" s="22">
        <v>41.608263999999998</v>
      </c>
      <c r="F421" s="22">
        <v>7.7930000000000001</v>
      </c>
      <c r="G421" s="24"/>
      <c r="H421" s="22">
        <v>40.94</v>
      </c>
      <c r="I421" s="9">
        <v>1.7615000000000001</v>
      </c>
      <c r="J421" s="22">
        <v>2.7509999999999999</v>
      </c>
      <c r="K421" s="13">
        <v>3.673</v>
      </c>
      <c r="L421" s="12">
        <v>1939</v>
      </c>
      <c r="M421" s="14">
        <v>136.24</v>
      </c>
      <c r="N421" s="13">
        <v>25.245521</v>
      </c>
      <c r="O421" s="13"/>
      <c r="P421" s="13">
        <v>27.1</v>
      </c>
      <c r="Q421" s="12"/>
      <c r="R421" s="22">
        <v>0.51049999999999995</v>
      </c>
      <c r="S421" s="22">
        <v>0.73877000000000004</v>
      </c>
      <c r="T421" s="22">
        <v>14.598000000000001</v>
      </c>
      <c r="U421" s="22">
        <v>24.808942999999999</v>
      </c>
      <c r="V421" s="22">
        <v>36.674999999999997</v>
      </c>
    </row>
    <row r="422" spans="1:22" x14ac:dyDescent="0.3">
      <c r="A422" s="21">
        <v>33359</v>
      </c>
      <c r="B422" s="22">
        <v>20.525188</v>
      </c>
      <c r="C422" s="22">
        <v>5.3490000000000002</v>
      </c>
      <c r="D422" s="23">
        <v>11312.524977999999</v>
      </c>
      <c r="E422" s="22">
        <v>41.246766999999998</v>
      </c>
      <c r="F422" s="22">
        <v>7.7945000000000002</v>
      </c>
      <c r="G422" s="24"/>
      <c r="H422" s="22">
        <v>40.78</v>
      </c>
      <c r="I422" s="9">
        <v>1.788</v>
      </c>
      <c r="J422" s="22">
        <v>2.7665000000000002</v>
      </c>
      <c r="K422" s="13">
        <v>3.673</v>
      </c>
      <c r="L422" s="12">
        <v>1932</v>
      </c>
      <c r="M422" s="14">
        <v>141.13</v>
      </c>
      <c r="N422" s="13">
        <v>25.210951999999999</v>
      </c>
      <c r="O422" s="13"/>
      <c r="P422" s="13">
        <v>27.114999999999998</v>
      </c>
      <c r="Q422" s="12"/>
      <c r="R422" s="22">
        <v>0.51829999999999998</v>
      </c>
      <c r="S422" s="22">
        <v>0.73478500000000002</v>
      </c>
      <c r="T422" s="22">
        <v>14.006</v>
      </c>
      <c r="U422" s="22">
        <v>24.684294999999999</v>
      </c>
      <c r="V422" s="22">
        <v>35.066000000000003</v>
      </c>
    </row>
    <row r="423" spans="1:22" x14ac:dyDescent="0.3">
      <c r="A423" s="21">
        <v>33329</v>
      </c>
      <c r="B423" s="22">
        <v>19.906364</v>
      </c>
      <c r="C423" s="22">
        <v>5.3036000000000003</v>
      </c>
      <c r="D423" s="23">
        <v>10732.294329</v>
      </c>
      <c r="E423" s="22">
        <v>39.131179000000003</v>
      </c>
      <c r="F423" s="22">
        <v>7.7915000000000001</v>
      </c>
      <c r="G423" s="24"/>
      <c r="H423" s="22">
        <v>40.72</v>
      </c>
      <c r="I423" s="9">
        <v>1.7282999999999999</v>
      </c>
      <c r="J423" s="22">
        <v>2.7198000000000002</v>
      </c>
      <c r="K423" s="13">
        <v>3.673</v>
      </c>
      <c r="L423" s="12">
        <v>1920</v>
      </c>
      <c r="M423" s="14">
        <v>132.86000000000001</v>
      </c>
      <c r="N423" s="13">
        <v>25.073250999999999</v>
      </c>
      <c r="O423" s="13"/>
      <c r="P423" s="13">
        <v>27.265000000000001</v>
      </c>
      <c r="Q423" s="12"/>
      <c r="R423" s="22">
        <v>0.51629999999999998</v>
      </c>
      <c r="S423" s="22">
        <v>0.72627699999999995</v>
      </c>
      <c r="T423" s="22">
        <v>14.077999999999999</v>
      </c>
      <c r="U423" s="22">
        <v>24.910502999999999</v>
      </c>
      <c r="V423" s="22">
        <v>35.345999999999997</v>
      </c>
    </row>
    <row r="424" spans="1:22" x14ac:dyDescent="0.3">
      <c r="A424" s="21">
        <v>33298</v>
      </c>
      <c r="B424" s="22">
        <v>19.242857000000001</v>
      </c>
      <c r="C424" s="22">
        <v>5.2351999999999999</v>
      </c>
      <c r="D424" s="23">
        <v>9888.426727</v>
      </c>
      <c r="E424" s="22">
        <v>36.054341000000001</v>
      </c>
      <c r="F424" s="22">
        <v>7.7934999999999999</v>
      </c>
      <c r="G424" s="24"/>
      <c r="H424" s="22">
        <v>40.4</v>
      </c>
      <c r="I424" s="9">
        <v>1.7284999999999999</v>
      </c>
      <c r="J424" s="22">
        <v>2.6974999999999998</v>
      </c>
      <c r="K424" s="13">
        <v>3.6722999999999999</v>
      </c>
      <c r="L424" s="12">
        <v>1912</v>
      </c>
      <c r="M424" s="14">
        <v>131.29</v>
      </c>
      <c r="N424" s="13">
        <v>25.128039000000001</v>
      </c>
      <c r="O424" s="13"/>
      <c r="P424" s="13">
        <v>27.274999999999999</v>
      </c>
      <c r="Q424" s="12"/>
      <c r="R424" s="22">
        <v>0.51429999999999998</v>
      </c>
      <c r="S424" s="22">
        <v>0.74286399999999997</v>
      </c>
      <c r="T424" s="22">
        <v>14.227</v>
      </c>
      <c r="U424" s="22">
        <v>24.328129000000001</v>
      </c>
      <c r="V424" s="22">
        <v>35.279000000000003</v>
      </c>
    </row>
    <row r="425" spans="1:22" x14ac:dyDescent="0.3">
      <c r="A425" s="21">
        <v>33270</v>
      </c>
      <c r="B425" s="22">
        <v>18.866979000000001</v>
      </c>
      <c r="C425" s="22">
        <v>5.2351999999999999</v>
      </c>
      <c r="D425" s="23">
        <v>10079.977857</v>
      </c>
      <c r="E425" s="22">
        <v>36.752758999999998</v>
      </c>
      <c r="F425" s="22">
        <v>7.7984</v>
      </c>
      <c r="G425" s="24"/>
      <c r="H425" s="22">
        <v>40.24</v>
      </c>
      <c r="I425" s="9">
        <v>1.7355</v>
      </c>
      <c r="J425" s="22">
        <v>2.7004999999999999</v>
      </c>
      <c r="K425" s="13">
        <v>3.6722999999999999</v>
      </c>
      <c r="L425" s="12">
        <v>1901</v>
      </c>
      <c r="M425" s="14">
        <v>135.44</v>
      </c>
      <c r="N425" s="13">
        <v>25.396571999999999</v>
      </c>
      <c r="O425" s="13"/>
      <c r="P425" s="13">
        <v>27.295000000000002</v>
      </c>
      <c r="Q425" s="12"/>
      <c r="R425" s="22">
        <v>0.53459999999999996</v>
      </c>
      <c r="S425" s="22">
        <v>0.76453499999999996</v>
      </c>
      <c r="T425" s="22">
        <v>14.925000000000001</v>
      </c>
      <c r="U425" s="22">
        <v>23.3522</v>
      </c>
      <c r="V425" s="22">
        <v>33.908999999999999</v>
      </c>
    </row>
    <row r="426" spans="1:22" x14ac:dyDescent="0.3">
      <c r="A426" s="21">
        <v>33239</v>
      </c>
      <c r="B426" s="22">
        <v>18.323529000000001</v>
      </c>
      <c r="C426" s="22">
        <v>5.2351999999999999</v>
      </c>
      <c r="D426" s="23">
        <v>5684.9312659999996</v>
      </c>
      <c r="E426" s="22">
        <v>30.314281999999999</v>
      </c>
      <c r="F426" s="22">
        <v>7.8005000000000004</v>
      </c>
      <c r="G426" s="24"/>
      <c r="H426" s="22">
        <v>40.31</v>
      </c>
      <c r="I426" s="9">
        <v>1.7230000000000001</v>
      </c>
      <c r="J426" s="22">
        <v>2.7025000000000001</v>
      </c>
      <c r="K426" s="13">
        <v>3.673</v>
      </c>
      <c r="L426" s="12">
        <v>1884</v>
      </c>
      <c r="M426" s="14">
        <v>132.54</v>
      </c>
      <c r="N426" s="13">
        <v>25.579129999999999</v>
      </c>
      <c r="O426" s="13"/>
      <c r="P426" s="13">
        <v>27.295000000000002</v>
      </c>
      <c r="Q426" s="12"/>
      <c r="R426" s="22">
        <v>0.52890000000000004</v>
      </c>
      <c r="S426" s="22">
        <v>0.76377200000000001</v>
      </c>
      <c r="T426" s="22">
        <v>14.288</v>
      </c>
      <c r="U426" s="22">
        <v>22.714417999999998</v>
      </c>
      <c r="V426" s="22">
        <v>33.19</v>
      </c>
    </row>
    <row r="427" spans="1:22" x14ac:dyDescent="0.3">
      <c r="A427" s="21">
        <v>33208</v>
      </c>
      <c r="B427" s="22">
        <v>18.134364000000001</v>
      </c>
      <c r="C427" s="22">
        <v>5.2351999999999999</v>
      </c>
      <c r="D427" s="23">
        <v>5612.4808169999997</v>
      </c>
      <c r="E427" s="22">
        <v>29.927948000000001</v>
      </c>
      <c r="F427" s="22">
        <v>7.7965</v>
      </c>
      <c r="G427" s="24"/>
      <c r="H427" s="22">
        <v>40.4</v>
      </c>
      <c r="I427" s="9">
        <v>1.7062999999999999</v>
      </c>
      <c r="J427" s="22">
        <v>2.7002999999999999</v>
      </c>
      <c r="K427" s="13">
        <v>3.6726999999999999</v>
      </c>
      <c r="L427" s="12">
        <v>1629.3473349999999</v>
      </c>
      <c r="M427" s="14">
        <v>130.04</v>
      </c>
      <c r="N427" s="13">
        <v>25.702176999999999</v>
      </c>
      <c r="O427" s="13"/>
      <c r="P427" s="13">
        <v>27.184999999999999</v>
      </c>
      <c r="Q427" s="12"/>
      <c r="R427" s="22">
        <v>0.53790000000000004</v>
      </c>
      <c r="S427" s="22">
        <v>0.79594699999999996</v>
      </c>
      <c r="T427" s="22">
        <v>13.82</v>
      </c>
      <c r="U427" s="22">
        <v>21.873688000000001</v>
      </c>
      <c r="V427" s="22">
        <v>32.417999999999999</v>
      </c>
    </row>
    <row r="428" spans="1:22" x14ac:dyDescent="0.3">
      <c r="A428" s="21">
        <v>33178</v>
      </c>
      <c r="B428" s="22">
        <v>18.091237</v>
      </c>
      <c r="C428" s="22">
        <v>5.2351999999999999</v>
      </c>
      <c r="D428" s="23">
        <v>5731.847992</v>
      </c>
      <c r="E428" s="22">
        <v>30.564461000000001</v>
      </c>
      <c r="F428" s="22">
        <v>7.7614999999999998</v>
      </c>
      <c r="G428" s="24"/>
      <c r="H428" s="22">
        <v>40.01</v>
      </c>
      <c r="I428" s="9">
        <v>1.7645</v>
      </c>
      <c r="J428" s="22">
        <v>2.6995</v>
      </c>
      <c r="K428" s="13">
        <v>3.673</v>
      </c>
      <c r="L428" s="12">
        <v>1677.650202</v>
      </c>
      <c r="M428" s="14">
        <v>138.49</v>
      </c>
      <c r="N428" s="13">
        <v>25.875713999999999</v>
      </c>
      <c r="O428" s="13"/>
      <c r="P428" s="13">
        <v>27.175000000000001</v>
      </c>
      <c r="Q428" s="12"/>
      <c r="R428" s="22">
        <v>0.57340000000000002</v>
      </c>
      <c r="S428" s="22">
        <v>0.81898499999999996</v>
      </c>
      <c r="T428" s="22">
        <v>13.875999999999999</v>
      </c>
      <c r="U428" s="22">
        <v>21.272331999999999</v>
      </c>
      <c r="V428" s="22">
        <v>30.588999999999999</v>
      </c>
    </row>
    <row r="429" spans="1:22" x14ac:dyDescent="0.3">
      <c r="A429" s="21">
        <v>33147</v>
      </c>
      <c r="B429" s="22">
        <v>18.070754999999998</v>
      </c>
      <c r="C429" s="22">
        <v>4.7339000000000002</v>
      </c>
      <c r="D429" s="23">
        <v>5901.7716680000003</v>
      </c>
      <c r="E429" s="22">
        <v>31.470559999999999</v>
      </c>
      <c r="F429" s="22">
        <v>7.7610000000000001</v>
      </c>
      <c r="G429" s="24"/>
      <c r="H429" s="22">
        <v>39.94</v>
      </c>
      <c r="I429" s="9">
        <v>1.764</v>
      </c>
      <c r="J429" s="22">
        <v>2.6867999999999999</v>
      </c>
      <c r="K429" s="13">
        <v>3.6728000000000001</v>
      </c>
      <c r="L429" s="12">
        <v>1674.3580260000001</v>
      </c>
      <c r="M429" s="14">
        <v>143.76</v>
      </c>
      <c r="N429" s="13">
        <v>25.925850000000001</v>
      </c>
      <c r="O429" s="13"/>
      <c r="P429" s="13">
        <v>27.45</v>
      </c>
      <c r="Q429" s="12"/>
      <c r="R429" s="22">
        <v>0.59609999999999996</v>
      </c>
      <c r="S429" s="22">
        <v>0.81040199999999996</v>
      </c>
      <c r="T429" s="22">
        <v>13.340999999999999</v>
      </c>
      <c r="U429" s="22">
        <v>21.377109999999998</v>
      </c>
      <c r="V429" s="22">
        <v>29.163</v>
      </c>
    </row>
    <row r="430" spans="1:22" x14ac:dyDescent="0.3">
      <c r="A430" s="21">
        <v>33117</v>
      </c>
      <c r="B430" s="22">
        <v>17.852516000000001</v>
      </c>
      <c r="C430" s="22">
        <v>4.7339000000000002</v>
      </c>
      <c r="D430" s="23">
        <v>5890.1901879999996</v>
      </c>
      <c r="E430" s="22">
        <v>31.408802999999999</v>
      </c>
      <c r="F430" s="22">
        <v>7.7636000000000003</v>
      </c>
      <c r="G430" s="24"/>
      <c r="H430" s="22">
        <v>40.020000000000003</v>
      </c>
      <c r="I430" s="9">
        <v>1.806</v>
      </c>
      <c r="J430" s="22">
        <v>2.6960000000000002</v>
      </c>
      <c r="K430" s="13">
        <v>3.6728999999999998</v>
      </c>
      <c r="L430" s="12">
        <v>1746.4614650000001</v>
      </c>
      <c r="M430" s="14">
        <v>145.63999999999999</v>
      </c>
      <c r="N430" s="13">
        <v>26.021560000000001</v>
      </c>
      <c r="O430" s="13"/>
      <c r="P430" s="13">
        <v>26.18</v>
      </c>
      <c r="Q430" s="12"/>
      <c r="R430" s="22">
        <v>0.61160000000000003</v>
      </c>
      <c r="S430" s="22">
        <v>0.82240599999999997</v>
      </c>
      <c r="T430" s="22">
        <v>12.98</v>
      </c>
      <c r="U430" s="22">
        <v>21.029765999999999</v>
      </c>
      <c r="V430" s="22">
        <v>28.225000000000001</v>
      </c>
    </row>
    <row r="431" spans="1:22" x14ac:dyDescent="0.3">
      <c r="A431" s="21">
        <v>33086</v>
      </c>
      <c r="B431" s="22">
        <v>17.346522</v>
      </c>
      <c r="C431" s="22">
        <v>4.7339000000000002</v>
      </c>
      <c r="D431" s="23">
        <v>6143.8414160000002</v>
      </c>
      <c r="E431" s="22">
        <v>32.761370999999997</v>
      </c>
      <c r="F431" s="22">
        <v>7.7869999999999999</v>
      </c>
      <c r="G431" s="24"/>
      <c r="H431" s="22">
        <v>40.020000000000003</v>
      </c>
      <c r="I431" s="9">
        <v>1.8385</v>
      </c>
      <c r="J431" s="22">
        <v>2.7103999999999999</v>
      </c>
      <c r="K431" s="13"/>
      <c r="L431" s="12">
        <v>1802.382623</v>
      </c>
      <c r="M431" s="14">
        <v>152.19</v>
      </c>
      <c r="N431" s="13">
        <v>25.925454999999999</v>
      </c>
      <c r="O431" s="13"/>
      <c r="P431" s="13">
        <v>26.21</v>
      </c>
      <c r="Q431" s="12"/>
      <c r="R431" s="22">
        <v>0.60770000000000002</v>
      </c>
      <c r="S431" s="22">
        <v>0.83334600000000003</v>
      </c>
      <c r="T431" s="22">
        <v>12.967000000000001</v>
      </c>
      <c r="U431" s="22">
        <v>20.539822999999998</v>
      </c>
      <c r="V431" s="22">
        <v>28.253</v>
      </c>
    </row>
    <row r="432" spans="1:22" x14ac:dyDescent="0.3">
      <c r="A432" s="21">
        <v>33055</v>
      </c>
      <c r="B432" s="22">
        <v>17.408739000000001</v>
      </c>
      <c r="C432" s="22">
        <v>4.7339000000000002</v>
      </c>
      <c r="D432" s="23">
        <v>6340.5653240000001</v>
      </c>
      <c r="E432" s="22">
        <v>33.810380000000002</v>
      </c>
      <c r="F432" s="22">
        <v>7.7815000000000003</v>
      </c>
      <c r="G432" s="24"/>
      <c r="H432" s="22">
        <v>40.119999999999997</v>
      </c>
      <c r="I432" s="9">
        <v>1.8525</v>
      </c>
      <c r="J432" s="22">
        <v>2.7014999999999998</v>
      </c>
      <c r="K432" s="13"/>
      <c r="L432" s="12">
        <v>1789.038413</v>
      </c>
      <c r="M432" s="14">
        <v>152.16999999999999</v>
      </c>
      <c r="N432" s="13">
        <v>25.718692000000001</v>
      </c>
      <c r="O432" s="13"/>
      <c r="P432" s="13">
        <v>25.95</v>
      </c>
      <c r="Q432" s="12"/>
      <c r="R432" s="22">
        <v>0.59150000000000003</v>
      </c>
      <c r="S432" s="22">
        <v>0.82155299999999998</v>
      </c>
      <c r="T432" s="22">
        <v>12.885999999999999</v>
      </c>
      <c r="U432" s="22">
        <v>20.667411999999999</v>
      </c>
      <c r="V432" s="22">
        <v>28.422000000000001</v>
      </c>
    </row>
    <row r="433" spans="1:22" x14ac:dyDescent="0.3">
      <c r="A433" s="21">
        <v>33025</v>
      </c>
      <c r="B433" s="22">
        <v>17.420952</v>
      </c>
      <c r="C433" s="22">
        <v>4.7339000000000002</v>
      </c>
      <c r="D433" s="23">
        <v>6293.6220000000003</v>
      </c>
      <c r="E433" s="22">
        <v>33.56006</v>
      </c>
      <c r="F433" s="22">
        <v>7.7930000000000001</v>
      </c>
      <c r="G433" s="24"/>
      <c r="H433" s="22">
        <v>40.020000000000003</v>
      </c>
      <c r="I433" s="9">
        <v>1.8745000000000001</v>
      </c>
      <c r="J433" s="22">
        <v>2.7149999999999999</v>
      </c>
      <c r="K433" s="13"/>
      <c r="L433" s="12">
        <v>1817.2675079999999</v>
      </c>
      <c r="M433" s="14">
        <v>158.96</v>
      </c>
      <c r="N433" s="13">
        <v>25.753888</v>
      </c>
      <c r="O433" s="13"/>
      <c r="P433" s="13">
        <v>25.93</v>
      </c>
      <c r="Q433" s="12"/>
      <c r="R433" s="22">
        <v>0.59519999999999995</v>
      </c>
      <c r="S433" s="22">
        <v>0.83155699999999999</v>
      </c>
      <c r="T433" s="22">
        <v>13.013</v>
      </c>
      <c r="U433" s="22">
        <v>20.398515</v>
      </c>
      <c r="V433" s="22">
        <v>28.315999999999999</v>
      </c>
    </row>
    <row r="434" spans="1:22" x14ac:dyDescent="0.3">
      <c r="A434" s="21">
        <v>32994</v>
      </c>
      <c r="B434" s="22">
        <v>17.322592</v>
      </c>
      <c r="C434" s="22">
        <v>4.7339000000000002</v>
      </c>
      <c r="D434" s="23">
        <v>6392.9285609999997</v>
      </c>
      <c r="E434" s="22">
        <v>34.089601000000002</v>
      </c>
      <c r="F434" s="22">
        <v>7.8070000000000004</v>
      </c>
      <c r="G434" s="24"/>
      <c r="H434" s="22">
        <v>40.020000000000003</v>
      </c>
      <c r="I434" s="9">
        <v>1.885</v>
      </c>
      <c r="J434" s="22">
        <v>2.7275</v>
      </c>
      <c r="L434" s="12">
        <v>1840.1373329999999</v>
      </c>
      <c r="M434" s="14">
        <v>158.44999999999999</v>
      </c>
    </row>
    <row r="435" spans="1:22" x14ac:dyDescent="0.3">
      <c r="A435" s="21">
        <v>32964</v>
      </c>
      <c r="B435" s="22">
        <v>17.294286</v>
      </c>
      <c r="C435" s="22">
        <v>4.7339000000000002</v>
      </c>
      <c r="D435" s="23">
        <v>6473.3818549999996</v>
      </c>
      <c r="E435" s="22">
        <v>34.518610000000002</v>
      </c>
      <c r="F435" s="22">
        <v>7.8085000000000004</v>
      </c>
      <c r="G435" s="24"/>
      <c r="H435" s="22">
        <v>40.020000000000003</v>
      </c>
      <c r="I435" s="9">
        <v>1.867</v>
      </c>
      <c r="J435" s="22">
        <v>2.7058</v>
      </c>
      <c r="L435" s="12">
        <v>1808.3437699999999</v>
      </c>
      <c r="M435" s="14">
        <v>149.07</v>
      </c>
    </row>
    <row r="436" spans="1:22" x14ac:dyDescent="0.3">
      <c r="A436" s="21">
        <v>32933</v>
      </c>
      <c r="B436" s="22">
        <v>17.116364000000001</v>
      </c>
      <c r="C436" s="22">
        <v>4.7339000000000002</v>
      </c>
      <c r="D436" s="23">
        <v>6361.535922</v>
      </c>
      <c r="E436" s="22">
        <v>33.922204000000001</v>
      </c>
      <c r="F436" s="22">
        <v>7.8114999999999997</v>
      </c>
      <c r="G436" s="24"/>
      <c r="H436" s="22">
        <v>40.020000000000003</v>
      </c>
      <c r="I436" s="9">
        <v>1.8645</v>
      </c>
      <c r="J436" s="22">
        <v>2.6974999999999998</v>
      </c>
      <c r="L436" s="12">
        <v>1833.14517</v>
      </c>
      <c r="M436" s="14">
        <v>144.44999999999999</v>
      </c>
    </row>
    <row r="437" spans="1:22" x14ac:dyDescent="0.3">
      <c r="A437" s="21">
        <v>32905</v>
      </c>
      <c r="B437" s="22">
        <v>16.978898000000001</v>
      </c>
      <c r="C437" s="22">
        <v>4.7339000000000002</v>
      </c>
      <c r="D437" s="23">
        <v>6448.7842680000003</v>
      </c>
      <c r="E437" s="22">
        <v>34.387445999999997</v>
      </c>
    </row>
    <row r="438" spans="1:22" x14ac:dyDescent="0.3">
      <c r="A438" s="21">
        <v>32874</v>
      </c>
      <c r="B438" s="22">
        <v>16.961559000000001</v>
      </c>
      <c r="C438" s="22">
        <v>4.7339000000000002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C621-1141-48C0-9C60-60371CD387EA}">
  <dimension ref="A1:M27"/>
  <sheetViews>
    <sheetView workbookViewId="0">
      <selection activeCell="L15" sqref="L15"/>
    </sheetView>
  </sheetViews>
  <sheetFormatPr defaultRowHeight="14.4" x14ac:dyDescent="0.3"/>
  <cols>
    <col min="2" max="2" width="13.5546875" bestFit="1" customWidth="1"/>
    <col min="3" max="3" width="9" bestFit="1" customWidth="1"/>
    <col min="7" max="7" width="9.88671875" customWidth="1"/>
    <col min="10" max="10" width="24.88671875" customWidth="1"/>
    <col min="11" max="11" width="10.21875" customWidth="1"/>
    <col min="12" max="12" width="11.5546875" customWidth="1"/>
    <col min="13" max="13" width="11.88671875" customWidth="1"/>
  </cols>
  <sheetData>
    <row r="1" spans="1:13" ht="47.4" thickBot="1" x14ac:dyDescent="0.35">
      <c r="A1" s="27" t="s">
        <v>22</v>
      </c>
      <c r="B1" s="28" t="s">
        <v>23</v>
      </c>
      <c r="C1" s="28" t="s">
        <v>24</v>
      </c>
      <c r="D1" s="29" t="s">
        <v>25</v>
      </c>
      <c r="E1" s="29" t="s">
        <v>26</v>
      </c>
      <c r="F1" s="27" t="s">
        <v>27</v>
      </c>
      <c r="G1" s="27" t="s">
        <v>28</v>
      </c>
      <c r="J1" s="35" t="s">
        <v>32</v>
      </c>
      <c r="K1" s="35" t="s">
        <v>33</v>
      </c>
      <c r="L1" s="35" t="s">
        <v>34</v>
      </c>
      <c r="M1" s="35" t="s">
        <v>2</v>
      </c>
    </row>
    <row r="2" spans="1:13" ht="18.600000000000001" thickBot="1" x14ac:dyDescent="0.35">
      <c r="A2" s="30">
        <v>2025</v>
      </c>
      <c r="B2" s="34">
        <v>87.035333333333327</v>
      </c>
      <c r="C2" s="31">
        <f t="shared" ref="C2:C25" si="0">B2/B3-1</f>
        <v>3.9921141457488929E-2</v>
      </c>
      <c r="D2" s="34">
        <v>7.1958333333333329</v>
      </c>
      <c r="E2" s="31">
        <f t="shared" ref="E2:E20" si="1">D2/D3-1</f>
        <v>6.1995561813033007E-4</v>
      </c>
      <c r="F2" s="30">
        <v>25953.666666666668</v>
      </c>
      <c r="G2" s="31">
        <f t="shared" ref="G2:G25" si="2">F2/F3-1</f>
        <v>3.5561215498638443E-2</v>
      </c>
      <c r="J2" s="36" t="s">
        <v>35</v>
      </c>
      <c r="K2" s="37">
        <f>C2</f>
        <v>3.9921141457488929E-2</v>
      </c>
      <c r="L2" s="37">
        <f>E2</f>
        <v>6.1995561813033007E-4</v>
      </c>
      <c r="M2" s="39">
        <f>G2</f>
        <v>3.5561215498638443E-2</v>
      </c>
    </row>
    <row r="3" spans="1:13" ht="18.600000000000001" thickBot="1" x14ac:dyDescent="0.35">
      <c r="A3" s="30">
        <v>2024</v>
      </c>
      <c r="B3" s="34">
        <v>83.694166666666675</v>
      </c>
      <c r="C3" s="31">
        <f t="shared" si="0"/>
        <v>1.2745918583428439E-2</v>
      </c>
      <c r="D3" s="34">
        <v>7.1913750000000007</v>
      </c>
      <c r="E3" s="31">
        <f t="shared" si="1"/>
        <v>1.4313805923221734E-2</v>
      </c>
      <c r="F3" s="30">
        <v>25062.416666666668</v>
      </c>
      <c r="G3" s="31">
        <f t="shared" si="2"/>
        <v>5.0706587244746526E-2</v>
      </c>
      <c r="J3" s="36" t="s">
        <v>36</v>
      </c>
      <c r="K3" s="37">
        <f>B2/B4-1</f>
        <v>5.3175891659692054E-2</v>
      </c>
      <c r="L3" s="39">
        <f>D2/D4-1</f>
        <v>1.494263546575092E-2</v>
      </c>
      <c r="M3" s="37">
        <f>F2/F4-1</f>
        <v>8.8070990619595779E-2</v>
      </c>
    </row>
    <row r="4" spans="1:13" ht="18.600000000000001" thickBot="1" x14ac:dyDescent="0.35">
      <c r="A4" s="30">
        <v>2023</v>
      </c>
      <c r="B4" s="34">
        <v>82.640833333333333</v>
      </c>
      <c r="C4" s="31">
        <f t="shared" si="0"/>
        <v>5.1488090929051822E-2</v>
      </c>
      <c r="D4" s="34">
        <v>7.0898916666666674</v>
      </c>
      <c r="E4" s="31">
        <f t="shared" si="1"/>
        <v>5.0118368465357221E-2</v>
      </c>
      <c r="F4" s="32">
        <v>23852.916666666668</v>
      </c>
      <c r="G4" s="31">
        <f t="shared" si="2"/>
        <v>1.7145801499591551E-2</v>
      </c>
      <c r="J4" s="36" t="s">
        <v>37</v>
      </c>
      <c r="K4" s="38">
        <f>B2/B7-1</f>
        <v>0.17431763914112519</v>
      </c>
      <c r="L4" s="38">
        <f>D2/D7-1</f>
        <v>4.4489065221598345E-2</v>
      </c>
      <c r="M4" s="38">
        <f>F2/F7-1</f>
        <v>0.11666696545418698</v>
      </c>
    </row>
    <row r="5" spans="1:13" ht="18.600000000000001" thickBot="1" x14ac:dyDescent="0.35">
      <c r="A5" s="30">
        <v>2022</v>
      </c>
      <c r="B5" s="34">
        <v>78.59416958333334</v>
      </c>
      <c r="C5" s="31">
        <f t="shared" si="0"/>
        <v>6.3013920529308765E-2</v>
      </c>
      <c r="D5" s="34">
        <v>6.7515166666666673</v>
      </c>
      <c r="E5" s="31">
        <f t="shared" si="1"/>
        <v>4.8972108788929436E-2</v>
      </c>
      <c r="F5" s="32">
        <v>23450.833333333332</v>
      </c>
      <c r="G5" s="31">
        <f t="shared" si="2"/>
        <v>2.3372353927333611E-2</v>
      </c>
      <c r="J5" s="36" t="s">
        <v>38</v>
      </c>
      <c r="K5" s="38">
        <v>0.35</v>
      </c>
      <c r="L5" s="38">
        <f>D2/D12-1</f>
        <v>0.14420417849850198</v>
      </c>
      <c r="M5" s="38">
        <f>F2/F12-1</f>
        <v>0.18300571667331411</v>
      </c>
    </row>
    <row r="6" spans="1:13" ht="18.600000000000001" thickBot="1" x14ac:dyDescent="0.35">
      <c r="A6" s="30">
        <v>2021</v>
      </c>
      <c r="B6" s="34">
        <v>73.935221416666664</v>
      </c>
      <c r="C6" s="31">
        <f t="shared" si="0"/>
        <v>-2.4346281196561126E-3</v>
      </c>
      <c r="D6" s="34">
        <v>6.4363166666666674</v>
      </c>
      <c r="E6" s="31">
        <f t="shared" si="1"/>
        <v>-6.5756241532804349E-2</v>
      </c>
      <c r="F6" s="32">
        <v>22915.25</v>
      </c>
      <c r="G6" s="31">
        <f t="shared" si="2"/>
        <v>-1.4062135852709656E-2</v>
      </c>
      <c r="J6" s="36" t="s">
        <v>39</v>
      </c>
      <c r="K6" s="38">
        <v>0.98</v>
      </c>
      <c r="L6" s="38">
        <f>D2/D22-1</f>
        <v>-0.12056463111581872</v>
      </c>
      <c r="M6" s="38">
        <f>F2/F22-1</f>
        <v>0.63646585923337629</v>
      </c>
    </row>
    <row r="7" spans="1:13" ht="18.600000000000001" thickBot="1" x14ac:dyDescent="0.35">
      <c r="A7" s="30">
        <v>2020</v>
      </c>
      <c r="B7" s="34">
        <v>74.115665499999992</v>
      </c>
      <c r="C7" s="31">
        <f t="shared" si="0"/>
        <v>5.2300436912074755E-2</v>
      </c>
      <c r="D7" s="34">
        <v>6.889333333333334</v>
      </c>
      <c r="E7" s="31">
        <f t="shared" si="1"/>
        <v>-1.7436159987636035E-3</v>
      </c>
      <c r="F7" s="32">
        <v>23242.083333333332</v>
      </c>
      <c r="G7" s="31">
        <f t="shared" si="2"/>
        <v>5.1298240075747792E-4</v>
      </c>
      <c r="J7" s="40" t="s">
        <v>40</v>
      </c>
      <c r="K7" s="41">
        <f>AVERAGE(C2:C4)</f>
        <v>3.4718383656656394E-2</v>
      </c>
      <c r="L7" s="41">
        <f>AVERAGE(E2:E4)</f>
        <v>2.1684043335569763E-2</v>
      </c>
      <c r="M7" s="41">
        <f>AVERAGE(G2:G40)</f>
        <v>2.4716258674475661E-2</v>
      </c>
    </row>
    <row r="8" spans="1:13" ht="18.600000000000001" thickBot="1" x14ac:dyDescent="0.35">
      <c r="A8" s="30">
        <v>2019</v>
      </c>
      <c r="B8" s="34">
        <v>70.432039083333336</v>
      </c>
      <c r="C8" s="31">
        <f t="shared" si="0"/>
        <v>2.9508933400874904E-2</v>
      </c>
      <c r="D8" s="34">
        <v>6.901366666666668</v>
      </c>
      <c r="E8" s="31">
        <f t="shared" si="1"/>
        <v>4.1051807212256097E-2</v>
      </c>
      <c r="F8" s="32">
        <v>23230.166666666668</v>
      </c>
      <c r="G8" s="31">
        <f t="shared" si="2"/>
        <v>8.0787479025632436E-3</v>
      </c>
      <c r="J8" s="40" t="s">
        <v>41</v>
      </c>
      <c r="K8" s="41">
        <f>AVERAGE(C2:C7)</f>
        <v>3.6172480048616097E-2</v>
      </c>
      <c r="L8" s="41">
        <f>AVERAGE(E2:E7)</f>
        <v>7.7540635440117951E-3</v>
      </c>
      <c r="M8" s="41">
        <f>AVERAGE(G2:G12)</f>
        <v>1.8787121585673708E-2</v>
      </c>
    </row>
    <row r="9" spans="1:13" ht="18.600000000000001" thickBot="1" x14ac:dyDescent="0.35">
      <c r="A9" s="30">
        <v>2018</v>
      </c>
      <c r="B9" s="34">
        <v>68.413237416666675</v>
      </c>
      <c r="C9" s="31">
        <f t="shared" si="0"/>
        <v>5.0557144265548581E-2</v>
      </c>
      <c r="D9" s="34">
        <v>6.629224999999999</v>
      </c>
      <c r="E9" s="31">
        <f t="shared" si="1"/>
        <v>-1.5702835196325982E-2</v>
      </c>
      <c r="F9" s="32">
        <v>23044</v>
      </c>
      <c r="G9" s="31">
        <f t="shared" si="2"/>
        <v>1.4759308051932818E-2</v>
      </c>
      <c r="J9" s="40" t="s">
        <v>42</v>
      </c>
      <c r="K9" s="41">
        <f>AVERAGE(C2:C12)</f>
        <v>3.3168994144071463E-2</v>
      </c>
      <c r="L9" s="41">
        <f>AVERAGE(E2:E12)</f>
        <v>1.4663461264912601E-2</v>
      </c>
      <c r="M9" s="41">
        <f>AVERAGE(G2:G120)</f>
        <v>2.4716258674475661E-2</v>
      </c>
    </row>
    <row r="10" spans="1:13" ht="15.6" thickBot="1" x14ac:dyDescent="0.35">
      <c r="A10" s="30">
        <v>2017</v>
      </c>
      <c r="B10" s="34">
        <v>65.120910166666675</v>
      </c>
      <c r="C10" s="31">
        <f t="shared" si="0"/>
        <v>-3.0957074856739486E-2</v>
      </c>
      <c r="D10" s="34">
        <v>6.7349833333333349</v>
      </c>
      <c r="E10" s="31">
        <f t="shared" si="1"/>
        <v>1.2036274114497925E-2</v>
      </c>
      <c r="F10" s="32">
        <v>22708.833333333332</v>
      </c>
      <c r="G10" s="31">
        <f t="shared" si="2"/>
        <v>1.6138534853716413E-2</v>
      </c>
    </row>
    <row r="11" spans="1:13" ht="15.6" thickBot="1" x14ac:dyDescent="0.35">
      <c r="A11" s="30">
        <v>2016</v>
      </c>
      <c r="B11" s="34">
        <v>67.201264749999993</v>
      </c>
      <c r="C11" s="31">
        <f t="shared" si="0"/>
        <v>4.750767600256367E-2</v>
      </c>
      <c r="D11" s="34">
        <v>6.6548833333333315</v>
      </c>
      <c r="E11" s="31">
        <f t="shared" si="1"/>
        <v>5.8188115912454652E-2</v>
      </c>
      <c r="F11" s="32">
        <v>22348.166666666668</v>
      </c>
      <c r="G11" s="31">
        <f t="shared" si="2"/>
        <v>1.8661804645509372E-2</v>
      </c>
    </row>
    <row r="12" spans="1:13" ht="15.6" thickBot="1" x14ac:dyDescent="0.35">
      <c r="A12" s="30">
        <v>2015</v>
      </c>
      <c r="B12" s="34">
        <v>64.153481916666664</v>
      </c>
      <c r="C12" s="31">
        <f t="shared" si="0"/>
        <v>5.1207376480841837E-2</v>
      </c>
      <c r="D12" s="34">
        <v>6.2889416666666662</v>
      </c>
      <c r="E12" s="31">
        <f t="shared" si="1"/>
        <v>1.9200330607085148E-2</v>
      </c>
      <c r="F12" s="32">
        <v>21938.75</v>
      </c>
      <c r="G12" s="31">
        <f t="shared" si="2"/>
        <v>3.5783137270331E-2</v>
      </c>
    </row>
    <row r="13" spans="1:13" ht="15.6" thickBot="1" x14ac:dyDescent="0.35">
      <c r="A13" s="30">
        <v>2014</v>
      </c>
      <c r="B13" s="34">
        <v>61.028378750000002</v>
      </c>
      <c r="C13" s="31">
        <f t="shared" si="0"/>
        <v>4.1507879462594266E-2</v>
      </c>
      <c r="D13" s="34">
        <v>6.170466666666667</v>
      </c>
      <c r="E13" s="31">
        <f t="shared" si="1"/>
        <v>4.7547194389865322E-3</v>
      </c>
      <c r="F13" s="32">
        <v>21180.833333333332</v>
      </c>
      <c r="G13" s="31">
        <f t="shared" si="2"/>
        <v>7.6035076035074756E-3</v>
      </c>
    </row>
    <row r="14" spans="1:13" ht="15.6" thickBot="1" x14ac:dyDescent="0.35">
      <c r="A14" s="30">
        <v>2013</v>
      </c>
      <c r="B14" s="34">
        <v>58.596175750000008</v>
      </c>
      <c r="C14" s="31">
        <f t="shared" si="0"/>
        <v>9.6797664342350043E-2</v>
      </c>
      <c r="D14" s="34">
        <v>6.1412666666666667</v>
      </c>
      <c r="E14" s="31">
        <f t="shared" si="1"/>
        <v>-2.5484512525389191E-2</v>
      </c>
      <c r="F14" s="32">
        <v>21021</v>
      </c>
      <c r="G14" s="31">
        <f t="shared" si="2"/>
        <v>8.3021884680722913E-3</v>
      </c>
    </row>
    <row r="15" spans="1:13" ht="15.6" thickBot="1" x14ac:dyDescent="0.35">
      <c r="A15" s="30">
        <v>2012</v>
      </c>
      <c r="B15" s="34">
        <v>53.424781666666668</v>
      </c>
      <c r="C15" s="31">
        <f t="shared" si="0"/>
        <v>0.14468750251645712</v>
      </c>
      <c r="D15" s="34">
        <v>6.3018666666666663</v>
      </c>
      <c r="E15" s="31">
        <f t="shared" si="1"/>
        <v>-2.2789651875016137E-2</v>
      </c>
      <c r="F15" s="32">
        <v>20847.916666666668</v>
      </c>
      <c r="G15" s="31">
        <f t="shared" si="2"/>
        <v>8.3798207145620029E-3</v>
      </c>
    </row>
    <row r="16" spans="1:13" ht="15.6" thickBot="1" x14ac:dyDescent="0.35">
      <c r="A16" s="30">
        <v>2011</v>
      </c>
      <c r="B16" s="34">
        <v>46.671935833333329</v>
      </c>
      <c r="C16" s="31">
        <f t="shared" si="0"/>
        <v>2.0855442763318965E-2</v>
      </c>
      <c r="D16" s="34">
        <v>6.448833333333333</v>
      </c>
      <c r="E16" s="31">
        <f t="shared" si="1"/>
        <v>-4.5972944618203004E-2</v>
      </c>
      <c r="F16" s="32">
        <v>20674.666666666668</v>
      </c>
      <c r="G16" s="31">
        <f t="shared" si="2"/>
        <v>7.8645432530314308E-2</v>
      </c>
    </row>
    <row r="17" spans="1:7" ht="15.6" thickBot="1" x14ac:dyDescent="0.35">
      <c r="A17" s="30">
        <v>2010</v>
      </c>
      <c r="B17" s="34">
        <v>45.718457166666667</v>
      </c>
      <c r="C17" s="31">
        <f t="shared" si="0"/>
        <v>-5.4855621473013594E-2</v>
      </c>
      <c r="D17" s="34">
        <v>6.7595916666666662</v>
      </c>
      <c r="E17" s="31">
        <f t="shared" si="1"/>
        <v>-1.0264006549832061E-2</v>
      </c>
      <c r="F17" s="32">
        <v>19167.25</v>
      </c>
      <c r="G17" s="31">
        <f t="shared" si="2"/>
        <v>7.302406299859121E-2</v>
      </c>
    </row>
    <row r="18" spans="1:7" ht="15.6" thickBot="1" x14ac:dyDescent="0.35">
      <c r="A18" s="30">
        <v>2009</v>
      </c>
      <c r="B18" s="34">
        <v>48.371929416666667</v>
      </c>
      <c r="C18" s="31">
        <f t="shared" si="0"/>
        <v>0.11280382138966494</v>
      </c>
      <c r="D18" s="34">
        <v>6.8296916666666663</v>
      </c>
      <c r="E18" s="31">
        <f t="shared" si="1"/>
        <v>-1.3829392965095222E-2</v>
      </c>
      <c r="F18" s="32">
        <v>17862.833333333332</v>
      </c>
      <c r="G18" s="31">
        <f t="shared" si="2"/>
        <v>8.0056735301601289E-2</v>
      </c>
    </row>
    <row r="19" spans="1:7" ht="15.6" thickBot="1" x14ac:dyDescent="0.35">
      <c r="A19" s="30">
        <v>2008</v>
      </c>
      <c r="B19" s="34">
        <v>43.46851483333333</v>
      </c>
      <c r="C19" s="31">
        <f t="shared" si="0"/>
        <v>5.4659402987306427E-2</v>
      </c>
      <c r="D19" s="34">
        <v>6.9254666666666678</v>
      </c>
      <c r="E19" s="31">
        <f t="shared" si="1"/>
        <v>-8.6823899647500258E-2</v>
      </c>
      <c r="F19" s="32">
        <v>16538.791666666668</v>
      </c>
      <c r="G19" s="31">
        <f t="shared" si="2"/>
        <v>2.8686421570406129E-2</v>
      </c>
    </row>
    <row r="20" spans="1:7" ht="15.6" thickBot="1" x14ac:dyDescent="0.35">
      <c r="A20" s="30">
        <v>2007</v>
      </c>
      <c r="B20" s="34">
        <v>41.215689833333336</v>
      </c>
      <c r="C20" s="31">
        <f t="shared" si="0"/>
        <v>-8.9263261259904136E-2</v>
      </c>
      <c r="D20" s="34">
        <v>7.5839333333333334</v>
      </c>
      <c r="E20" s="31">
        <f t="shared" si="1"/>
        <v>-4.7069971990261972E-2</v>
      </c>
      <c r="F20" s="32">
        <v>16077.583333333334</v>
      </c>
      <c r="G20" s="31">
        <f t="shared" si="2"/>
        <v>5.2940103691738738E-3</v>
      </c>
    </row>
    <row r="21" spans="1:7" ht="15.6" thickBot="1" x14ac:dyDescent="0.35">
      <c r="A21" s="30">
        <v>2006</v>
      </c>
      <c r="B21" s="34">
        <v>45.255327999999992</v>
      </c>
      <c r="C21" s="31">
        <f t="shared" si="0"/>
        <v>2.7309821413831203E-2</v>
      </c>
      <c r="D21" s="34">
        <v>7.9585416666666662</v>
      </c>
      <c r="E21" s="31">
        <f>D21/D22-1</f>
        <v>-2.7350592740457258E-2</v>
      </c>
      <c r="F21" s="32">
        <v>15992.916666666666</v>
      </c>
      <c r="G21" s="31">
        <f t="shared" si="2"/>
        <v>8.407114520663006E-3</v>
      </c>
    </row>
    <row r="22" spans="1:7" ht="45.6" thickBot="1" x14ac:dyDescent="0.35">
      <c r="A22" s="30">
        <v>2005</v>
      </c>
      <c r="B22" s="34">
        <v>44.052268416666671</v>
      </c>
      <c r="C22" s="31">
        <f t="shared" si="0"/>
        <v>-2.6805123381473339E-2</v>
      </c>
      <c r="D22" s="34">
        <v>8.1823333333333341</v>
      </c>
      <c r="E22" s="30" t="s">
        <v>29</v>
      </c>
      <c r="F22" s="30">
        <v>15859.583333333334</v>
      </c>
      <c r="G22" s="31">
        <f t="shared" si="2"/>
        <v>7.4960693280536894E-3</v>
      </c>
    </row>
    <row r="23" spans="1:7" ht="15.6" thickBot="1" x14ac:dyDescent="0.35">
      <c r="A23" s="30">
        <v>2004</v>
      </c>
      <c r="B23" s="34">
        <v>45.265618916666675</v>
      </c>
      <c r="C23" s="31">
        <f t="shared" si="0"/>
        <v>-2.9629548790019111E-2</v>
      </c>
      <c r="D23" s="34">
        <v>8.276741666666668</v>
      </c>
      <c r="E23" s="31">
        <v>0</v>
      </c>
      <c r="F23" s="32">
        <v>15741.583333333334</v>
      </c>
      <c r="G23" s="31">
        <f t="shared" si="2"/>
        <v>1.4241878370868877E-2</v>
      </c>
    </row>
    <row r="24" spans="1:7" ht="15.6" thickBot="1" x14ac:dyDescent="0.35">
      <c r="A24" s="30">
        <v>2003</v>
      </c>
      <c r="B24" s="34">
        <v>46.647771333333331</v>
      </c>
      <c r="C24" s="31">
        <f t="shared" si="0"/>
        <v>-3.9352905758046064E-2</v>
      </c>
      <c r="D24" s="34">
        <v>8.2772583333333341</v>
      </c>
      <c r="E24" s="31">
        <v>0</v>
      </c>
      <c r="F24" s="32">
        <v>15520.541666666666</v>
      </c>
      <c r="G24" s="31">
        <f t="shared" si="2"/>
        <v>1.587522363311078E-2</v>
      </c>
    </row>
    <row r="25" spans="1:7" ht="15.6" thickBot="1" x14ac:dyDescent="0.35">
      <c r="A25" s="30">
        <v>2002</v>
      </c>
      <c r="B25" s="34">
        <v>48.558697166666661</v>
      </c>
      <c r="C25" s="31">
        <f t="shared" si="0"/>
        <v>2.6808100449027261E-2</v>
      </c>
      <c r="D25" s="34">
        <v>8.277075</v>
      </c>
      <c r="E25" s="31">
        <v>0</v>
      </c>
      <c r="F25" s="32">
        <v>15278</v>
      </c>
      <c r="G25" s="31">
        <f t="shared" si="2"/>
        <v>2.9139184372281024E-2</v>
      </c>
    </row>
    <row r="26" spans="1:7" ht="45.6" thickBot="1" x14ac:dyDescent="0.35">
      <c r="A26" s="30">
        <v>2001</v>
      </c>
      <c r="B26" s="34">
        <v>47.290917499999999</v>
      </c>
      <c r="C26" s="31">
        <f>B26/B27-1</f>
        <v>5.0459988259613953E-2</v>
      </c>
      <c r="D26" s="34">
        <v>8.2772083333333324</v>
      </c>
      <c r="E26" s="30" t="s">
        <v>30</v>
      </c>
      <c r="F26" s="32">
        <v>14845.416666666666</v>
      </c>
      <c r="G26" s="31">
        <f>F26/F27-1</f>
        <v>4.609647963827479E-2</v>
      </c>
    </row>
    <row r="27" spans="1:7" ht="16.2" thickBot="1" x14ac:dyDescent="0.35">
      <c r="A27" s="30">
        <v>2000</v>
      </c>
      <c r="B27" s="34">
        <v>45.019246833333334</v>
      </c>
      <c r="C27" s="33" t="s">
        <v>31</v>
      </c>
      <c r="D27" s="34">
        <v>8.2783833333333323</v>
      </c>
      <c r="E27" s="33" t="s">
        <v>31</v>
      </c>
      <c r="F27" s="32">
        <v>14191.25</v>
      </c>
      <c r="G27" s="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Currenicies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Banuprakash GS</dc:creator>
  <cp:lastModifiedBy>PRATAP SUNIL NETKE</cp:lastModifiedBy>
  <dcterms:created xsi:type="dcterms:W3CDTF">2023-03-30T03:59:07Z</dcterms:created>
  <dcterms:modified xsi:type="dcterms:W3CDTF">2026-06-29T11:03:29Z</dcterms:modified>
</cp:coreProperties>
</file>