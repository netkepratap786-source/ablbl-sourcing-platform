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DITYA BIRLA INTERNSHIP 2026\DOCS\ABLBL_Sourcing_Intelligence_Platform - Copy\data\raw\"/>
    </mc:Choice>
  </mc:AlternateContent>
  <xr:revisionPtr revIDLastSave="0" documentId="13_ncr:1_{A04442A2-1253-466B-8263-AE65CA025E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ality_Master" sheetId="7" r:id="rId1"/>
    <sheet name="PE" sheetId="3" r:id="rId2"/>
    <sheet name="AS" sheetId="4" r:id="rId3"/>
    <sheet name="LP" sheetId="6" r:id="rId4"/>
    <sheet name="VH" sheetId="5" r:id="rId5"/>
    <sheet name="Vendor_Check" sheetId="8" r:id="rId6"/>
  </sheets>
  <definedNames>
    <definedName name="_xlnm._FilterDatabase" localSheetId="0" hidden="1">Quality_Master!$A$1:$AB$1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" i="3" l="1"/>
  <c r="L22" i="3"/>
  <c r="W22" i="3" s="1"/>
  <c r="L21" i="3"/>
  <c r="W21" i="3" s="1"/>
  <c r="L20" i="3"/>
  <c r="W20" i="3" s="1"/>
  <c r="L19" i="3"/>
  <c r="W19" i="3" s="1"/>
  <c r="L18" i="3"/>
  <c r="W18" i="3" s="1"/>
  <c r="L17" i="3"/>
  <c r="W17" i="3" s="1"/>
  <c r="L16" i="3"/>
  <c r="W16" i="3" s="1"/>
  <c r="L15" i="3"/>
  <c r="W15" i="3" s="1"/>
  <c r="L14" i="3"/>
  <c r="W14" i="3" s="1"/>
  <c r="L13" i="3"/>
  <c r="W13" i="3" s="1"/>
  <c r="W12" i="3" l="1"/>
  <c r="W11" i="3"/>
  <c r="W10" i="3"/>
  <c r="W9" i="3"/>
  <c r="W8" i="3"/>
  <c r="W7" i="3"/>
  <c r="W6" i="3"/>
  <c r="W4" i="3"/>
  <c r="W3" i="3"/>
</calcChain>
</file>

<file path=xl/sharedStrings.xml><?xml version="1.0" encoding="utf-8"?>
<sst xmlns="http://schemas.openxmlformats.org/spreadsheetml/2006/main" count="1917" uniqueCount="194">
  <si>
    <t>PPMH rating</t>
  </si>
  <si>
    <t>CC rating</t>
  </si>
  <si>
    <t>VPQI Rating</t>
  </si>
  <si>
    <t>OTIF Rating</t>
  </si>
  <si>
    <t>Sample service</t>
  </si>
  <si>
    <t>Fabric cost to MRP Ratio</t>
  </si>
  <si>
    <t>Vendor rating performance</t>
  </si>
  <si>
    <t>OTIF %</t>
  </si>
  <si>
    <t>Sample service rating</t>
  </si>
  <si>
    <t>Vendor rating Total Score</t>
  </si>
  <si>
    <t>Performance Score</t>
  </si>
  <si>
    <t>DPMO</t>
  </si>
  <si>
    <t>Total Quality score - 30%</t>
  </si>
  <si>
    <t>OTIF Score - 20%</t>
  </si>
  <si>
    <t>Fabric cost to MRP Score - 25%</t>
  </si>
  <si>
    <t>Service level Rating Score - 10%</t>
  </si>
  <si>
    <t>Sample Score - 15%</t>
  </si>
  <si>
    <t>&gt;95%</t>
  </si>
  <si>
    <t>Green</t>
  </si>
  <si>
    <t>Yellow</t>
  </si>
  <si>
    <t>60% &amp; Above</t>
  </si>
  <si>
    <t>Previous season Rank</t>
  </si>
  <si>
    <t>Bottom</t>
  </si>
  <si>
    <t>Previous Score</t>
  </si>
  <si>
    <t>↓</t>
  </si>
  <si>
    <t>↑</t>
  </si>
  <si>
    <t>≤ 48</t>
  </si>
  <si>
    <t>&gt;=90% &lt;=94%</t>
  </si>
  <si>
    <t>≥85% - &lt;95%</t>
  </si>
  <si>
    <t>Very Good</t>
  </si>
  <si>
    <t>Good</t>
  </si>
  <si>
    <t>Current Over all Rank</t>
  </si>
  <si>
    <t>Shirting</t>
  </si>
  <si>
    <t>≥95%</t>
  </si>
  <si>
    <t>Excellent</t>
  </si>
  <si>
    <t>HOPE Vendor rating score card - Period Oct'25 to Mar'26</t>
  </si>
  <si>
    <t>Fabric Supplier</t>
  </si>
  <si>
    <t>Product Category</t>
  </si>
  <si>
    <t>AURO / VARDHMAN TEXTILES</t>
  </si>
  <si>
    <t>CONTINENTAL TEXTILE CO., LTD</t>
  </si>
  <si>
    <t>LOUVRE TEXTILE CO LTD</t>
  </si>
  <si>
    <t>NSL TEXTILES LIMITED</t>
  </si>
  <si>
    <t>GEERVANI IMPEX</t>
  </si>
  <si>
    <t>WFB BAIRD AND COMPANY INDIA P LTD</t>
  </si>
  <si>
    <t>LU FENG TEXTILE</t>
  </si>
  <si>
    <t>JIANGSU LIANFA TEXTILE CO. LTD.</t>
  </si>
  <si>
    <t>ARVIND LIMITED</t>
  </si>
  <si>
    <t>RAJAPALAYAM</t>
  </si>
  <si>
    <t>VPQI</t>
  </si>
  <si>
    <t xml:space="preserve">VPQI score </t>
  </si>
  <si>
    <t>PPMH</t>
  </si>
  <si>
    <t xml:space="preserve">PPMH Score </t>
  </si>
  <si>
    <t>≥ 50% &lt; 60%</t>
  </si>
  <si>
    <t>≥ 20% &lt; 40%</t>
  </si>
  <si>
    <t>≥ 40% &lt; 50%</t>
  </si>
  <si>
    <t xml:space="preserve">CC Score </t>
  </si>
  <si>
    <t>&gt;=90% &lt;=95%</t>
  </si>
  <si>
    <t>&gt;=85% &lt;=89%</t>
  </si>
  <si>
    <t>-</t>
  </si>
  <si>
    <r>
      <rPr>
        <sz val="10"/>
        <color indexed="8"/>
        <rFont val="72"/>
        <family val="2"/>
      </rPr>
      <t>≤ 48</t>
    </r>
  </si>
  <si>
    <t>Fabric cost to MRP Rating 
Rank</t>
  </si>
  <si>
    <t>Score Imrovement</t>
  </si>
  <si>
    <t>&gt;=95%</t>
  </si>
  <si>
    <t>≥75% - &lt;85%</t>
  </si>
  <si>
    <t xml:space="preserve">NAHAR INDUSTRIAL ENTERPRISES </t>
  </si>
  <si>
    <t>HUAZHI  TEXTILE CO., LTD</t>
  </si>
  <si>
    <t xml:space="preserve">SHAOXING JISI TEXTILE CO. LTD. </t>
  </si>
  <si>
    <t>RAYMOND LIFESTYLE LIMITED</t>
  </si>
  <si>
    <t>BANSWARA SYNTEX LTD</t>
  </si>
  <si>
    <t>RELIANCE</t>
  </si>
  <si>
    <t>NITIN SPINNERS LIMITED</t>
  </si>
  <si>
    <t xml:space="preserve">SUBH LAXMI SYNTEX LTD </t>
  </si>
  <si>
    <t>S NARAINSINGH SATNAMSINGH(SHOMER)</t>
  </si>
  <si>
    <t>Vendor name</t>
  </si>
  <si>
    <t>Vendor Category</t>
  </si>
  <si>
    <t>VPQI score - 10 %</t>
  </si>
  <si>
    <t>Fabric HI (PPMH)</t>
  </si>
  <si>
    <t>PPMH Score - 10%</t>
  </si>
  <si>
    <t>CC Score - 10%</t>
  </si>
  <si>
    <t>Fabric cost to MRP Rating</t>
  </si>
  <si>
    <t>RAJAPALAYAM MILLS LIMITED</t>
  </si>
  <si>
    <t>Shirting &amp; Bottom</t>
  </si>
  <si>
    <t>&gt; 48</t>
  </si>
  <si>
    <t>&gt;80% &lt;=84%</t>
  </si>
  <si>
    <t>Rank 5</t>
  </si>
  <si>
    <t>≥70% - &lt;85%</t>
  </si>
  <si>
    <t>VARDHMAN TEXTILES LIMITED</t>
  </si>
  <si>
    <t>Rank 10</t>
  </si>
  <si>
    <t>Arama Tessile</t>
  </si>
  <si>
    <t>Red</t>
  </si>
  <si>
    <t>DISHA CLOTHINGS PRIVATE LIMITED</t>
  </si>
  <si>
    <t>Rank 1</t>
  </si>
  <si>
    <t>≥ 50 &lt; 60</t>
  </si>
  <si>
    <t>&gt;90% &lt;=94%</t>
  </si>
  <si>
    <t>Rank 3</t>
  </si>
  <si>
    <t>Luthai Textile Co. Ltd.</t>
  </si>
  <si>
    <t>RAYMOND LUXURY COTTONS LTD</t>
  </si>
  <si>
    <t>Rank 8</t>
  </si>
  <si>
    <t>ESQUEL ENTERPRISES LIMITED</t>
  </si>
  <si>
    <t>Rank 6</t>
  </si>
  <si>
    <t>Rank 11</t>
  </si>
  <si>
    <t>RELIANCE INDS.LTD.</t>
  </si>
  <si>
    <t>Bottom weight</t>
  </si>
  <si>
    <t>Rank 17</t>
  </si>
  <si>
    <t>GBTL LIMITED</t>
  </si>
  <si>
    <t>VARDHMAN TEXTILES LTD.</t>
  </si>
  <si>
    <t>Shirt &amp; Bottom weight</t>
  </si>
  <si>
    <t>NA</t>
  </si>
  <si>
    <t>STYLETEX PTE. LTD.</t>
  </si>
  <si>
    <t>Rank 7</t>
  </si>
  <si>
    <t>LOUVRE TEXTILE CO., LTD</t>
  </si>
  <si>
    <t>Rank 18</t>
  </si>
  <si>
    <t>DE LICACY INDUSTRIAL CO</t>
  </si>
  <si>
    <t>Less than 80%</t>
  </si>
  <si>
    <t>Lu Thai Textile Co Ltd</t>
  </si>
  <si>
    <t>&gt;=80% &lt;=84%</t>
  </si>
  <si>
    <t>Rank 14</t>
  </si>
  <si>
    <t>≥60% - &lt;70%</t>
  </si>
  <si>
    <t>Fair</t>
  </si>
  <si>
    <t>ARVIND LTD</t>
  </si>
  <si>
    <t>Rank 9</t>
  </si>
  <si>
    <t>SHAOXING JISI TEXTILE CO. LTD.</t>
  </si>
  <si>
    <t>Rank 13</t>
  </si>
  <si>
    <t>Penfabric Sdn. Berhad</t>
  </si>
  <si>
    <t>Rank 2</t>
  </si>
  <si>
    <t>HANGZHOU XINYUAN PRINTING AND DYEIN</t>
  </si>
  <si>
    <t>Rank 22</t>
  </si>
  <si>
    <t>Rank 15</t>
  </si>
  <si>
    <t>P NIHALCHAND CLOTHING LLP</t>
  </si>
  <si>
    <t>Rank 21</t>
  </si>
  <si>
    <t>Lufeng Company Ltd.</t>
  </si>
  <si>
    <t>≥ 40 &lt; 50</t>
  </si>
  <si>
    <t>BLUE BLEND INC</t>
  </si>
  <si>
    <t>Rank 16</t>
  </si>
  <si>
    <t>KRISHNA ALKALI (BOMBAY) PVT. LTD.</t>
  </si>
  <si>
    <t>Rank 19</t>
  </si>
  <si>
    <t>Less than 60%</t>
  </si>
  <si>
    <t>Poor</t>
  </si>
  <si>
    <t>HANGZHOU ETERNAL RICH I&amp;E CO., LTD</t>
  </si>
  <si>
    <t>Rank 12</t>
  </si>
  <si>
    <t>ARAMA TESSILE</t>
  </si>
  <si>
    <t>Rank 25</t>
  </si>
  <si>
    <t>SHAOXING WENQI TEXTILE CO. LTD</t>
  </si>
  <si>
    <t>Rank 20</t>
  </si>
  <si>
    <t>Rank 23</t>
  </si>
  <si>
    <t>Rank 26</t>
  </si>
  <si>
    <t>LOUVRE TEXTILE CO.,LTD</t>
  </si>
  <si>
    <t>Rank 4</t>
  </si>
  <si>
    <t>CONTINENTAL TEXTILE COMPANY LIMITED</t>
  </si>
  <si>
    <t>Auro textiles</t>
  </si>
  <si>
    <t>Nisshinbo Textile Inc</t>
  </si>
  <si>
    <t>GRASIM INDUSTRIES LTD ( Soktas)</t>
  </si>
  <si>
    <t>SHAOXING JISI TEXTILE CO.LTD</t>
  </si>
  <si>
    <t>Banswara Syntex Ltd</t>
  </si>
  <si>
    <t xml:space="preserve">Arvind Ltd </t>
  </si>
  <si>
    <t>Reliance Industries Ltd.</t>
  </si>
  <si>
    <t>BOttom</t>
  </si>
  <si>
    <t>Raymond Lifestyle Ltd</t>
  </si>
  <si>
    <t>NAHAR TEXTILES PRIVATE LIMITED</t>
  </si>
  <si>
    <t>&gt;85% &lt;=89%</t>
  </si>
  <si>
    <t>JAYDEE FABRICS LTD</t>
  </si>
  <si>
    <t>W.F.B. BAIRD &amp; COMPANY (INDIA) PRIV</t>
  </si>
  <si>
    <t>PC Coloursoft fabric Pvt ltd</t>
  </si>
  <si>
    <t>Associated Brand</t>
  </si>
  <si>
    <t>LP</t>
  </si>
  <si>
    <t>PE</t>
  </si>
  <si>
    <t>AS</t>
  </si>
  <si>
    <t>VH</t>
  </si>
  <si>
    <t xml:space="preserve">VPQI </t>
  </si>
  <si>
    <t>Pankaj</t>
  </si>
  <si>
    <t>≤ 49</t>
  </si>
  <si>
    <t>Vendor Name</t>
  </si>
  <si>
    <t>Evaluation Period</t>
  </si>
  <si>
    <t>VPQI Score</t>
  </si>
  <si>
    <t>PPMH Rating</t>
  </si>
  <si>
    <t>PPMH Score</t>
  </si>
  <si>
    <t>CC Rating</t>
  </si>
  <si>
    <t>CC Score</t>
  </si>
  <si>
    <t>OTIF</t>
  </si>
  <si>
    <t>OTIF Score</t>
  </si>
  <si>
    <t>Sample Service</t>
  </si>
  <si>
    <t>Sample Service Rating</t>
  </si>
  <si>
    <t>Sample Service Score</t>
  </si>
  <si>
    <t>Fabric Cost to MRP</t>
  </si>
  <si>
    <t>Fabric Cost Score</t>
  </si>
  <si>
    <t>Service Level Rating</t>
  </si>
  <si>
    <t>Vendor Rating Total Score</t>
  </si>
  <si>
    <t>Vendor Performance Rating</t>
  </si>
  <si>
    <t>Current Overall Rank</t>
  </si>
  <si>
    <t>Previous Overall Rank</t>
  </si>
  <si>
    <t xml:space="preserve">Vendor name </t>
  </si>
  <si>
    <t xml:space="preserve">          </t>
  </si>
  <si>
    <t>2025-2026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</si>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</sst>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72"/>
      <family val="2"/>
    </font>
    <font>
      <b/>
      <sz val="10"/>
      <color rgb="FF000000"/>
      <name val="72"/>
      <family val="2"/>
    </font>
    <font>
      <sz val="10"/>
      <color theme="1"/>
      <name val="72"/>
      <family val="2"/>
    </font>
    <font>
      <sz val="10"/>
      <color rgb="FF000000"/>
      <name val="72"/>
      <family val="2"/>
    </font>
    <font>
      <sz val="10"/>
      <color indexed="8"/>
      <name val="72"/>
      <family val="2"/>
    </font>
    <font>
      <sz val="10"/>
      <color rgb="FFFF0000"/>
      <name val="72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06">
    <xf numFmtId="0" fontId="0" fillId="0" borderId="0" xfId="0"/>
    <xf numFmtId="0" fontId="4" fillId="0" borderId="0" xfId="0" applyFont="1" applyAlignment="1">
      <alignment horizontal="center"/>
    </xf>
    <xf numFmtId="0" fontId="7" fillId="10" borderId="1" xfId="0" applyFont="1" applyFill="1" applyBorder="1" applyAlignment="1">
      <alignment horizontal="center" vertical="top"/>
    </xf>
    <xf numFmtId="10" fontId="7" fillId="10" borderId="1" xfId="0" applyNumberFormat="1" applyFont="1" applyFill="1" applyBorder="1" applyAlignment="1">
      <alignment horizontal="center" vertical="top"/>
    </xf>
    <xf numFmtId="9" fontId="7" fillId="10" borderId="1" xfId="1" applyFont="1" applyFill="1" applyBorder="1" applyAlignment="1">
      <alignment horizontal="center"/>
    </xf>
    <xf numFmtId="1" fontId="8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/>
    </xf>
    <xf numFmtId="1" fontId="7" fillId="10" borderId="1" xfId="0" applyNumberFormat="1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 vertical="center"/>
    </xf>
    <xf numFmtId="9" fontId="7" fillId="10" borderId="1" xfId="0" applyNumberFormat="1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 vertical="top"/>
    </xf>
    <xf numFmtId="0" fontId="7" fillId="10" borderId="1" xfId="0" quotePrefix="1" applyFont="1" applyFill="1" applyBorder="1" applyAlignment="1">
      <alignment horizontal="center"/>
    </xf>
    <xf numFmtId="10" fontId="7" fillId="10" borderId="1" xfId="1" applyNumberFormat="1" applyFont="1" applyFill="1" applyBorder="1" applyAlignment="1">
      <alignment horizontal="center" vertical="top"/>
    </xf>
    <xf numFmtId="10" fontId="8" fillId="10" borderId="1" xfId="1" applyNumberFormat="1" applyFont="1" applyFill="1" applyBorder="1" applyAlignment="1">
      <alignment horizontal="center" vertical="top"/>
    </xf>
    <xf numFmtId="0" fontId="9" fillId="10" borderId="1" xfId="0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left"/>
    </xf>
    <xf numFmtId="164" fontId="7" fillId="10" borderId="1" xfId="1" applyNumberFormat="1" applyFont="1" applyFill="1" applyBorder="1" applyAlignment="1">
      <alignment horizontal="center"/>
    </xf>
    <xf numFmtId="1" fontId="7" fillId="10" borderId="1" xfId="0" quotePrefix="1" applyNumberFormat="1" applyFont="1" applyFill="1" applyBorder="1" applyAlignment="1">
      <alignment horizontal="center"/>
    </xf>
    <xf numFmtId="0" fontId="7" fillId="10" borderId="3" xfId="0" applyFont="1" applyFill="1" applyBorder="1" applyAlignment="1">
      <alignment horizontal="left"/>
    </xf>
    <xf numFmtId="0" fontId="7" fillId="10" borderId="4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 vertical="top"/>
    </xf>
    <xf numFmtId="10" fontId="7" fillId="10" borderId="1" xfId="1" applyNumberFormat="1" applyFont="1" applyFill="1" applyBorder="1" applyAlignment="1">
      <alignment horizontal="center"/>
    </xf>
    <xf numFmtId="165" fontId="7" fillId="10" borderId="1" xfId="0" applyNumberFormat="1" applyFont="1" applyFill="1" applyBorder="1" applyAlignment="1">
      <alignment horizontal="center"/>
    </xf>
    <xf numFmtId="1" fontId="7" fillId="10" borderId="4" xfId="0" applyNumberFormat="1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 vertical="center"/>
    </xf>
    <xf numFmtId="9" fontId="7" fillId="10" borderId="4" xfId="0" applyNumberFormat="1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left"/>
    </xf>
    <xf numFmtId="164" fontId="7" fillId="10" borderId="1" xfId="1" applyNumberFormat="1" applyFont="1" applyFill="1" applyBorder="1" applyAlignment="1">
      <alignment horizontal="center" vertical="top"/>
    </xf>
    <xf numFmtId="9" fontId="7" fillId="10" borderId="1" xfId="1" applyFont="1" applyFill="1" applyBorder="1" applyAlignment="1">
      <alignment horizontal="center" vertical="top"/>
    </xf>
    <xf numFmtId="164" fontId="7" fillId="10" borderId="1" xfId="0" applyNumberFormat="1" applyFont="1" applyFill="1" applyBorder="1" applyAlignment="1">
      <alignment horizontal="center" vertical="top"/>
    </xf>
    <xf numFmtId="0" fontId="7" fillId="10" borderId="6" xfId="0" applyFont="1" applyFill="1" applyBorder="1" applyAlignment="1">
      <alignment horizontal="left"/>
    </xf>
    <xf numFmtId="0" fontId="7" fillId="10" borderId="7" xfId="0" applyFont="1" applyFill="1" applyBorder="1" applyAlignment="1">
      <alignment horizontal="center"/>
    </xf>
    <xf numFmtId="9" fontId="7" fillId="10" borderId="7" xfId="1" applyFont="1" applyFill="1" applyBorder="1" applyAlignment="1">
      <alignment horizontal="center" vertical="top"/>
    </xf>
    <xf numFmtId="0" fontId="7" fillId="10" borderId="7" xfId="0" applyFont="1" applyFill="1" applyBorder="1" applyAlignment="1">
      <alignment horizontal="center" vertical="top"/>
    </xf>
    <xf numFmtId="10" fontId="7" fillId="10" borderId="7" xfId="1" applyNumberFormat="1" applyFont="1" applyFill="1" applyBorder="1" applyAlignment="1">
      <alignment horizontal="center"/>
    </xf>
    <xf numFmtId="0" fontId="8" fillId="10" borderId="7" xfId="0" applyFont="1" applyFill="1" applyBorder="1" applyAlignment="1">
      <alignment horizontal="center" vertical="center"/>
    </xf>
    <xf numFmtId="165" fontId="7" fillId="10" borderId="7" xfId="0" applyNumberFormat="1" applyFont="1" applyFill="1" applyBorder="1" applyAlignment="1">
      <alignment horizontal="center"/>
    </xf>
    <xf numFmtId="1" fontId="7" fillId="10" borderId="7" xfId="0" applyNumberFormat="1" applyFont="1" applyFill="1" applyBorder="1" applyAlignment="1">
      <alignment horizontal="center"/>
    </xf>
    <xf numFmtId="9" fontId="7" fillId="10" borderId="7" xfId="1" applyFont="1" applyFill="1" applyBorder="1" applyAlignment="1">
      <alignment horizontal="center"/>
    </xf>
    <xf numFmtId="0" fontId="7" fillId="10" borderId="7" xfId="0" applyFont="1" applyFill="1" applyBorder="1" applyAlignment="1">
      <alignment horizontal="center" vertical="center"/>
    </xf>
    <xf numFmtId="9" fontId="7" fillId="10" borderId="7" xfId="0" applyNumberFormat="1" applyFont="1" applyFill="1" applyBorder="1" applyAlignment="1">
      <alignment horizontal="center"/>
    </xf>
    <xf numFmtId="0" fontId="7" fillId="10" borderId="8" xfId="0" applyFont="1" applyFill="1" applyBorder="1" applyAlignment="1">
      <alignment horizontal="center"/>
    </xf>
    <xf numFmtId="0" fontId="7" fillId="10" borderId="9" xfId="0" applyFont="1" applyFill="1" applyBorder="1" applyAlignment="1">
      <alignment horizontal="center"/>
    </xf>
    <xf numFmtId="0" fontId="10" fillId="10" borderId="9" xfId="0" applyFont="1" applyFill="1" applyBorder="1" applyAlignment="1">
      <alignment horizontal="center"/>
    </xf>
    <xf numFmtId="0" fontId="7" fillId="10" borderId="10" xfId="0" applyFont="1" applyFill="1" applyBorder="1" applyAlignment="1">
      <alignment horizontal="left"/>
    </xf>
    <xf numFmtId="0" fontId="7" fillId="10" borderId="11" xfId="0" applyFont="1" applyFill="1" applyBorder="1" applyAlignment="1">
      <alignment horizontal="center"/>
    </xf>
    <xf numFmtId="164" fontId="7" fillId="10" borderId="12" xfId="1" applyNumberFormat="1" applyFont="1" applyFill="1" applyBorder="1" applyAlignment="1">
      <alignment horizontal="center" vertical="top"/>
    </xf>
    <xf numFmtId="0" fontId="7" fillId="10" borderId="12" xfId="0" applyFont="1" applyFill="1" applyBorder="1" applyAlignment="1">
      <alignment horizontal="center" vertical="top"/>
    </xf>
    <xf numFmtId="1" fontId="8" fillId="10" borderId="12" xfId="0" applyNumberFormat="1" applyFont="1" applyFill="1" applyBorder="1" applyAlignment="1">
      <alignment horizontal="center" vertical="top"/>
    </xf>
    <xf numFmtId="10" fontId="7" fillId="10" borderId="12" xfId="1" applyNumberFormat="1" applyFont="1" applyFill="1" applyBorder="1" applyAlignment="1">
      <alignment horizontal="center"/>
    </xf>
    <xf numFmtId="0" fontId="8" fillId="10" borderId="12" xfId="0" applyFont="1" applyFill="1" applyBorder="1" applyAlignment="1">
      <alignment horizontal="center" vertical="center"/>
    </xf>
    <xf numFmtId="165" fontId="7" fillId="10" borderId="12" xfId="0" applyNumberFormat="1" applyFont="1" applyFill="1" applyBorder="1" applyAlignment="1">
      <alignment horizontal="center"/>
    </xf>
    <xf numFmtId="1" fontId="7" fillId="10" borderId="12" xfId="0" applyNumberFormat="1" applyFont="1" applyFill="1" applyBorder="1" applyAlignment="1">
      <alignment horizontal="center"/>
    </xf>
    <xf numFmtId="9" fontId="7" fillId="10" borderId="12" xfId="1" applyFont="1" applyFill="1" applyBorder="1" applyAlignment="1">
      <alignment horizontal="center"/>
    </xf>
    <xf numFmtId="0" fontId="7" fillId="10" borderId="12" xfId="0" applyFont="1" applyFill="1" applyBorder="1" applyAlignment="1">
      <alignment horizontal="center" vertical="center"/>
    </xf>
    <xf numFmtId="9" fontId="7" fillId="10" borderId="12" xfId="0" applyNumberFormat="1" applyFont="1" applyFill="1" applyBorder="1" applyAlignment="1">
      <alignment horizontal="center"/>
    </xf>
    <xf numFmtId="0" fontId="7" fillId="10" borderId="12" xfId="0" applyFont="1" applyFill="1" applyBorder="1" applyAlignment="1">
      <alignment horizontal="center"/>
    </xf>
    <xf numFmtId="0" fontId="10" fillId="10" borderId="13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10" borderId="5" xfId="0" applyFont="1" applyFill="1" applyBorder="1" applyAlignment="1">
      <alignment horizontal="left" vertical="top"/>
    </xf>
    <xf numFmtId="0" fontId="10" fillId="0" borderId="9" xfId="0" applyFont="1" applyBorder="1" applyAlignment="1">
      <alignment horizontal="center"/>
    </xf>
    <xf numFmtId="0" fontId="7" fillId="0" borderId="9" xfId="0" quotePrefix="1" applyFont="1" applyBorder="1" applyAlignment="1">
      <alignment horizontal="center"/>
    </xf>
    <xf numFmtId="0" fontId="7" fillId="10" borderId="10" xfId="0" applyFont="1" applyFill="1" applyBorder="1" applyAlignment="1">
      <alignment horizontal="left" vertical="top"/>
    </xf>
    <xf numFmtId="10" fontId="8" fillId="10" borderId="12" xfId="1" applyNumberFormat="1" applyFont="1" applyFill="1" applyBorder="1" applyAlignment="1">
      <alignment horizontal="center" vertical="top"/>
    </xf>
    <xf numFmtId="1" fontId="8" fillId="10" borderId="12" xfId="0" applyNumberFormat="1" applyFont="1" applyFill="1" applyBorder="1" applyAlignment="1">
      <alignment horizontal="center" vertical="center"/>
    </xf>
    <xf numFmtId="164" fontId="7" fillId="10" borderId="12" xfId="1" applyNumberFormat="1" applyFont="1" applyFill="1" applyBorder="1" applyAlignment="1">
      <alignment horizontal="center"/>
    </xf>
    <xf numFmtId="10" fontId="7" fillId="10" borderId="12" xfId="1" applyNumberFormat="1" applyFont="1" applyFill="1" applyBorder="1" applyAlignment="1">
      <alignment horizontal="center" vertical="top"/>
    </xf>
    <xf numFmtId="0" fontId="7" fillId="0" borderId="13" xfId="0" applyFont="1" applyBorder="1" applyAlignment="1">
      <alignment horizontal="center"/>
    </xf>
    <xf numFmtId="10" fontId="7" fillId="10" borderId="4" xfId="0" applyNumberFormat="1" applyFont="1" applyFill="1" applyBorder="1" applyAlignment="1">
      <alignment horizontal="center" vertical="top"/>
    </xf>
    <xf numFmtId="9" fontId="7" fillId="10" borderId="4" xfId="1" applyFont="1" applyFill="1" applyBorder="1" applyAlignment="1">
      <alignment horizontal="center"/>
    </xf>
    <xf numFmtId="1" fontId="8" fillId="10" borderId="4" xfId="0" applyNumberFormat="1" applyFont="1" applyFill="1" applyBorder="1" applyAlignment="1">
      <alignment horizontal="center" vertical="center"/>
    </xf>
    <xf numFmtId="164" fontId="7" fillId="10" borderId="4" xfId="1" applyNumberFormat="1" applyFont="1" applyFill="1" applyBorder="1" applyAlignment="1">
      <alignment horizontal="center"/>
    </xf>
    <xf numFmtId="10" fontId="7" fillId="10" borderId="4" xfId="1" applyNumberFormat="1" applyFont="1" applyFill="1" applyBorder="1" applyAlignment="1">
      <alignment horizontal="center" vertical="top"/>
    </xf>
    <xf numFmtId="0" fontId="7" fillId="0" borderId="14" xfId="0" applyFont="1" applyBorder="1" applyAlignment="1">
      <alignment horizontal="center"/>
    </xf>
    <xf numFmtId="0" fontId="5" fillId="12" borderId="15" xfId="0" applyFont="1" applyFill="1" applyBorder="1" applyAlignment="1">
      <alignment horizontal="left" vertical="top"/>
    </xf>
    <xf numFmtId="0" fontId="5" fillId="1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center" vertical="top"/>
    </xf>
    <xf numFmtId="0" fontId="5" fillId="6" borderId="2" xfId="0" applyFont="1" applyFill="1" applyBorder="1" applyAlignment="1">
      <alignment horizontal="center" vertical="top" wrapText="1"/>
    </xf>
    <xf numFmtId="0" fontId="5" fillId="8" borderId="2" xfId="0" applyFont="1" applyFill="1" applyBorder="1" applyAlignment="1">
      <alignment horizontal="center" vertical="top" wrapText="1"/>
    </xf>
    <xf numFmtId="0" fontId="5" fillId="13" borderId="2" xfId="0" applyFont="1" applyFill="1" applyBorder="1" applyAlignment="1">
      <alignment horizontal="center" vertical="top" wrapText="1"/>
    </xf>
    <xf numFmtId="0" fontId="5" fillId="7" borderId="2" xfId="0" applyFont="1" applyFill="1" applyBorder="1" applyAlignment="1">
      <alignment horizontal="center" vertical="top" wrapText="1"/>
    </xf>
    <xf numFmtId="0" fontId="5" fillId="9" borderId="2" xfId="0" applyFont="1" applyFill="1" applyBorder="1" applyAlignment="1">
      <alignment horizontal="center" vertical="top" wrapText="1"/>
    </xf>
    <xf numFmtId="0" fontId="6" fillId="11" borderId="2" xfId="0" applyFont="1" applyFill="1" applyBorder="1" applyAlignment="1">
      <alignment horizontal="center" vertical="top" wrapText="1"/>
    </xf>
    <xf numFmtId="164" fontId="5" fillId="11" borderId="2" xfId="0" applyNumberFormat="1" applyFont="1" applyFill="1" applyBorder="1" applyAlignment="1">
      <alignment horizontal="center" vertical="top" wrapText="1"/>
    </xf>
    <xf numFmtId="0" fontId="5" fillId="11" borderId="2" xfId="0" applyFont="1" applyFill="1" applyBorder="1" applyAlignment="1">
      <alignment horizontal="center" vertical="top" wrapText="1"/>
    </xf>
    <xf numFmtId="0" fontId="5" fillId="11" borderId="16" xfId="0" applyFont="1" applyFill="1" applyBorder="1" applyAlignment="1">
      <alignment horizontal="center" vertical="top" wrapText="1"/>
    </xf>
    <xf numFmtId="0" fontId="14" fillId="14" borderId="17" xfId="0" applyFont="1" applyFill="1" applyBorder="1" applyAlignment="1">
      <alignment horizontal="center" vertical="center"/>
    </xf>
    <xf numFmtId="0" fontId="14" fillId="14" borderId="18" xfId="0" applyFont="1" applyFill="1" applyBorder="1" applyAlignment="1">
      <alignment horizontal="center" vertical="center"/>
    </xf>
    <xf numFmtId="0" fontId="14" fillId="16" borderId="18" xfId="0" applyFont="1" applyFill="1" applyBorder="1" applyAlignment="1">
      <alignment horizontal="center" vertical="center"/>
    </xf>
    <xf numFmtId="9" fontId="14" fillId="17" borderId="18" xfId="0" applyNumberFormat="1" applyFont="1" applyFill="1" applyBorder="1" applyAlignment="1">
      <alignment horizontal="center" vertical="center"/>
    </xf>
    <xf numFmtId="0" fontId="15" fillId="14" borderId="18" xfId="0" applyFont="1" applyFill="1" applyBorder="1" applyAlignment="1">
      <alignment horizontal="center" vertical="center"/>
    </xf>
    <xf numFmtId="0" fontId="16" fillId="14" borderId="18" xfId="0" applyFont="1" applyFill="1" applyBorder="1" applyAlignment="1">
      <alignment horizontal="center" vertical="center"/>
    </xf>
    <xf numFmtId="0" fontId="14" fillId="15" borderId="18" xfId="0" applyFont="1" applyFill="1" applyBorder="1" applyAlignment="1">
      <alignment horizontal="center" vertical="center"/>
    </xf>
    <xf numFmtId="9" fontId="14" fillId="14" borderId="18" xfId="0" applyNumberFormat="1" applyFont="1" applyFill="1" applyBorder="1" applyAlignment="1">
      <alignment horizontal="center" vertical="center"/>
    </xf>
    <xf numFmtId="0" fontId="17" fillId="14" borderId="18" xfId="0" applyFont="1" applyFill="1" applyBorder="1" applyAlignment="1">
      <alignment horizontal="center" vertical="center"/>
    </xf>
    <xf numFmtId="0" fontId="14" fillId="9" borderId="18" xfId="0" applyFont="1" applyFill="1" applyBorder="1" applyAlignment="1">
      <alignment horizontal="center" vertical="center"/>
    </xf>
    <xf numFmtId="0" fontId="15" fillId="9" borderId="18" xfId="0" applyFont="1" applyFill="1" applyBorder="1" applyAlignment="1">
      <alignment horizontal="center" vertical="center"/>
    </xf>
    <xf numFmtId="0" fontId="14" fillId="18" borderId="18" xfId="0" applyFont="1" applyFill="1" applyBorder="1" applyAlignment="1">
      <alignment horizontal="center" vertical="center"/>
    </xf>
    <xf numFmtId="0" fontId="15" fillId="16" borderId="18" xfId="0" applyFont="1" applyFill="1" applyBorder="1" applyAlignment="1">
      <alignment horizontal="center" vertical="center"/>
    </xf>
    <xf numFmtId="0" fontId="12" fillId="16" borderId="18" xfId="0" applyFont="1" applyFill="1" applyBorder="1" applyAlignment="1">
      <alignment horizontal="center" vertical="center"/>
    </xf>
    <xf numFmtId="9" fontId="14" fillId="19" borderId="18" xfId="0" applyNumberFormat="1" applyFont="1" applyFill="1" applyBorder="1" applyAlignment="1">
      <alignment horizontal="center" vertical="center"/>
    </xf>
    <xf numFmtId="0" fontId="15" fillId="17" borderId="18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1" fontId="0" fillId="16" borderId="1" xfId="0" applyNumberForma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9" fontId="1" fillId="0" borderId="1" xfId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9" fontId="1" fillId="10" borderId="1" xfId="1" applyFont="1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13" fillId="11" borderId="1" xfId="0" applyFont="1" applyFill="1" applyBorder="1" applyAlignment="1">
      <alignment horizontal="center" vertical="center" wrapText="1"/>
    </xf>
    <xf numFmtId="164" fontId="20" fillId="11" borderId="1" xfId="0" applyNumberFormat="1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4" fillId="14" borderId="19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left" vertical="top"/>
    </xf>
    <xf numFmtId="1" fontId="8" fillId="10" borderId="1" xfId="0" applyNumberFormat="1" applyFont="1" applyFill="1" applyBorder="1" applyAlignment="1">
      <alignment horizontal="center" vertical="top"/>
    </xf>
    <xf numFmtId="0" fontId="14" fillId="14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0" fontId="14" fillId="16" borderId="1" xfId="0" applyFont="1" applyFill="1" applyBorder="1" applyAlignment="1">
      <alignment horizontal="center" vertical="center"/>
    </xf>
    <xf numFmtId="9" fontId="14" fillId="17" borderId="1" xfId="0" applyNumberFormat="1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9" fontId="14" fillId="14" borderId="1" xfId="0" applyNumberFormat="1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7" fillId="10" borderId="20" xfId="0" applyFont="1" applyFill="1" applyBorder="1" applyAlignment="1">
      <alignment horizontal="left"/>
    </xf>
    <xf numFmtId="0" fontId="7" fillId="10" borderId="20" xfId="0" applyFont="1" applyFill="1" applyBorder="1" applyAlignment="1">
      <alignment horizontal="left" vertical="top"/>
    </xf>
    <xf numFmtId="0" fontId="14" fillId="14" borderId="20" xfId="0" applyFont="1" applyFill="1" applyBorder="1" applyAlignment="1">
      <alignment horizontal="center" vertical="center"/>
    </xf>
    <xf numFmtId="0" fontId="0" fillId="9" borderId="20" xfId="0" applyFill="1" applyBorder="1" applyAlignment="1">
      <alignment horizontal="center"/>
    </xf>
    <xf numFmtId="0" fontId="0" fillId="0" borderId="20" xfId="0" applyBorder="1" applyAlignment="1">
      <alignment horizontal="center"/>
    </xf>
    <xf numFmtId="1" fontId="7" fillId="10" borderId="21" xfId="0" applyNumberFormat="1" applyFont="1" applyFill="1" applyBorder="1" applyAlignment="1">
      <alignment horizontal="center"/>
    </xf>
    <xf numFmtId="1" fontId="7" fillId="10" borderId="21" xfId="0" quotePrefix="1" applyNumberFormat="1" applyFont="1" applyFill="1" applyBorder="1" applyAlignment="1">
      <alignment horizontal="center"/>
    </xf>
    <xf numFmtId="0" fontId="7" fillId="10" borderId="21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 vertical="center"/>
    </xf>
    <xf numFmtId="1" fontId="0" fillId="9" borderId="21" xfId="0" applyNumberFormat="1" applyFill="1" applyBorder="1" applyAlignment="1">
      <alignment horizontal="center"/>
    </xf>
    <xf numFmtId="0" fontId="0" fillId="10" borderId="21" xfId="0" applyFill="1" applyBorder="1" applyAlignment="1">
      <alignment horizontal="center"/>
    </xf>
    <xf numFmtId="0" fontId="0" fillId="0" borderId="21" xfId="0" applyBorder="1" applyAlignment="1">
      <alignment horizontal="center"/>
    </xf>
    <xf numFmtId="1" fontId="0" fillId="0" borderId="21" xfId="0" applyNumberFormat="1" applyBorder="1" applyAlignment="1">
      <alignment horizontal="center"/>
    </xf>
    <xf numFmtId="0" fontId="22" fillId="0" borderId="22" xfId="0" applyFont="1" applyBorder="1"/>
    <xf numFmtId="0" fontId="22" fillId="0" borderId="4" xfId="0" applyFont="1" applyBorder="1"/>
    <xf numFmtId="0" fontId="22" fillId="0" borderId="23" xfId="0" applyFont="1" applyBorder="1"/>
    <xf numFmtId="0" fontId="14" fillId="14" borderId="26" xfId="0" applyFont="1" applyFill="1" applyBorder="1" applyAlignment="1">
      <alignment horizontal="center" vertical="center"/>
    </xf>
    <xf numFmtId="0" fontId="14" fillId="14" borderId="24" xfId="0" applyFont="1" applyFill="1" applyBorder="1" applyAlignment="1">
      <alignment horizontal="center" vertical="center"/>
    </xf>
    <xf numFmtId="0" fontId="14" fillId="14" borderId="25" xfId="0" applyFont="1" applyFill="1" applyBorder="1" applyAlignment="1">
      <alignment horizontal="center" vertical="center"/>
    </xf>
    <xf numFmtId="0" fontId="11" fillId="6" borderId="25" xfId="0" applyFont="1" applyFill="1" applyBorder="1" applyAlignment="1">
      <alignment horizontal="center"/>
    </xf>
    <xf numFmtId="0" fontId="12" fillId="16" borderId="25" xfId="0" applyFont="1" applyFill="1" applyBorder="1" applyAlignment="1">
      <alignment horizontal="center" vertical="center"/>
    </xf>
    <xf numFmtId="9" fontId="14" fillId="19" borderId="25" xfId="0" applyNumberFormat="1" applyFont="1" applyFill="1" applyBorder="1" applyAlignment="1">
      <alignment horizontal="center" vertical="center"/>
    </xf>
    <xf numFmtId="0" fontId="15" fillId="14" borderId="25" xfId="0" applyFont="1" applyFill="1" applyBorder="1" applyAlignment="1">
      <alignment horizontal="center" vertical="center"/>
    </xf>
    <xf numFmtId="0" fontId="16" fillId="14" borderId="25" xfId="0" applyFont="1" applyFill="1" applyBorder="1" applyAlignment="1">
      <alignment horizontal="center" vertical="center"/>
    </xf>
    <xf numFmtId="9" fontId="14" fillId="14" borderId="25" xfId="0" applyNumberFormat="1" applyFont="1" applyFill="1" applyBorder="1" applyAlignment="1">
      <alignment horizontal="center" vertical="center"/>
    </xf>
    <xf numFmtId="0" fontId="17" fillId="14" borderId="25" xfId="0" applyFont="1" applyFill="1" applyBorder="1" applyAlignment="1">
      <alignment horizontal="center" vertical="center"/>
    </xf>
    <xf numFmtId="0" fontId="14" fillId="9" borderId="25" xfId="0" applyFont="1" applyFill="1" applyBorder="1" applyAlignment="1">
      <alignment horizontal="center" vertical="center"/>
    </xf>
    <xf numFmtId="0" fontId="15" fillId="9" borderId="25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/>
  </cellXfs>
  <cellStyles count="3">
    <cellStyle name="Normal" xfId="0" builtinId="0"/>
    <cellStyle name="Percent" xfId="1" builtinId="5"/>
    <cellStyle name="Percent 2" xfId="2" xr:uid="{3F1493AD-D3B8-4019-8611-0B137AE124CA}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DE388C-B608-4FF1-A2FD-110AD5B1C8B8}" name="Table1" displayName="Table1" ref="A1:AB74" totalsRowShown="0" headerRowDxfId="31" headerRowBorderDxfId="30" tableBorderDxfId="29" totalsRowBorderDxfId="28">
  <autoFilter ref="A1:AB74" xr:uid="{F7DE388C-B608-4FF1-A2FD-110AD5B1C8B8}"/>
  <sortState xmlns:xlrd2="http://schemas.microsoft.com/office/spreadsheetml/2017/richdata2" ref="A2:AB74">
    <sortCondition ref="A1:A74"/>
  </sortState>
  <tableColumns count="28">
    <tableColumn id="1" xr3:uid="{D34A94BB-DCA8-40BB-A101-D70784F203F3}" name="Vendor Name" dataDxfId="27"/>
    <tableColumn id="2" xr3:uid="{F64DFA9E-5082-4307-A087-EB9EE431EC1B}" name="Vendor Category" dataDxfId="26"/>
    <tableColumn id="3" xr3:uid="{BD990A03-5F56-4F84-AE8C-734053600DFC}" name="Associated Brand" dataDxfId="25"/>
    <tableColumn id="4" xr3:uid="{81C213C1-4D97-4968-9AF8-8041A96A3706}" name="Evaluation Period" dataDxfId="24"/>
    <tableColumn id="5" xr3:uid="{E60DEA9C-AEFC-44AB-930A-31F621CB750A}" name="VPQI" dataDxfId="23"/>
    <tableColumn id="6" xr3:uid="{EDDADA9E-5431-4CCF-8AF5-4A06DF4B03D9}" name="VPQI Rating" dataDxfId="22"/>
    <tableColumn id="7" xr3:uid="{9CD58DF8-49D0-46E4-9A29-31DD7D6A52BD}" name="VPQI Score" dataDxfId="21"/>
    <tableColumn id="8" xr3:uid="{67A0D649-0DCE-4083-9998-7FBDDD4C64ED}" name="PPMH" dataDxfId="20" dataCellStyle="Percent"/>
    <tableColumn id="9" xr3:uid="{F92D1159-9AAF-488A-BC2F-5244F8DED804}" name="PPMH Rating" dataDxfId="19"/>
    <tableColumn id="10" xr3:uid="{4F9F5A3E-0528-4568-A785-EA7653BD9A1B}" name="PPMH Score" dataDxfId="18"/>
    <tableColumn id="11" xr3:uid="{C6C6B8A1-4A2B-4615-97F9-717158F809B2}" name="DPMO" dataDxfId="17"/>
    <tableColumn id="12" xr3:uid="{DE268422-2C89-4A00-A08C-DA6528F3414E}" name="CC Rating" dataDxfId="16"/>
    <tableColumn id="13" xr3:uid="{75744571-0F68-4C91-BBE7-AB8EEF63696D}" name="CC Score" dataDxfId="15"/>
    <tableColumn id="14" xr3:uid="{B4FA5B93-3D65-48E1-B1D8-BC12DB5415C1}" name="OTIF" dataDxfId="14" dataCellStyle="Percent"/>
    <tableColumn id="15" xr3:uid="{F0E84856-8078-4DEB-8085-8ADD9582B5FB}" name="OTIF Rating" dataDxfId="13"/>
    <tableColumn id="16" xr3:uid="{87CB70EA-0D7E-4D33-9CCD-25E0CC64131C}" name="OTIF Score" dataDxfId="12"/>
    <tableColumn id="17" xr3:uid="{9DC22D4F-DA0E-4935-B177-CD97856C79EF}" name="Sample Service" dataDxfId="11" dataCellStyle="Percent"/>
    <tableColumn id="18" xr3:uid="{F155E20C-BE41-453C-9BE7-86044EA127A5}" name="Sample Service Rating" dataDxfId="10" dataCellStyle="Percent"/>
    <tableColumn id="19" xr3:uid="{D1B164CA-BF4E-4E0C-9539-A9C22464FF52}" name="Sample Service Score" dataDxfId="9" dataCellStyle="Percent"/>
    <tableColumn id="20" xr3:uid="{F9BD37D7-7927-4EBD-A415-E45EFFE4AE23}" name="Fabric Cost to MRP" dataDxfId="8" dataCellStyle="Percent"/>
    <tableColumn id="21" xr3:uid="{BEC488BD-EAC3-4492-8382-12D87344ECA0}" name="Fabric Cost Score" dataDxfId="7" dataCellStyle="Percent"/>
    <tableColumn id="22" xr3:uid="{BD9D2DE4-C4D4-446E-A096-D737EB3637BA}" name="Service Level Rating" dataDxfId="6"/>
    <tableColumn id="23" xr3:uid="{0E537927-8BCC-437B-95AA-F8207F98872A}" name="Vendor Rating Total Score" dataDxfId="5"/>
    <tableColumn id="24" xr3:uid="{EC736EE4-B9E1-42CE-9303-81012DFA5CFF}" name="Performance Score" dataDxfId="4"/>
    <tableColumn id="25" xr3:uid="{8BB9BC0A-39BD-44FA-B9C9-43327CAB40F3}" name="Vendor Performance Rating" dataDxfId="3"/>
    <tableColumn id="26" xr3:uid="{2EFE849C-1CC7-48F5-A459-FFAAB8C0D76E}" name="Current Overall Rank" dataDxfId="2"/>
    <tableColumn id="27" xr3:uid="{420CB788-209C-4B3F-84F4-24D529159522}" name="Previous Overall Rank" dataDxfId="1"/>
    <tableColumn id="28" xr3:uid="{B7C4F540-81D8-4873-B01A-1196D6DC7A06}" name="Previous 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1002A-8202-48F2-91A6-AAA5F9CB7202}">
  <dimension ref="A1:AB74"/>
  <sheetViews>
    <sheetView tabSelected="1" zoomScale="66" zoomScaleNormal="66" workbookViewId="0">
      <pane ySplit="1" topLeftCell="A2" activePane="bottomLeft" state="frozen"/>
      <selection activeCell="C1" sqref="C1"/>
      <selection pane="bottomLeft" activeCell="A13" sqref="A13"/>
    </sheetView>
  </sheetViews>
  <sheetFormatPr defaultRowHeight="14.4"/>
  <cols>
    <col min="1" max="1" width="39.33203125" bestFit="1" customWidth="1"/>
    <col min="2" max="2" width="21.88671875" customWidth="1"/>
    <col min="3" max="3" width="22.44140625" customWidth="1"/>
    <col min="4" max="4" width="22.5546875" customWidth="1"/>
    <col min="5" max="5" width="8.77734375" bestFit="1" customWidth="1"/>
    <col min="6" max="6" width="16.21875" customWidth="1"/>
    <col min="7" max="7" width="15.21875" customWidth="1"/>
    <col min="8" max="8" width="9.5546875" customWidth="1"/>
    <col min="9" max="9" width="17.33203125" customWidth="1"/>
    <col min="10" max="10" width="16.33203125" customWidth="1"/>
    <col min="11" max="11" width="10" customWidth="1"/>
    <col min="12" max="12" width="13.33203125" customWidth="1"/>
    <col min="13" max="13" width="12.44140625" customWidth="1"/>
    <col min="14" max="14" width="7.88671875" customWidth="1"/>
    <col min="15" max="15" width="15.6640625" customWidth="1"/>
    <col min="16" max="16" width="14.6640625" customWidth="1"/>
    <col min="17" max="17" width="19.5546875" customWidth="1"/>
    <col min="18" max="18" width="27.33203125" customWidth="1"/>
    <col min="19" max="19" width="26.33203125" customWidth="1"/>
    <col min="20" max="20" width="23.77734375" customWidth="1"/>
    <col min="21" max="21" width="21.88671875" customWidth="1"/>
    <col min="22" max="22" width="24.88671875" customWidth="1"/>
    <col min="23" max="23" width="32" customWidth="1"/>
    <col min="24" max="24" width="23.88671875" customWidth="1"/>
    <col min="25" max="25" width="33.6640625" customWidth="1"/>
    <col min="26" max="26" width="26" customWidth="1"/>
    <col min="27" max="27" width="27.109375" customWidth="1"/>
    <col min="28" max="28" width="19.44140625" customWidth="1"/>
  </cols>
  <sheetData>
    <row r="1" spans="1:28" ht="18">
      <c r="A1" s="187" t="s">
        <v>171</v>
      </c>
      <c r="B1" s="188" t="s">
        <v>74</v>
      </c>
      <c r="C1" s="188" t="s">
        <v>163</v>
      </c>
      <c r="D1" s="188" t="s">
        <v>172</v>
      </c>
      <c r="E1" s="188" t="s">
        <v>48</v>
      </c>
      <c r="F1" s="188" t="s">
        <v>2</v>
      </c>
      <c r="G1" s="188" t="s">
        <v>173</v>
      </c>
      <c r="H1" s="188" t="s">
        <v>50</v>
      </c>
      <c r="I1" s="188" t="s">
        <v>174</v>
      </c>
      <c r="J1" s="188" t="s">
        <v>175</v>
      </c>
      <c r="K1" s="188" t="s">
        <v>11</v>
      </c>
      <c r="L1" s="188" t="s">
        <v>176</v>
      </c>
      <c r="M1" s="188" t="s">
        <v>177</v>
      </c>
      <c r="N1" s="188" t="s">
        <v>178</v>
      </c>
      <c r="O1" s="188" t="s">
        <v>3</v>
      </c>
      <c r="P1" s="188" t="s">
        <v>179</v>
      </c>
      <c r="Q1" s="188" t="s">
        <v>180</v>
      </c>
      <c r="R1" s="188" t="s">
        <v>181</v>
      </c>
      <c r="S1" s="188" t="s">
        <v>182</v>
      </c>
      <c r="T1" s="188" t="s">
        <v>183</v>
      </c>
      <c r="U1" s="188" t="s">
        <v>184</v>
      </c>
      <c r="V1" s="188" t="s">
        <v>185</v>
      </c>
      <c r="W1" s="188" t="s">
        <v>186</v>
      </c>
      <c r="X1" s="188" t="s">
        <v>10</v>
      </c>
      <c r="Y1" s="188" t="s">
        <v>187</v>
      </c>
      <c r="Z1" s="188" t="s">
        <v>188</v>
      </c>
      <c r="AA1" s="188" t="s">
        <v>189</v>
      </c>
      <c r="AB1" s="189" t="s">
        <v>23</v>
      </c>
    </row>
    <row r="2" spans="1:28">
      <c r="A2" s="176" t="s">
        <v>88</v>
      </c>
      <c r="B2" s="159" t="s">
        <v>32</v>
      </c>
      <c r="C2" s="160" t="s">
        <v>166</v>
      </c>
      <c r="D2" s="204" t="s">
        <v>192</v>
      </c>
      <c r="E2" s="169">
        <v>79</v>
      </c>
      <c r="F2" s="159" t="s">
        <v>89</v>
      </c>
      <c r="G2" s="159">
        <v>0</v>
      </c>
      <c r="H2" s="162">
        <v>0.93</v>
      </c>
      <c r="I2" s="163" t="s">
        <v>20</v>
      </c>
      <c r="J2" s="159">
        <v>10</v>
      </c>
      <c r="K2" s="159">
        <v>0</v>
      </c>
      <c r="L2" s="164" t="s">
        <v>26</v>
      </c>
      <c r="M2" s="159">
        <v>10</v>
      </c>
      <c r="N2" s="165">
        <v>1</v>
      </c>
      <c r="O2" s="163" t="s">
        <v>17</v>
      </c>
      <c r="P2" s="159">
        <v>20</v>
      </c>
      <c r="Q2" s="165">
        <v>1</v>
      </c>
      <c r="R2" s="159" t="s">
        <v>17</v>
      </c>
      <c r="S2" s="166">
        <v>15</v>
      </c>
      <c r="T2" s="165">
        <v>0.21</v>
      </c>
      <c r="U2" s="163">
        <v>21</v>
      </c>
      <c r="V2" s="159">
        <v>10</v>
      </c>
      <c r="W2" s="167">
        <v>86</v>
      </c>
      <c r="X2" s="163" t="s">
        <v>28</v>
      </c>
      <c r="Y2" s="170" t="s">
        <v>29</v>
      </c>
      <c r="Z2" s="159">
        <v>12</v>
      </c>
      <c r="AA2" s="159" t="s">
        <v>107</v>
      </c>
      <c r="AB2" s="182" t="s">
        <v>107</v>
      </c>
    </row>
    <row r="3" spans="1:28">
      <c r="A3" s="178" t="s">
        <v>140</v>
      </c>
      <c r="B3" s="110" t="s">
        <v>32</v>
      </c>
      <c r="C3" s="173" t="s">
        <v>167</v>
      </c>
      <c r="D3" s="204" t="s">
        <v>192</v>
      </c>
      <c r="E3" s="116">
        <v>95.88190752544682</v>
      </c>
      <c r="F3" s="117" t="s">
        <v>18</v>
      </c>
      <c r="G3" s="117">
        <v>10</v>
      </c>
      <c r="H3" s="115">
        <v>0.65</v>
      </c>
      <c r="I3" s="112" t="s">
        <v>20</v>
      </c>
      <c r="J3" s="110">
        <v>10</v>
      </c>
      <c r="K3" s="113">
        <v>94.72259810554803</v>
      </c>
      <c r="L3" s="110" t="s">
        <v>26</v>
      </c>
      <c r="M3" s="113">
        <v>5.0674285714285716</v>
      </c>
      <c r="N3" s="118">
        <v>0.89</v>
      </c>
      <c r="O3" s="111" t="s">
        <v>57</v>
      </c>
      <c r="P3" s="111">
        <v>10</v>
      </c>
      <c r="Q3" s="115">
        <v>0.93103448275862066</v>
      </c>
      <c r="R3" s="115" t="s">
        <v>27</v>
      </c>
      <c r="S3" s="121">
        <v>10.5</v>
      </c>
      <c r="T3" s="115">
        <v>0</v>
      </c>
      <c r="U3" s="119">
        <v>1</v>
      </c>
      <c r="V3" s="110">
        <v>10</v>
      </c>
      <c r="W3" s="120">
        <v>51.567428571428572</v>
      </c>
      <c r="X3" s="112" t="s">
        <v>136</v>
      </c>
      <c r="Y3" s="112" t="s">
        <v>137</v>
      </c>
      <c r="Z3" s="110">
        <v>22</v>
      </c>
      <c r="AA3" s="110">
        <v>20</v>
      </c>
      <c r="AB3" s="182" t="s">
        <v>107</v>
      </c>
    </row>
    <row r="4" spans="1:28">
      <c r="A4" s="175" t="s">
        <v>46</v>
      </c>
      <c r="B4" s="2" t="s">
        <v>32</v>
      </c>
      <c r="C4" s="156" t="s">
        <v>165</v>
      </c>
      <c r="D4" s="204" t="s">
        <v>192</v>
      </c>
      <c r="E4" s="3">
        <v>0.94199999999999995</v>
      </c>
      <c r="F4" s="2" t="s">
        <v>19</v>
      </c>
      <c r="G4" s="2">
        <v>7</v>
      </c>
      <c r="H4" s="4">
        <v>0.48349056603773582</v>
      </c>
      <c r="I4" s="11" t="s">
        <v>54</v>
      </c>
      <c r="J4" s="2">
        <v>5</v>
      </c>
      <c r="K4" s="5">
        <v>16</v>
      </c>
      <c r="L4" s="6" t="s">
        <v>59</v>
      </c>
      <c r="M4" s="7">
        <v>10</v>
      </c>
      <c r="N4" s="18">
        <v>0.99589505804276257</v>
      </c>
      <c r="O4" s="9" t="s">
        <v>17</v>
      </c>
      <c r="P4" s="9">
        <v>20</v>
      </c>
      <c r="Q4" s="10">
        <v>1</v>
      </c>
      <c r="R4" s="9" t="s">
        <v>17</v>
      </c>
      <c r="S4" s="9">
        <v>15</v>
      </c>
      <c r="T4" s="13">
        <v>0.23599883830877791</v>
      </c>
      <c r="U4" s="2">
        <v>7</v>
      </c>
      <c r="V4" s="7">
        <v>10</v>
      </c>
      <c r="W4" s="8">
        <v>86</v>
      </c>
      <c r="X4" s="6" t="s">
        <v>28</v>
      </c>
      <c r="Y4" s="7" t="s">
        <v>29</v>
      </c>
      <c r="Z4" s="7">
        <v>8</v>
      </c>
      <c r="AA4" s="7">
        <v>7</v>
      </c>
      <c r="AB4" s="179">
        <v>83.5</v>
      </c>
    </row>
    <row r="5" spans="1:28">
      <c r="A5" s="178" t="s">
        <v>119</v>
      </c>
      <c r="B5" s="110" t="s">
        <v>32</v>
      </c>
      <c r="C5" s="173" t="s">
        <v>167</v>
      </c>
      <c r="D5" s="204" t="s">
        <v>192</v>
      </c>
      <c r="E5" s="116">
        <v>95.437894435474078</v>
      </c>
      <c r="F5" s="117" t="s">
        <v>18</v>
      </c>
      <c r="G5" s="117">
        <v>10</v>
      </c>
      <c r="H5" s="115">
        <v>0.59</v>
      </c>
      <c r="I5" s="112" t="s">
        <v>92</v>
      </c>
      <c r="J5" s="110">
        <v>7</v>
      </c>
      <c r="K5" s="113">
        <v>96.635179167259253</v>
      </c>
      <c r="L5" s="110" t="s">
        <v>26</v>
      </c>
      <c r="M5" s="113">
        <v>4.9671351999999986</v>
      </c>
      <c r="N5" s="118">
        <v>0.89</v>
      </c>
      <c r="O5" s="111" t="s">
        <v>57</v>
      </c>
      <c r="P5" s="111">
        <v>10</v>
      </c>
      <c r="Q5" s="115">
        <v>0.94300518134715028</v>
      </c>
      <c r="R5" s="115" t="s">
        <v>27</v>
      </c>
      <c r="S5" s="121">
        <v>10.5</v>
      </c>
      <c r="T5" s="115">
        <v>0.12474826987343349</v>
      </c>
      <c r="U5" s="119">
        <v>17</v>
      </c>
      <c r="V5" s="110">
        <v>10</v>
      </c>
      <c r="W5" s="120">
        <v>65.467135200000001</v>
      </c>
      <c r="X5" s="112" t="s">
        <v>117</v>
      </c>
      <c r="Y5" s="112" t="s">
        <v>118</v>
      </c>
      <c r="Z5" s="110">
        <v>11</v>
      </c>
      <c r="AA5" s="110">
        <v>22</v>
      </c>
      <c r="AB5" s="182" t="s">
        <v>107</v>
      </c>
    </row>
    <row r="6" spans="1:28">
      <c r="A6" s="177" t="s">
        <v>154</v>
      </c>
      <c r="B6" s="112" t="s">
        <v>81</v>
      </c>
      <c r="C6" s="172" t="s">
        <v>164</v>
      </c>
      <c r="D6" s="204" t="s">
        <v>192</v>
      </c>
      <c r="E6" s="151">
        <v>95.1</v>
      </c>
      <c r="F6" s="137" t="s">
        <v>18</v>
      </c>
      <c r="G6" s="137">
        <v>10</v>
      </c>
      <c r="H6" s="138">
        <v>0.65</v>
      </c>
      <c r="I6" s="110" t="s">
        <v>20</v>
      </c>
      <c r="J6" s="140">
        <v>10</v>
      </c>
      <c r="K6" s="144">
        <v>45.579209772729534</v>
      </c>
      <c r="L6" s="128" t="s">
        <v>26</v>
      </c>
      <c r="M6" s="142">
        <v>10</v>
      </c>
      <c r="N6" s="152">
        <v>0.9576271186440678</v>
      </c>
      <c r="O6" s="110" t="s">
        <v>17</v>
      </c>
      <c r="P6" s="110">
        <v>20</v>
      </c>
      <c r="Q6" s="115">
        <v>0.94023904382470125</v>
      </c>
      <c r="R6" s="110" t="s">
        <v>27</v>
      </c>
      <c r="S6" s="110">
        <v>10.5</v>
      </c>
      <c r="T6" s="145">
        <v>0.1037342922867199</v>
      </c>
      <c r="U6" s="109">
        <v>15</v>
      </c>
      <c r="V6" s="141">
        <v>5</v>
      </c>
      <c r="W6" s="120">
        <v>80.5</v>
      </c>
      <c r="X6" s="128" t="s">
        <v>85</v>
      </c>
      <c r="Y6" s="128" t="s">
        <v>30</v>
      </c>
      <c r="Z6" s="140">
        <v>10</v>
      </c>
      <c r="AA6" s="140">
        <v>8</v>
      </c>
      <c r="AB6" s="186">
        <v>78</v>
      </c>
    </row>
    <row r="7" spans="1:28">
      <c r="A7" s="174" t="s">
        <v>38</v>
      </c>
      <c r="B7" s="2" t="s">
        <v>32</v>
      </c>
      <c r="C7" s="156" t="s">
        <v>165</v>
      </c>
      <c r="D7" s="204" t="s">
        <v>192</v>
      </c>
      <c r="E7" s="3">
        <v>0.98899999999999999</v>
      </c>
      <c r="F7" s="2" t="s">
        <v>18</v>
      </c>
      <c r="G7" s="2">
        <v>10</v>
      </c>
      <c r="H7" s="4">
        <v>0.62745098039215685</v>
      </c>
      <c r="I7" s="2" t="s">
        <v>20</v>
      </c>
      <c r="J7" s="2">
        <v>10</v>
      </c>
      <c r="K7" s="5">
        <v>14</v>
      </c>
      <c r="L7" s="6" t="s">
        <v>59</v>
      </c>
      <c r="M7" s="7">
        <v>10</v>
      </c>
      <c r="N7" s="18">
        <v>0.99921876941979426</v>
      </c>
      <c r="O7" s="9" t="s">
        <v>17</v>
      </c>
      <c r="P7" s="9">
        <v>20</v>
      </c>
      <c r="Q7" s="10">
        <v>1</v>
      </c>
      <c r="R7" s="9" t="s">
        <v>17</v>
      </c>
      <c r="S7" s="9">
        <v>15</v>
      </c>
      <c r="T7" s="13">
        <v>0.21718592954969435</v>
      </c>
      <c r="U7" s="2">
        <v>2</v>
      </c>
      <c r="V7" s="7">
        <v>10</v>
      </c>
      <c r="W7" s="8">
        <v>99</v>
      </c>
      <c r="X7" s="6" t="s">
        <v>33</v>
      </c>
      <c r="Y7" s="7" t="s">
        <v>34</v>
      </c>
      <c r="Z7" s="7">
        <v>1</v>
      </c>
      <c r="AA7" s="7">
        <v>2</v>
      </c>
      <c r="AB7" s="179">
        <v>96</v>
      </c>
    </row>
    <row r="8" spans="1:28">
      <c r="A8" s="174" t="s">
        <v>38</v>
      </c>
      <c r="B8" s="7" t="s">
        <v>22</v>
      </c>
      <c r="C8" s="156" t="s">
        <v>165</v>
      </c>
      <c r="D8" s="204" t="s">
        <v>192</v>
      </c>
      <c r="E8" s="31">
        <v>1</v>
      </c>
      <c r="F8" s="2" t="s">
        <v>18</v>
      </c>
      <c r="G8" s="2">
        <v>10</v>
      </c>
      <c r="H8" s="23">
        <v>0.64814814814814814</v>
      </c>
      <c r="I8" s="2" t="s">
        <v>20</v>
      </c>
      <c r="J8" s="2">
        <v>10</v>
      </c>
      <c r="K8" s="6" t="s">
        <v>59</v>
      </c>
      <c r="L8" s="24">
        <v>10</v>
      </c>
      <c r="M8" s="8">
        <v>10</v>
      </c>
      <c r="N8" s="4">
        <v>0.95</v>
      </c>
      <c r="O8" s="9" t="s">
        <v>62</v>
      </c>
      <c r="P8" s="9">
        <v>20</v>
      </c>
      <c r="Q8" s="10">
        <v>1</v>
      </c>
      <c r="R8" s="9" t="s">
        <v>17</v>
      </c>
      <c r="S8" s="9">
        <v>15</v>
      </c>
      <c r="T8" s="23">
        <v>0.26050442749047625</v>
      </c>
      <c r="U8" s="7">
        <v>1</v>
      </c>
      <c r="V8" s="7">
        <v>10</v>
      </c>
      <c r="W8" s="8">
        <v>100</v>
      </c>
      <c r="X8" s="6" t="s">
        <v>33</v>
      </c>
      <c r="Y8" s="7" t="s">
        <v>34</v>
      </c>
      <c r="Z8" s="7">
        <v>1</v>
      </c>
      <c r="AA8" s="7">
        <v>1</v>
      </c>
      <c r="AB8" s="181">
        <v>98</v>
      </c>
    </row>
    <row r="9" spans="1:28">
      <c r="A9" s="177" t="s">
        <v>149</v>
      </c>
      <c r="B9" s="112" t="s">
        <v>81</v>
      </c>
      <c r="C9" s="172" t="s">
        <v>164</v>
      </c>
      <c r="D9" s="204" t="s">
        <v>192</v>
      </c>
      <c r="E9" s="151">
        <v>86</v>
      </c>
      <c r="F9" s="137" t="s">
        <v>19</v>
      </c>
      <c r="G9" s="139">
        <v>7</v>
      </c>
      <c r="H9" s="138">
        <v>0.63</v>
      </c>
      <c r="I9" s="110" t="s">
        <v>20</v>
      </c>
      <c r="J9" s="140">
        <v>10</v>
      </c>
      <c r="K9" s="144">
        <v>68.107449932437902</v>
      </c>
      <c r="L9" s="128" t="s">
        <v>82</v>
      </c>
      <c r="M9" s="142">
        <v>7.0476871542857138</v>
      </c>
      <c r="N9" s="152">
        <v>0.95388349514563109</v>
      </c>
      <c r="O9" s="110" t="s">
        <v>17</v>
      </c>
      <c r="P9" s="110">
        <v>20</v>
      </c>
      <c r="Q9" s="115">
        <v>0.9838709677419355</v>
      </c>
      <c r="R9" s="110" t="s">
        <v>17</v>
      </c>
      <c r="S9" s="110">
        <v>15</v>
      </c>
      <c r="T9" s="145">
        <v>8.8653264362900275E-2</v>
      </c>
      <c r="U9" s="109">
        <v>23</v>
      </c>
      <c r="V9" s="141">
        <v>5</v>
      </c>
      <c r="W9" s="120">
        <v>87.047687154285711</v>
      </c>
      <c r="X9" s="128" t="s">
        <v>28</v>
      </c>
      <c r="Y9" s="128" t="s">
        <v>29</v>
      </c>
      <c r="Z9" s="140">
        <v>5</v>
      </c>
      <c r="AA9" s="140">
        <v>15</v>
      </c>
      <c r="AB9" s="184">
        <v>72</v>
      </c>
    </row>
    <row r="10" spans="1:28">
      <c r="A10" s="174" t="s">
        <v>68</v>
      </c>
      <c r="B10" s="7" t="s">
        <v>22</v>
      </c>
      <c r="C10" s="156" t="s">
        <v>165</v>
      </c>
      <c r="D10" s="204" t="s">
        <v>192</v>
      </c>
      <c r="E10" s="32">
        <v>0.98599999999999999</v>
      </c>
      <c r="F10" s="2" t="s">
        <v>18</v>
      </c>
      <c r="G10" s="11">
        <v>10</v>
      </c>
      <c r="H10" s="23">
        <v>0.56425702811244982</v>
      </c>
      <c r="I10" s="11" t="s">
        <v>52</v>
      </c>
      <c r="J10" s="2">
        <v>7</v>
      </c>
      <c r="K10" s="6" t="s">
        <v>59</v>
      </c>
      <c r="L10" s="24">
        <v>10</v>
      </c>
      <c r="M10" s="8">
        <v>10</v>
      </c>
      <c r="N10" s="4">
        <v>0.95</v>
      </c>
      <c r="O10" s="9" t="s">
        <v>62</v>
      </c>
      <c r="P10" s="9">
        <v>20</v>
      </c>
      <c r="Q10" s="10">
        <v>1</v>
      </c>
      <c r="R10" s="9" t="s">
        <v>17</v>
      </c>
      <c r="S10" s="9">
        <v>15</v>
      </c>
      <c r="T10" s="23">
        <v>0.30000618573122917</v>
      </c>
      <c r="U10" s="7">
        <v>16</v>
      </c>
      <c r="V10" s="7">
        <v>10</v>
      </c>
      <c r="W10" s="8">
        <v>82</v>
      </c>
      <c r="X10" s="6" t="s">
        <v>63</v>
      </c>
      <c r="Y10" s="7" t="s">
        <v>30</v>
      </c>
      <c r="Z10" s="7">
        <v>8</v>
      </c>
      <c r="AA10" s="7">
        <v>9</v>
      </c>
      <c r="AB10" s="181">
        <v>84</v>
      </c>
    </row>
    <row r="11" spans="1:28">
      <c r="A11" s="177" t="s">
        <v>153</v>
      </c>
      <c r="B11" s="127" t="s">
        <v>22</v>
      </c>
      <c r="C11" s="172" t="s">
        <v>164</v>
      </c>
      <c r="D11" s="204" t="s">
        <v>192</v>
      </c>
      <c r="E11" s="151">
        <v>98</v>
      </c>
      <c r="F11" s="137" t="s">
        <v>18</v>
      </c>
      <c r="G11" s="137">
        <v>10</v>
      </c>
      <c r="H11" s="138">
        <v>0.64</v>
      </c>
      <c r="I11" s="110" t="s">
        <v>20</v>
      </c>
      <c r="J11" s="140">
        <v>10</v>
      </c>
      <c r="K11" s="144">
        <v>96.07781425820987</v>
      </c>
      <c r="L11" s="128" t="s">
        <v>26</v>
      </c>
      <c r="M11" s="142">
        <v>10</v>
      </c>
      <c r="N11" s="152">
        <v>0.94444444444444442</v>
      </c>
      <c r="O11" s="110" t="s">
        <v>93</v>
      </c>
      <c r="P11" s="110">
        <v>14</v>
      </c>
      <c r="Q11" s="115">
        <v>1</v>
      </c>
      <c r="R11" s="110" t="s">
        <v>17</v>
      </c>
      <c r="S11" s="110">
        <v>15</v>
      </c>
      <c r="T11" s="145">
        <v>0.10367577195927281</v>
      </c>
      <c r="U11" s="109">
        <v>16</v>
      </c>
      <c r="V11" s="141">
        <v>7</v>
      </c>
      <c r="W11" s="120">
        <v>82</v>
      </c>
      <c r="X11" s="128" t="s">
        <v>85</v>
      </c>
      <c r="Y11" s="128" t="s">
        <v>30</v>
      </c>
      <c r="Z11" s="140">
        <v>9</v>
      </c>
      <c r="AA11" s="140">
        <v>2</v>
      </c>
      <c r="AB11" s="184">
        <v>85</v>
      </c>
    </row>
    <row r="12" spans="1:28">
      <c r="A12" s="178" t="s">
        <v>132</v>
      </c>
      <c r="B12" s="110" t="s">
        <v>102</v>
      </c>
      <c r="C12" s="173" t="s">
        <v>167</v>
      </c>
      <c r="D12" s="204" t="s">
        <v>192</v>
      </c>
      <c r="E12" s="116">
        <v>85.839091202674496</v>
      </c>
      <c r="F12" s="117" t="s">
        <v>18</v>
      </c>
      <c r="G12" s="117">
        <v>10</v>
      </c>
      <c r="H12" s="115">
        <v>0.7</v>
      </c>
      <c r="I12" s="112" t="s">
        <v>20</v>
      </c>
      <c r="J12" s="110">
        <v>10</v>
      </c>
      <c r="K12" s="113">
        <v>7.2683438887049867</v>
      </c>
      <c r="L12" s="110" t="s">
        <v>26</v>
      </c>
      <c r="M12" s="113">
        <v>10</v>
      </c>
      <c r="N12" s="118">
        <v>0.88888888888888884</v>
      </c>
      <c r="O12" s="111" t="s">
        <v>57</v>
      </c>
      <c r="P12" s="111">
        <v>10</v>
      </c>
      <c r="Q12" s="115">
        <v>0</v>
      </c>
      <c r="R12" s="115" t="s">
        <v>113</v>
      </c>
      <c r="S12" s="119">
        <v>0</v>
      </c>
      <c r="T12" s="115">
        <v>0.14425099839889063</v>
      </c>
      <c r="U12" s="119">
        <v>10</v>
      </c>
      <c r="V12" s="110">
        <v>10</v>
      </c>
      <c r="W12" s="120">
        <v>60</v>
      </c>
      <c r="X12" s="112" t="s">
        <v>117</v>
      </c>
      <c r="Y12" s="112" t="s">
        <v>118</v>
      </c>
      <c r="Z12" s="110">
        <v>19</v>
      </c>
      <c r="AA12" s="110">
        <v>19</v>
      </c>
      <c r="AB12" s="182" t="s">
        <v>107</v>
      </c>
    </row>
    <row r="13" spans="1:28">
      <c r="A13" s="175" t="s">
        <v>193</v>
      </c>
      <c r="B13" s="2" t="s">
        <v>32</v>
      </c>
      <c r="C13" s="156" t="s">
        <v>165</v>
      </c>
      <c r="D13" s="204" t="s">
        <v>192</v>
      </c>
      <c r="E13" s="3">
        <v>1</v>
      </c>
      <c r="F13" s="2" t="s">
        <v>18</v>
      </c>
      <c r="G13" s="2">
        <v>10</v>
      </c>
      <c r="H13" s="4">
        <v>0.52845528455284552</v>
      </c>
      <c r="I13" s="2" t="s">
        <v>52</v>
      </c>
      <c r="J13" s="2">
        <v>7</v>
      </c>
      <c r="K13" s="5">
        <v>10</v>
      </c>
      <c r="L13" s="6" t="s">
        <v>59</v>
      </c>
      <c r="M13" s="7">
        <v>10</v>
      </c>
      <c r="N13" s="18">
        <v>1</v>
      </c>
      <c r="O13" s="9" t="s">
        <v>17</v>
      </c>
      <c r="P13" s="9">
        <v>20</v>
      </c>
      <c r="Q13" s="10">
        <v>1</v>
      </c>
      <c r="R13" s="9" t="s">
        <v>17</v>
      </c>
      <c r="S13" s="9">
        <v>15</v>
      </c>
      <c r="T13" s="13">
        <v>0.2445021697307998</v>
      </c>
      <c r="U13" s="2">
        <v>10</v>
      </c>
      <c r="V13" s="7">
        <v>10</v>
      </c>
      <c r="W13" s="8">
        <v>88</v>
      </c>
      <c r="X13" s="6" t="s">
        <v>28</v>
      </c>
      <c r="Y13" s="7" t="s">
        <v>29</v>
      </c>
      <c r="Z13" s="7">
        <v>5</v>
      </c>
      <c r="AA13" s="7">
        <v>1</v>
      </c>
      <c r="AB13" s="179">
        <v>98</v>
      </c>
    </row>
    <row r="14" spans="1:28">
      <c r="A14" s="178" t="s">
        <v>39</v>
      </c>
      <c r="B14" s="110" t="s">
        <v>32</v>
      </c>
      <c r="C14" s="173" t="s">
        <v>167</v>
      </c>
      <c r="D14" s="204" t="s">
        <v>192</v>
      </c>
      <c r="E14" s="116">
        <v>99.645660040190791</v>
      </c>
      <c r="F14" s="117" t="s">
        <v>18</v>
      </c>
      <c r="G14" s="117">
        <v>10</v>
      </c>
      <c r="H14" s="115">
        <v>0.65</v>
      </c>
      <c r="I14" s="112" t="s">
        <v>20</v>
      </c>
      <c r="J14" s="110">
        <v>10</v>
      </c>
      <c r="K14" s="113">
        <v>42.686245424568064</v>
      </c>
      <c r="L14" s="110" t="s">
        <v>26</v>
      </c>
      <c r="M14" s="113">
        <v>11.244840000000002</v>
      </c>
      <c r="N14" s="118">
        <v>0.95</v>
      </c>
      <c r="O14" s="111" t="s">
        <v>57</v>
      </c>
      <c r="P14" s="111">
        <v>20</v>
      </c>
      <c r="Q14" s="115">
        <v>0.94606741573033704</v>
      </c>
      <c r="R14" s="115" t="s">
        <v>62</v>
      </c>
      <c r="S14" s="119">
        <v>15</v>
      </c>
      <c r="T14" s="115">
        <v>0.1270196140386019</v>
      </c>
      <c r="U14" s="119">
        <v>15</v>
      </c>
      <c r="V14" s="110">
        <v>10</v>
      </c>
      <c r="W14" s="120">
        <v>86.244840000000011</v>
      </c>
      <c r="X14" s="112" t="s">
        <v>28</v>
      </c>
      <c r="Y14" s="112" t="s">
        <v>29</v>
      </c>
      <c r="Z14" s="110">
        <v>1</v>
      </c>
      <c r="AA14" s="110">
        <v>8</v>
      </c>
      <c r="AB14" s="182" t="s">
        <v>107</v>
      </c>
    </row>
    <row r="15" spans="1:28">
      <c r="A15" s="177" t="s">
        <v>148</v>
      </c>
      <c r="B15" s="112" t="s">
        <v>32</v>
      </c>
      <c r="C15" s="172" t="s">
        <v>164</v>
      </c>
      <c r="D15" s="204" t="s">
        <v>192</v>
      </c>
      <c r="E15" s="151">
        <v>95.9</v>
      </c>
      <c r="F15" s="137" t="s">
        <v>18</v>
      </c>
      <c r="G15" s="137">
        <v>10</v>
      </c>
      <c r="H15" s="138">
        <v>0.68</v>
      </c>
      <c r="I15" s="110" t="s">
        <v>20</v>
      </c>
      <c r="J15" s="140">
        <v>10</v>
      </c>
      <c r="K15" s="144">
        <v>10.009426892456151</v>
      </c>
      <c r="L15" s="128" t="s">
        <v>26</v>
      </c>
      <c r="M15" s="142">
        <v>10</v>
      </c>
      <c r="N15" s="152">
        <v>0.98519736842105265</v>
      </c>
      <c r="O15" s="110" t="s">
        <v>17</v>
      </c>
      <c r="P15" s="110">
        <v>20</v>
      </c>
      <c r="Q15" s="115">
        <v>0.99886104783599083</v>
      </c>
      <c r="R15" s="110" t="s">
        <v>17</v>
      </c>
      <c r="S15" s="110">
        <v>15</v>
      </c>
      <c r="T15" s="145">
        <v>0.10103239361704901</v>
      </c>
      <c r="U15" s="109">
        <v>18</v>
      </c>
      <c r="V15" s="141">
        <v>10</v>
      </c>
      <c r="W15" s="120">
        <v>93</v>
      </c>
      <c r="X15" s="128" t="s">
        <v>28</v>
      </c>
      <c r="Y15" s="128" t="s">
        <v>29</v>
      </c>
      <c r="Z15" s="140">
        <v>3</v>
      </c>
      <c r="AA15" s="140">
        <v>4</v>
      </c>
      <c r="AB15" s="185">
        <v>83</v>
      </c>
    </row>
    <row r="16" spans="1:28">
      <c r="A16" s="178" t="s">
        <v>112</v>
      </c>
      <c r="B16" s="110" t="s">
        <v>32</v>
      </c>
      <c r="C16" s="173" t="s">
        <v>167</v>
      </c>
      <c r="D16" s="204" t="s">
        <v>192</v>
      </c>
      <c r="E16" s="116">
        <v>100</v>
      </c>
      <c r="F16" s="117" t="s">
        <v>18</v>
      </c>
      <c r="G16" s="117">
        <v>10</v>
      </c>
      <c r="H16" s="115">
        <v>0.68</v>
      </c>
      <c r="I16" s="112" t="s">
        <v>20</v>
      </c>
      <c r="J16" s="110">
        <v>10</v>
      </c>
      <c r="K16" s="113">
        <v>42.808541708190944</v>
      </c>
      <c r="L16" s="110" t="s">
        <v>26</v>
      </c>
      <c r="M16" s="113">
        <v>10</v>
      </c>
      <c r="N16" s="118">
        <v>0.90740740740740744</v>
      </c>
      <c r="O16" s="111" t="s">
        <v>62</v>
      </c>
      <c r="P16" s="111">
        <v>20</v>
      </c>
      <c r="Q16" s="115">
        <v>0</v>
      </c>
      <c r="R16" s="115" t="s">
        <v>113</v>
      </c>
      <c r="S16" s="119">
        <v>0</v>
      </c>
      <c r="T16" s="115">
        <v>0.12191454303686688</v>
      </c>
      <c r="U16" s="119">
        <v>18</v>
      </c>
      <c r="V16" s="110">
        <v>10</v>
      </c>
      <c r="W16" s="120">
        <v>74</v>
      </c>
      <c r="X16" s="112" t="s">
        <v>85</v>
      </c>
      <c r="Y16" s="112" t="s">
        <v>30</v>
      </c>
      <c r="Z16" s="110">
        <v>8</v>
      </c>
      <c r="AA16" s="110" t="s">
        <v>107</v>
      </c>
      <c r="AB16" s="182" t="s">
        <v>107</v>
      </c>
    </row>
    <row r="17" spans="1:28">
      <c r="A17" s="176" t="s">
        <v>90</v>
      </c>
      <c r="B17" s="159" t="s">
        <v>22</v>
      </c>
      <c r="C17" s="160" t="s">
        <v>166</v>
      </c>
      <c r="D17" s="204" t="s">
        <v>192</v>
      </c>
      <c r="E17" s="169">
        <v>60.8</v>
      </c>
      <c r="F17" s="159" t="s">
        <v>89</v>
      </c>
      <c r="G17" s="159">
        <v>0</v>
      </c>
      <c r="H17" s="162">
        <v>0.62</v>
      </c>
      <c r="I17" s="163" t="s">
        <v>20</v>
      </c>
      <c r="J17" s="159">
        <v>10</v>
      </c>
      <c r="K17" s="159">
        <v>65.3</v>
      </c>
      <c r="L17" s="164" t="s">
        <v>82</v>
      </c>
      <c r="M17" s="159">
        <v>9</v>
      </c>
      <c r="N17" s="165">
        <v>0.97</v>
      </c>
      <c r="O17" s="163" t="s">
        <v>17</v>
      </c>
      <c r="P17" s="159">
        <v>20</v>
      </c>
      <c r="Q17" s="165">
        <v>1</v>
      </c>
      <c r="R17" s="159" t="s">
        <v>17</v>
      </c>
      <c r="S17" s="166">
        <v>15</v>
      </c>
      <c r="T17" s="165">
        <v>0.1</v>
      </c>
      <c r="U17" s="163">
        <v>25</v>
      </c>
      <c r="V17" s="159">
        <v>8</v>
      </c>
      <c r="W17" s="167">
        <v>87</v>
      </c>
      <c r="X17" s="163" t="s">
        <v>85</v>
      </c>
      <c r="Y17" s="168" t="s">
        <v>30</v>
      </c>
      <c r="Z17" s="159">
        <v>10</v>
      </c>
      <c r="AA17" s="159" t="s">
        <v>107</v>
      </c>
      <c r="AB17" s="182" t="s">
        <v>107</v>
      </c>
    </row>
    <row r="18" spans="1:28">
      <c r="A18" s="178" t="s">
        <v>90</v>
      </c>
      <c r="B18" s="110" t="s">
        <v>102</v>
      </c>
      <c r="C18" s="173" t="s">
        <v>167</v>
      </c>
      <c r="D18" s="204" t="s">
        <v>192</v>
      </c>
      <c r="E18" s="116">
        <v>98.99750369216116</v>
      </c>
      <c r="F18" s="117" t="s">
        <v>18</v>
      </c>
      <c r="G18" s="117">
        <v>10</v>
      </c>
      <c r="H18" s="115">
        <v>0.57999999999999996</v>
      </c>
      <c r="I18" s="112" t="s">
        <v>92</v>
      </c>
      <c r="J18" s="110">
        <v>7</v>
      </c>
      <c r="K18" s="113">
        <v>713.60078496086351</v>
      </c>
      <c r="L18" s="110" t="s">
        <v>26</v>
      </c>
      <c r="M18" s="113">
        <v>0.67264499999999994</v>
      </c>
      <c r="N18" s="118">
        <v>0.95</v>
      </c>
      <c r="O18" s="111" t="s">
        <v>62</v>
      </c>
      <c r="P18" s="111">
        <v>20</v>
      </c>
      <c r="Q18" s="115">
        <v>0.86792452830188682</v>
      </c>
      <c r="R18" s="115" t="s">
        <v>57</v>
      </c>
      <c r="S18" s="119">
        <v>7.5</v>
      </c>
      <c r="T18" s="115">
        <v>0.14216094944872049</v>
      </c>
      <c r="U18" s="119">
        <v>11</v>
      </c>
      <c r="V18" s="110">
        <v>10</v>
      </c>
      <c r="W18" s="120">
        <v>62.172645000000003</v>
      </c>
      <c r="X18" s="112" t="s">
        <v>117</v>
      </c>
      <c r="Y18" s="112" t="s">
        <v>118</v>
      </c>
      <c r="Z18" s="110">
        <v>15</v>
      </c>
      <c r="AA18" s="110">
        <v>14</v>
      </c>
      <c r="AB18" s="182" t="s">
        <v>107</v>
      </c>
    </row>
    <row r="19" spans="1:28">
      <c r="A19" s="176" t="s">
        <v>98</v>
      </c>
      <c r="B19" s="159" t="s">
        <v>32</v>
      </c>
      <c r="C19" s="160" t="s">
        <v>166</v>
      </c>
      <c r="D19" s="204" t="s">
        <v>192</v>
      </c>
      <c r="E19" s="161">
        <v>99.7</v>
      </c>
      <c r="F19" s="159" t="s">
        <v>18</v>
      </c>
      <c r="G19" s="159">
        <v>10</v>
      </c>
      <c r="H19" s="162">
        <v>1</v>
      </c>
      <c r="I19" s="163" t="s">
        <v>20</v>
      </c>
      <c r="J19" s="159">
        <v>10</v>
      </c>
      <c r="K19" s="159">
        <v>0</v>
      </c>
      <c r="L19" s="164" t="s">
        <v>26</v>
      </c>
      <c r="M19" s="159">
        <v>10</v>
      </c>
      <c r="N19" s="165">
        <v>1</v>
      </c>
      <c r="O19" s="163" t="s">
        <v>17</v>
      </c>
      <c r="P19" s="159">
        <v>20</v>
      </c>
      <c r="Q19" s="165">
        <v>1</v>
      </c>
      <c r="R19" s="159" t="s">
        <v>17</v>
      </c>
      <c r="S19" s="166">
        <v>15</v>
      </c>
      <c r="T19" s="165">
        <v>0.22</v>
      </c>
      <c r="U19" s="163">
        <v>20</v>
      </c>
      <c r="V19" s="159">
        <v>10</v>
      </c>
      <c r="W19" s="167">
        <v>95</v>
      </c>
      <c r="X19" s="159" t="s">
        <v>33</v>
      </c>
      <c r="Y19" s="171" t="s">
        <v>34</v>
      </c>
      <c r="Z19" s="159">
        <v>3</v>
      </c>
      <c r="AA19" s="159">
        <v>1</v>
      </c>
      <c r="AB19" s="182">
        <v>95</v>
      </c>
    </row>
    <row r="20" spans="1:28">
      <c r="A20" s="177" t="s">
        <v>98</v>
      </c>
      <c r="B20" s="112" t="s">
        <v>32</v>
      </c>
      <c r="C20" s="172" t="s">
        <v>164</v>
      </c>
      <c r="D20" s="204" t="s">
        <v>192</v>
      </c>
      <c r="E20" s="151">
        <v>100</v>
      </c>
      <c r="F20" s="137" t="s">
        <v>18</v>
      </c>
      <c r="G20" s="137">
        <v>10</v>
      </c>
      <c r="H20" s="138">
        <v>0.8</v>
      </c>
      <c r="I20" s="110" t="s">
        <v>20</v>
      </c>
      <c r="J20" s="140">
        <v>10</v>
      </c>
      <c r="K20" s="144">
        <v>0</v>
      </c>
      <c r="L20" s="128" t="s">
        <v>26</v>
      </c>
      <c r="M20" s="142">
        <v>10</v>
      </c>
      <c r="N20" s="152">
        <v>0.95652173913043481</v>
      </c>
      <c r="O20" s="110" t="s">
        <v>17</v>
      </c>
      <c r="P20" s="110">
        <v>20</v>
      </c>
      <c r="Q20" s="115">
        <v>1</v>
      </c>
      <c r="R20" s="110" t="s">
        <v>17</v>
      </c>
      <c r="S20" s="110">
        <v>15</v>
      </c>
      <c r="T20" s="145">
        <v>9.929432973322444E-2</v>
      </c>
      <c r="U20" s="109">
        <v>20</v>
      </c>
      <c r="V20" s="141">
        <v>10</v>
      </c>
      <c r="W20" s="120">
        <v>95</v>
      </c>
      <c r="X20" s="128" t="s">
        <v>28</v>
      </c>
      <c r="Y20" s="128" t="s">
        <v>29</v>
      </c>
      <c r="Z20" s="140">
        <v>2</v>
      </c>
      <c r="AA20" s="140" t="s">
        <v>107</v>
      </c>
      <c r="AB20" s="184" t="s">
        <v>107</v>
      </c>
    </row>
    <row r="21" spans="1:28">
      <c r="A21" s="178" t="s">
        <v>104</v>
      </c>
      <c r="B21" s="110" t="s">
        <v>102</v>
      </c>
      <c r="C21" s="173" t="s">
        <v>167</v>
      </c>
      <c r="D21" s="204" t="s">
        <v>192</v>
      </c>
      <c r="E21" s="116">
        <v>95.685240057419563</v>
      </c>
      <c r="F21" s="117" t="s">
        <v>18</v>
      </c>
      <c r="G21" s="117">
        <v>10</v>
      </c>
      <c r="H21" s="115">
        <v>0.56000000000000005</v>
      </c>
      <c r="I21" s="112" t="s">
        <v>92</v>
      </c>
      <c r="J21" s="110">
        <v>7</v>
      </c>
      <c r="K21" s="113">
        <v>303.54122227771808</v>
      </c>
      <c r="L21" s="110" t="s">
        <v>26</v>
      </c>
      <c r="M21" s="113">
        <v>1.5813338181818186</v>
      </c>
      <c r="N21" s="118">
        <v>0.98</v>
      </c>
      <c r="O21" s="111" t="s">
        <v>62</v>
      </c>
      <c r="P21" s="111">
        <v>20</v>
      </c>
      <c r="Q21" s="115">
        <v>0.94117647058823528</v>
      </c>
      <c r="R21" s="115" t="s">
        <v>27</v>
      </c>
      <c r="S21" s="121">
        <v>10.5</v>
      </c>
      <c r="T21" s="115">
        <v>0.11</v>
      </c>
      <c r="U21" s="119">
        <v>25</v>
      </c>
      <c r="V21" s="110">
        <v>10</v>
      </c>
      <c r="W21" s="120">
        <v>84.081333818181818</v>
      </c>
      <c r="X21" s="112" t="s">
        <v>85</v>
      </c>
      <c r="Y21" s="112" t="s">
        <v>30</v>
      </c>
      <c r="Z21" s="110">
        <v>3</v>
      </c>
      <c r="AA21" s="110">
        <v>7</v>
      </c>
      <c r="AB21" s="182" t="s">
        <v>107</v>
      </c>
    </row>
    <row r="22" spans="1:28">
      <c r="A22" s="175" t="s">
        <v>42</v>
      </c>
      <c r="B22" s="2" t="s">
        <v>32</v>
      </c>
      <c r="C22" s="156" t="s">
        <v>165</v>
      </c>
      <c r="D22" s="204" t="s">
        <v>192</v>
      </c>
      <c r="E22" s="3">
        <v>0.96199999999999997</v>
      </c>
      <c r="F22" s="2" t="s">
        <v>18</v>
      </c>
      <c r="G22" s="2">
        <v>10</v>
      </c>
      <c r="H22" s="4">
        <v>0.38</v>
      </c>
      <c r="I22" s="11" t="s">
        <v>53</v>
      </c>
      <c r="J22" s="2">
        <v>3</v>
      </c>
      <c r="K22" s="5">
        <v>48</v>
      </c>
      <c r="L22" s="6" t="s">
        <v>59</v>
      </c>
      <c r="M22" s="7">
        <v>10</v>
      </c>
      <c r="N22" s="18">
        <v>0.96</v>
      </c>
      <c r="O22" s="9" t="s">
        <v>17</v>
      </c>
      <c r="P22" s="9">
        <v>20</v>
      </c>
      <c r="Q22" s="10">
        <v>1</v>
      </c>
      <c r="R22" s="9" t="s">
        <v>17</v>
      </c>
      <c r="S22" s="9">
        <v>15</v>
      </c>
      <c r="T22" s="13">
        <v>0.22500000000000001</v>
      </c>
      <c r="U22" s="2">
        <v>4</v>
      </c>
      <c r="V22" s="7">
        <v>7</v>
      </c>
      <c r="W22" s="8">
        <v>87</v>
      </c>
      <c r="X22" s="6" t="s">
        <v>28</v>
      </c>
      <c r="Y22" s="7" t="s">
        <v>29</v>
      </c>
      <c r="Z22" s="7">
        <v>7</v>
      </c>
      <c r="AA22" s="12" t="s">
        <v>58</v>
      </c>
      <c r="AB22" s="180" t="s">
        <v>58</v>
      </c>
    </row>
    <row r="23" spans="1:28">
      <c r="A23" s="178" t="s">
        <v>42</v>
      </c>
      <c r="B23" s="110" t="s">
        <v>32</v>
      </c>
      <c r="C23" s="173" t="s">
        <v>167</v>
      </c>
      <c r="D23" s="204" t="s">
        <v>192</v>
      </c>
      <c r="E23" s="116">
        <v>94.186848613330966</v>
      </c>
      <c r="F23" s="117" t="s">
        <v>18</v>
      </c>
      <c r="G23" s="117">
        <v>10</v>
      </c>
      <c r="H23" s="115">
        <v>0.44</v>
      </c>
      <c r="I23" s="110" t="s">
        <v>131</v>
      </c>
      <c r="J23" s="110">
        <v>5</v>
      </c>
      <c r="K23" s="113">
        <v>217.20457709281547</v>
      </c>
      <c r="L23" s="110" t="s">
        <v>26</v>
      </c>
      <c r="M23" s="113">
        <v>2.2098981818181818</v>
      </c>
      <c r="N23" s="118">
        <v>0.9</v>
      </c>
      <c r="O23" s="111" t="s">
        <v>27</v>
      </c>
      <c r="P23" s="111">
        <v>14</v>
      </c>
      <c r="Q23" s="115">
        <v>0</v>
      </c>
      <c r="R23" s="115" t="s">
        <v>113</v>
      </c>
      <c r="S23" s="119">
        <v>0</v>
      </c>
      <c r="T23" s="115">
        <v>0</v>
      </c>
      <c r="U23" s="119">
        <v>0</v>
      </c>
      <c r="V23" s="110">
        <v>5</v>
      </c>
      <c r="W23" s="120">
        <v>38.209898181818183</v>
      </c>
      <c r="X23" s="112" t="s">
        <v>136</v>
      </c>
      <c r="Y23" s="112" t="s">
        <v>137</v>
      </c>
      <c r="Z23" s="110">
        <v>25</v>
      </c>
      <c r="AA23" s="110" t="s">
        <v>107</v>
      </c>
      <c r="AB23" s="182" t="s">
        <v>107</v>
      </c>
    </row>
    <row r="24" spans="1:28">
      <c r="A24" s="177" t="s">
        <v>151</v>
      </c>
      <c r="B24" s="112" t="s">
        <v>32</v>
      </c>
      <c r="C24" s="172" t="s">
        <v>164</v>
      </c>
      <c r="D24" s="204" t="s">
        <v>192</v>
      </c>
      <c r="E24" s="151">
        <v>100</v>
      </c>
      <c r="F24" s="137" t="s">
        <v>18</v>
      </c>
      <c r="G24" s="137">
        <v>10</v>
      </c>
      <c r="H24" s="138">
        <v>1</v>
      </c>
      <c r="I24" s="110" t="s">
        <v>20</v>
      </c>
      <c r="J24" s="140">
        <v>10</v>
      </c>
      <c r="K24" s="144">
        <v>12.747655068850083</v>
      </c>
      <c r="L24" s="128" t="s">
        <v>26</v>
      </c>
      <c r="M24" s="142">
        <v>10</v>
      </c>
      <c r="N24" s="152">
        <v>0.94117647058823528</v>
      </c>
      <c r="O24" s="110" t="s">
        <v>93</v>
      </c>
      <c r="P24" s="110">
        <v>14</v>
      </c>
      <c r="Q24" s="115">
        <v>0.98529411764705888</v>
      </c>
      <c r="R24" s="110" t="s">
        <v>17</v>
      </c>
      <c r="S24" s="110">
        <v>15</v>
      </c>
      <c r="T24" s="145">
        <v>0.1000906969302605</v>
      </c>
      <c r="U24" s="109">
        <v>19</v>
      </c>
      <c r="V24" s="141">
        <v>5</v>
      </c>
      <c r="W24" s="120">
        <v>83</v>
      </c>
      <c r="X24" s="128" t="s">
        <v>85</v>
      </c>
      <c r="Y24" s="128" t="s">
        <v>30</v>
      </c>
      <c r="Z24" s="140">
        <v>7</v>
      </c>
      <c r="AA24" s="140">
        <v>14</v>
      </c>
      <c r="AB24" s="184">
        <v>73</v>
      </c>
    </row>
    <row r="25" spans="1:28">
      <c r="A25" s="178" t="s">
        <v>138</v>
      </c>
      <c r="B25" s="110" t="s">
        <v>102</v>
      </c>
      <c r="C25" s="173" t="s">
        <v>167</v>
      </c>
      <c r="D25" s="204" t="s">
        <v>192</v>
      </c>
      <c r="E25" s="116">
        <v>100</v>
      </c>
      <c r="F25" s="117" t="s">
        <v>18</v>
      </c>
      <c r="G25" s="117">
        <v>10</v>
      </c>
      <c r="H25" s="115">
        <v>0.54</v>
      </c>
      <c r="I25" s="112" t="s">
        <v>92</v>
      </c>
      <c r="J25" s="110">
        <v>7</v>
      </c>
      <c r="K25" s="113">
        <v>171.14261656523618</v>
      </c>
      <c r="L25" s="110" t="s">
        <v>26</v>
      </c>
      <c r="M25" s="113">
        <v>2.8046783999999993</v>
      </c>
      <c r="N25" s="118">
        <v>0.86</v>
      </c>
      <c r="O25" s="111" t="s">
        <v>57</v>
      </c>
      <c r="P25" s="111">
        <v>10</v>
      </c>
      <c r="Q25" s="115">
        <v>0</v>
      </c>
      <c r="R25" s="115" t="s">
        <v>113</v>
      </c>
      <c r="S25" s="119">
        <v>0</v>
      </c>
      <c r="T25" s="115">
        <v>0.13331256413760689</v>
      </c>
      <c r="U25" s="119">
        <v>14</v>
      </c>
      <c r="V25" s="110">
        <v>10</v>
      </c>
      <c r="W25" s="120">
        <v>53.8046784</v>
      </c>
      <c r="X25" s="112" t="s">
        <v>136</v>
      </c>
      <c r="Y25" s="112" t="s">
        <v>137</v>
      </c>
      <c r="Z25" s="110">
        <v>21</v>
      </c>
      <c r="AA25" s="110">
        <v>10</v>
      </c>
      <c r="AB25" s="182" t="s">
        <v>107</v>
      </c>
    </row>
    <row r="26" spans="1:28">
      <c r="A26" s="178" t="s">
        <v>125</v>
      </c>
      <c r="B26" s="110" t="s">
        <v>102</v>
      </c>
      <c r="C26" s="173" t="s">
        <v>167</v>
      </c>
      <c r="D26" s="204" t="s">
        <v>192</v>
      </c>
      <c r="E26" s="116">
        <v>98.287139781761113</v>
      </c>
      <c r="F26" s="117" t="s">
        <v>18</v>
      </c>
      <c r="G26" s="117">
        <v>10</v>
      </c>
      <c r="H26" s="115">
        <v>0.54</v>
      </c>
      <c r="I26" s="112" t="s">
        <v>92</v>
      </c>
      <c r="J26" s="110">
        <v>7</v>
      </c>
      <c r="K26" s="113">
        <v>359.89800490540989</v>
      </c>
      <c r="L26" s="110" t="s">
        <v>26</v>
      </c>
      <c r="M26" s="113">
        <v>1.3337111999999998</v>
      </c>
      <c r="N26" s="118">
        <v>0.97</v>
      </c>
      <c r="O26" s="111" t="s">
        <v>62</v>
      </c>
      <c r="P26" s="111">
        <v>20</v>
      </c>
      <c r="Q26" s="115">
        <v>0.86363636363636365</v>
      </c>
      <c r="R26" s="115" t="s">
        <v>57</v>
      </c>
      <c r="S26" s="119">
        <v>7.5</v>
      </c>
      <c r="T26" s="115">
        <v>0.26823515887434185</v>
      </c>
      <c r="U26" s="119">
        <v>4</v>
      </c>
      <c r="V26" s="110">
        <v>10</v>
      </c>
      <c r="W26" s="120">
        <v>62.833711199999996</v>
      </c>
      <c r="X26" s="112" t="s">
        <v>117</v>
      </c>
      <c r="Y26" s="112" t="s">
        <v>118</v>
      </c>
      <c r="Z26" s="110">
        <v>14</v>
      </c>
      <c r="AA26" s="110">
        <v>18</v>
      </c>
      <c r="AB26" s="182" t="s">
        <v>107</v>
      </c>
    </row>
    <row r="27" spans="1:28">
      <c r="A27" s="174" t="s">
        <v>65</v>
      </c>
      <c r="B27" s="7" t="s">
        <v>22</v>
      </c>
      <c r="C27" s="156" t="s">
        <v>165</v>
      </c>
      <c r="D27" s="204" t="s">
        <v>192</v>
      </c>
      <c r="E27" s="30">
        <v>0.96599999999999997</v>
      </c>
      <c r="F27" s="2" t="s">
        <v>18</v>
      </c>
      <c r="G27" s="11">
        <v>10</v>
      </c>
      <c r="H27" s="23">
        <v>0.59615384615384615</v>
      </c>
      <c r="I27" s="11" t="s">
        <v>52</v>
      </c>
      <c r="J27" s="2">
        <v>7</v>
      </c>
      <c r="K27" s="6" t="s">
        <v>59</v>
      </c>
      <c r="L27" s="24">
        <v>10</v>
      </c>
      <c r="M27" s="8">
        <v>10</v>
      </c>
      <c r="N27" s="4">
        <v>0.99</v>
      </c>
      <c r="O27" s="9" t="s">
        <v>62</v>
      </c>
      <c r="P27" s="9">
        <v>20</v>
      </c>
      <c r="Q27" s="10">
        <v>1</v>
      </c>
      <c r="R27" s="9" t="s">
        <v>17</v>
      </c>
      <c r="S27" s="9">
        <v>15</v>
      </c>
      <c r="T27" s="23">
        <v>0.29485645373176311</v>
      </c>
      <c r="U27" s="7">
        <v>13</v>
      </c>
      <c r="V27" s="7">
        <v>10</v>
      </c>
      <c r="W27" s="8">
        <v>85</v>
      </c>
      <c r="X27" s="6" t="s">
        <v>28</v>
      </c>
      <c r="Y27" s="7" t="s">
        <v>29</v>
      </c>
      <c r="Z27" s="7">
        <v>5</v>
      </c>
      <c r="AA27" s="7">
        <v>5</v>
      </c>
      <c r="AB27" s="181">
        <v>89</v>
      </c>
    </row>
    <row r="28" spans="1:28">
      <c r="A28" s="177" t="s">
        <v>160</v>
      </c>
      <c r="B28" s="112" t="s">
        <v>32</v>
      </c>
      <c r="C28" s="172" t="s">
        <v>164</v>
      </c>
      <c r="D28" s="204" t="s">
        <v>192</v>
      </c>
      <c r="E28" s="151">
        <v>95.9</v>
      </c>
      <c r="F28" s="137" t="s">
        <v>18</v>
      </c>
      <c r="G28" s="137">
        <v>10</v>
      </c>
      <c r="H28" s="138">
        <v>0.6</v>
      </c>
      <c r="I28" s="110" t="s">
        <v>20</v>
      </c>
      <c r="J28" s="140">
        <v>10</v>
      </c>
      <c r="K28" s="144">
        <v>248.3809067686345</v>
      </c>
      <c r="L28" s="128" t="s">
        <v>82</v>
      </c>
      <c r="M28" s="142">
        <v>1.932515692307692</v>
      </c>
      <c r="N28" s="152">
        <v>0.93382352941176472</v>
      </c>
      <c r="O28" s="110" t="s">
        <v>93</v>
      </c>
      <c r="P28" s="110">
        <v>14</v>
      </c>
      <c r="Q28" s="115">
        <v>0.9017857142857143</v>
      </c>
      <c r="R28" s="110" t="s">
        <v>27</v>
      </c>
      <c r="S28" s="110">
        <v>10.5</v>
      </c>
      <c r="T28" s="145">
        <v>9.3441105624678153E-2</v>
      </c>
      <c r="U28" s="109">
        <v>21</v>
      </c>
      <c r="V28" s="141">
        <v>5</v>
      </c>
      <c r="W28" s="120">
        <v>72.432515692307689</v>
      </c>
      <c r="X28" s="128" t="s">
        <v>85</v>
      </c>
      <c r="Y28" s="128" t="s">
        <v>30</v>
      </c>
      <c r="Z28" s="140">
        <v>17</v>
      </c>
      <c r="AA28" s="140">
        <v>18</v>
      </c>
      <c r="AB28" s="186">
        <v>67</v>
      </c>
    </row>
    <row r="29" spans="1:28">
      <c r="A29" s="175" t="s">
        <v>45</v>
      </c>
      <c r="B29" s="2" t="s">
        <v>32</v>
      </c>
      <c r="C29" s="156" t="s">
        <v>165</v>
      </c>
      <c r="D29" s="204" t="s">
        <v>192</v>
      </c>
      <c r="E29" s="3">
        <v>0.99299999999999999</v>
      </c>
      <c r="F29" s="2" t="s">
        <v>18</v>
      </c>
      <c r="G29" s="2">
        <v>10</v>
      </c>
      <c r="H29" s="4">
        <v>0.59541984732824427</v>
      </c>
      <c r="I29" s="2" t="s">
        <v>20</v>
      </c>
      <c r="J29" s="2">
        <v>10</v>
      </c>
      <c r="K29" s="5">
        <v>32</v>
      </c>
      <c r="L29" s="6" t="s">
        <v>59</v>
      </c>
      <c r="M29" s="7">
        <v>10</v>
      </c>
      <c r="N29" s="18">
        <v>0.99407501452557734</v>
      </c>
      <c r="O29" s="9" t="s">
        <v>17</v>
      </c>
      <c r="P29" s="9">
        <v>20</v>
      </c>
      <c r="Q29" s="10">
        <v>1</v>
      </c>
      <c r="R29" s="9" t="s">
        <v>17</v>
      </c>
      <c r="S29" s="9">
        <v>15</v>
      </c>
      <c r="T29" s="13">
        <v>0.27144695077424924</v>
      </c>
      <c r="U29" s="2">
        <v>12</v>
      </c>
      <c r="V29" s="7">
        <v>10</v>
      </c>
      <c r="W29" s="8">
        <v>89</v>
      </c>
      <c r="X29" s="6" t="s">
        <v>28</v>
      </c>
      <c r="Y29" s="7" t="s">
        <v>29</v>
      </c>
      <c r="Z29" s="7">
        <v>4</v>
      </c>
      <c r="AA29" s="7">
        <v>9</v>
      </c>
      <c r="AB29" s="179">
        <v>83</v>
      </c>
    </row>
    <row r="30" spans="1:28">
      <c r="A30" s="177" t="s">
        <v>134</v>
      </c>
      <c r="B30" s="112" t="s">
        <v>32</v>
      </c>
      <c r="C30" s="172" t="s">
        <v>164</v>
      </c>
      <c r="D30" s="204" t="s">
        <v>192</v>
      </c>
      <c r="E30" s="151">
        <v>97.1</v>
      </c>
      <c r="F30" s="137" t="s">
        <v>18</v>
      </c>
      <c r="G30" s="137">
        <v>10</v>
      </c>
      <c r="H30" s="138">
        <v>0.65</v>
      </c>
      <c r="I30" s="110" t="s">
        <v>20</v>
      </c>
      <c r="J30" s="140">
        <v>10</v>
      </c>
      <c r="K30" s="144">
        <v>959.7016698809058</v>
      </c>
      <c r="L30" s="128" t="s">
        <v>82</v>
      </c>
      <c r="M30" s="142">
        <v>0.50015542857142847</v>
      </c>
      <c r="N30" s="152">
        <v>0.86111111111111116</v>
      </c>
      <c r="O30" s="110" t="s">
        <v>159</v>
      </c>
      <c r="P30" s="110">
        <v>10</v>
      </c>
      <c r="Q30" s="115">
        <v>0.96923076923076923</v>
      </c>
      <c r="R30" s="110" t="s">
        <v>17</v>
      </c>
      <c r="S30" s="110">
        <v>15</v>
      </c>
      <c r="T30" s="145">
        <v>8.5370830561328603E-2</v>
      </c>
      <c r="U30" s="109">
        <v>24</v>
      </c>
      <c r="V30" s="141">
        <v>5</v>
      </c>
      <c r="W30" s="120">
        <v>74.500155428571432</v>
      </c>
      <c r="X30" s="128" t="s">
        <v>85</v>
      </c>
      <c r="Y30" s="128" t="s">
        <v>30</v>
      </c>
      <c r="Z30" s="140">
        <v>16</v>
      </c>
      <c r="AA30" s="140">
        <v>19</v>
      </c>
      <c r="AB30" s="186">
        <v>66</v>
      </c>
    </row>
    <row r="31" spans="1:28">
      <c r="A31" s="178" t="s">
        <v>134</v>
      </c>
      <c r="B31" s="110" t="s">
        <v>32</v>
      </c>
      <c r="C31" s="173" t="s">
        <v>167</v>
      </c>
      <c r="D31" s="204" t="s">
        <v>192</v>
      </c>
      <c r="E31" s="116">
        <v>91.101246670844517</v>
      </c>
      <c r="F31" s="117" t="s">
        <v>18</v>
      </c>
      <c r="G31" s="117">
        <v>10</v>
      </c>
      <c r="H31" s="115">
        <v>0.59</v>
      </c>
      <c r="I31" s="112" t="s">
        <v>92</v>
      </c>
      <c r="J31" s="110">
        <v>7</v>
      </c>
      <c r="K31" s="113">
        <v>431.34962828445794</v>
      </c>
      <c r="L31" s="110" t="s">
        <v>26</v>
      </c>
      <c r="M31" s="113">
        <v>1.1127863999999996</v>
      </c>
      <c r="N31" s="118">
        <v>0.88</v>
      </c>
      <c r="O31" s="111" t="s">
        <v>57</v>
      </c>
      <c r="P31" s="111">
        <v>10</v>
      </c>
      <c r="Q31" s="115">
        <v>1</v>
      </c>
      <c r="R31" s="115" t="s">
        <v>62</v>
      </c>
      <c r="S31" s="119">
        <v>15</v>
      </c>
      <c r="T31" s="115">
        <v>0.16074272706191078</v>
      </c>
      <c r="U31" s="119">
        <v>7</v>
      </c>
      <c r="V31" s="110">
        <v>6</v>
      </c>
      <c r="W31" s="120">
        <v>59.112786400000005</v>
      </c>
      <c r="X31" s="112" t="s">
        <v>136</v>
      </c>
      <c r="Y31" s="112" t="s">
        <v>137</v>
      </c>
      <c r="Z31" s="110">
        <v>20</v>
      </c>
      <c r="AA31" s="110" t="s">
        <v>107</v>
      </c>
      <c r="AB31" s="182" t="s">
        <v>107</v>
      </c>
    </row>
    <row r="32" spans="1:28">
      <c r="A32" s="174" t="s">
        <v>40</v>
      </c>
      <c r="B32" s="2" t="s">
        <v>32</v>
      </c>
      <c r="C32" s="156" t="s">
        <v>165</v>
      </c>
      <c r="D32" s="204" t="s">
        <v>192</v>
      </c>
      <c r="E32" s="3">
        <v>1</v>
      </c>
      <c r="F32" s="2" t="s">
        <v>18</v>
      </c>
      <c r="G32" s="2">
        <v>10</v>
      </c>
      <c r="H32" s="4">
        <v>0.62406015037593987</v>
      </c>
      <c r="I32" s="2" t="s">
        <v>20</v>
      </c>
      <c r="J32" s="2">
        <v>10</v>
      </c>
      <c r="K32" s="5">
        <v>0</v>
      </c>
      <c r="L32" s="6" t="s">
        <v>59</v>
      </c>
      <c r="M32" s="7">
        <v>10</v>
      </c>
      <c r="N32" s="18">
        <v>1</v>
      </c>
      <c r="O32" s="9" t="s">
        <v>17</v>
      </c>
      <c r="P32" s="9">
        <v>20</v>
      </c>
      <c r="Q32" s="10">
        <v>1</v>
      </c>
      <c r="R32" s="9" t="s">
        <v>17</v>
      </c>
      <c r="S32" s="9">
        <v>15</v>
      </c>
      <c r="T32" s="13">
        <v>0.2445021697307998</v>
      </c>
      <c r="U32" s="2">
        <v>10</v>
      </c>
      <c r="V32" s="7">
        <v>10</v>
      </c>
      <c r="W32" s="8">
        <v>91</v>
      </c>
      <c r="X32" s="6" t="s">
        <v>28</v>
      </c>
      <c r="Y32" s="7" t="s">
        <v>29</v>
      </c>
      <c r="Z32" s="7">
        <v>3</v>
      </c>
      <c r="AA32" s="7">
        <v>3</v>
      </c>
      <c r="AB32" s="179">
        <v>92</v>
      </c>
    </row>
    <row r="33" spans="1:28">
      <c r="A33" s="178" t="s">
        <v>110</v>
      </c>
      <c r="B33" s="110" t="s">
        <v>32</v>
      </c>
      <c r="C33" s="173" t="s">
        <v>167</v>
      </c>
      <c r="D33" s="204" t="s">
        <v>192</v>
      </c>
      <c r="E33" s="116">
        <v>99.396850289795609</v>
      </c>
      <c r="F33" s="117" t="s">
        <v>18</v>
      </c>
      <c r="G33" s="117">
        <v>10</v>
      </c>
      <c r="H33" s="115">
        <v>0.61</v>
      </c>
      <c r="I33" s="112" t="s">
        <v>20</v>
      </c>
      <c r="J33" s="110">
        <v>10</v>
      </c>
      <c r="K33" s="113">
        <v>350.43175528462757</v>
      </c>
      <c r="L33" s="110" t="s">
        <v>26</v>
      </c>
      <c r="M33" s="113">
        <v>1.3697388800000003</v>
      </c>
      <c r="N33" s="118">
        <v>0.95</v>
      </c>
      <c r="O33" s="111" t="s">
        <v>57</v>
      </c>
      <c r="P33" s="111">
        <v>20</v>
      </c>
      <c r="Q33" s="115">
        <v>0.94606741573033704</v>
      </c>
      <c r="R33" s="115" t="s">
        <v>62</v>
      </c>
      <c r="S33" s="119">
        <v>15</v>
      </c>
      <c r="T33" s="115">
        <v>0.15803635949787975</v>
      </c>
      <c r="U33" s="119">
        <v>8</v>
      </c>
      <c r="V33" s="110">
        <v>10</v>
      </c>
      <c r="W33" s="120">
        <v>74.36973888</v>
      </c>
      <c r="X33" s="112" t="s">
        <v>85</v>
      </c>
      <c r="Y33" s="112" t="s">
        <v>30</v>
      </c>
      <c r="Z33" s="110">
        <v>7</v>
      </c>
      <c r="AA33" s="110">
        <v>11</v>
      </c>
      <c r="AB33" s="182" t="s">
        <v>107</v>
      </c>
    </row>
    <row r="34" spans="1:28">
      <c r="A34" s="177" t="s">
        <v>146</v>
      </c>
      <c r="B34" s="112" t="s">
        <v>32</v>
      </c>
      <c r="C34" s="172" t="s">
        <v>164</v>
      </c>
      <c r="D34" s="204" t="s">
        <v>192</v>
      </c>
      <c r="E34" s="151">
        <v>100</v>
      </c>
      <c r="F34" s="137" t="s">
        <v>18</v>
      </c>
      <c r="G34" s="137">
        <v>10</v>
      </c>
      <c r="H34" s="138">
        <v>0.7</v>
      </c>
      <c r="I34" s="110" t="s">
        <v>20</v>
      </c>
      <c r="J34" s="140">
        <v>10</v>
      </c>
      <c r="K34" s="144">
        <v>3.6325060011599191</v>
      </c>
      <c r="L34" s="128" t="s">
        <v>82</v>
      </c>
      <c r="M34" s="142">
        <v>10</v>
      </c>
      <c r="N34" s="152">
        <v>0.97894736842105268</v>
      </c>
      <c r="O34" s="110" t="s">
        <v>17</v>
      </c>
      <c r="P34" s="110">
        <v>20</v>
      </c>
      <c r="Q34" s="115">
        <v>0.99886104783599083</v>
      </c>
      <c r="R34" s="110" t="s">
        <v>17</v>
      </c>
      <c r="S34" s="110">
        <v>15</v>
      </c>
      <c r="T34" s="145">
        <v>9.3131780895513314E-2</v>
      </c>
      <c r="U34" s="109">
        <v>22</v>
      </c>
      <c r="V34" s="141">
        <v>10</v>
      </c>
      <c r="W34" s="120">
        <v>97</v>
      </c>
      <c r="X34" s="127" t="s">
        <v>33</v>
      </c>
      <c r="Y34" s="128" t="s">
        <v>34</v>
      </c>
      <c r="Z34" s="140">
        <v>1</v>
      </c>
      <c r="AA34" s="110">
        <v>1</v>
      </c>
      <c r="AB34" s="183">
        <v>88</v>
      </c>
    </row>
    <row r="35" spans="1:28">
      <c r="A35" s="175" t="s">
        <v>44</v>
      </c>
      <c r="B35" s="2" t="s">
        <v>32</v>
      </c>
      <c r="C35" s="156" t="s">
        <v>165</v>
      </c>
      <c r="D35" s="204" t="s">
        <v>192</v>
      </c>
      <c r="E35" s="14">
        <v>1</v>
      </c>
      <c r="F35" s="2" t="s">
        <v>18</v>
      </c>
      <c r="G35" s="11">
        <v>10</v>
      </c>
      <c r="H35" s="4">
        <v>1</v>
      </c>
      <c r="I35" s="4" t="s">
        <v>20</v>
      </c>
      <c r="J35" s="2">
        <v>10</v>
      </c>
      <c r="K35" s="5">
        <v>45</v>
      </c>
      <c r="L35" s="15" t="s">
        <v>26</v>
      </c>
      <c r="M35" s="8">
        <v>10</v>
      </c>
      <c r="N35" s="18">
        <v>1</v>
      </c>
      <c r="O35" s="9" t="s">
        <v>17</v>
      </c>
      <c r="P35" s="9">
        <v>20</v>
      </c>
      <c r="Q35" s="10">
        <v>1</v>
      </c>
      <c r="R35" s="9" t="s">
        <v>17</v>
      </c>
      <c r="S35" s="9">
        <v>15</v>
      </c>
      <c r="T35" s="13">
        <v>0.27620709523809522</v>
      </c>
      <c r="U35" s="2">
        <v>13</v>
      </c>
      <c r="V35" s="7">
        <v>10</v>
      </c>
      <c r="W35" s="8">
        <v>88</v>
      </c>
      <c r="X35" s="6" t="s">
        <v>28</v>
      </c>
      <c r="Y35" s="7" t="s">
        <v>29</v>
      </c>
      <c r="Z35" s="7">
        <v>5</v>
      </c>
      <c r="AA35" s="7">
        <v>10</v>
      </c>
      <c r="AB35" s="179">
        <v>78.141999999999996</v>
      </c>
    </row>
    <row r="36" spans="1:28">
      <c r="A36" s="178" t="s">
        <v>114</v>
      </c>
      <c r="B36" s="110" t="s">
        <v>32</v>
      </c>
      <c r="C36" s="173" t="s">
        <v>167</v>
      </c>
      <c r="D36" s="204" t="s">
        <v>192</v>
      </c>
      <c r="E36" s="116">
        <v>100</v>
      </c>
      <c r="F36" s="117" t="s">
        <v>18</v>
      </c>
      <c r="G36" s="117">
        <v>10</v>
      </c>
      <c r="H36" s="115">
        <v>0.67</v>
      </c>
      <c r="I36" s="112" t="s">
        <v>20</v>
      </c>
      <c r="J36" s="110">
        <v>10</v>
      </c>
      <c r="K36" s="113">
        <v>80.459002517562197</v>
      </c>
      <c r="L36" s="110" t="s">
        <v>26</v>
      </c>
      <c r="M36" s="113">
        <v>5.9657711999999989</v>
      </c>
      <c r="N36" s="118">
        <v>0.89166666666666672</v>
      </c>
      <c r="O36" s="111" t="s">
        <v>57</v>
      </c>
      <c r="P36" s="111">
        <v>10</v>
      </c>
      <c r="Q36" s="115">
        <v>0.94606741573033704</v>
      </c>
      <c r="R36" s="115" t="s">
        <v>62</v>
      </c>
      <c r="S36" s="119">
        <v>15</v>
      </c>
      <c r="T36" s="115">
        <v>0.12588453551792131</v>
      </c>
      <c r="U36" s="119">
        <v>16</v>
      </c>
      <c r="V36" s="110">
        <v>10</v>
      </c>
      <c r="W36" s="120">
        <v>73.965771200000006</v>
      </c>
      <c r="X36" s="112" t="s">
        <v>85</v>
      </c>
      <c r="Y36" s="112" t="s">
        <v>30</v>
      </c>
      <c r="Z36" s="110">
        <v>9</v>
      </c>
      <c r="AA36" s="110">
        <v>1</v>
      </c>
      <c r="AB36" s="182" t="s">
        <v>107</v>
      </c>
    </row>
    <row r="37" spans="1:28">
      <c r="A37" s="178" t="s">
        <v>130</v>
      </c>
      <c r="B37" s="110" t="s">
        <v>32</v>
      </c>
      <c r="C37" s="173" t="s">
        <v>167</v>
      </c>
      <c r="D37" s="204" t="s">
        <v>192</v>
      </c>
      <c r="E37" s="116">
        <v>100</v>
      </c>
      <c r="F37" s="117" t="s">
        <v>18</v>
      </c>
      <c r="G37" s="117">
        <v>10</v>
      </c>
      <c r="H37" s="115">
        <v>0.46</v>
      </c>
      <c r="I37" s="110" t="s">
        <v>131</v>
      </c>
      <c r="J37" s="110">
        <v>5</v>
      </c>
      <c r="K37" s="113">
        <v>269.09427758787155</v>
      </c>
      <c r="L37" s="110" t="s">
        <v>26</v>
      </c>
      <c r="M37" s="113">
        <v>1.7837614545454543</v>
      </c>
      <c r="N37" s="118">
        <v>0.88888888888888884</v>
      </c>
      <c r="O37" s="111" t="s">
        <v>57</v>
      </c>
      <c r="P37" s="111">
        <v>10</v>
      </c>
      <c r="Q37" s="115">
        <v>0</v>
      </c>
      <c r="R37" s="115" t="s">
        <v>113</v>
      </c>
      <c r="S37" s="119">
        <v>0</v>
      </c>
      <c r="T37" s="115">
        <v>0.12000419386678551</v>
      </c>
      <c r="U37" s="119">
        <v>21</v>
      </c>
      <c r="V37" s="110">
        <v>10</v>
      </c>
      <c r="W37" s="120">
        <v>60.783761454545456</v>
      </c>
      <c r="X37" s="112" t="s">
        <v>117</v>
      </c>
      <c r="Y37" s="112" t="s">
        <v>118</v>
      </c>
      <c r="Z37" s="110">
        <v>18</v>
      </c>
      <c r="AA37" s="110" t="s">
        <v>107</v>
      </c>
      <c r="AB37" s="182" t="s">
        <v>107</v>
      </c>
    </row>
    <row r="38" spans="1:28">
      <c r="A38" s="176" t="s">
        <v>95</v>
      </c>
      <c r="B38" s="159" t="s">
        <v>32</v>
      </c>
      <c r="C38" s="160" t="s">
        <v>166</v>
      </c>
      <c r="D38" s="204" t="s">
        <v>192</v>
      </c>
      <c r="E38" s="167">
        <v>91.3</v>
      </c>
      <c r="F38" s="159" t="s">
        <v>19</v>
      </c>
      <c r="G38" s="159">
        <v>7</v>
      </c>
      <c r="H38" s="162">
        <v>0.81</v>
      </c>
      <c r="I38" s="163" t="s">
        <v>20</v>
      </c>
      <c r="J38" s="159">
        <v>10</v>
      </c>
      <c r="K38" s="159">
        <v>8.5</v>
      </c>
      <c r="L38" s="164" t="s">
        <v>26</v>
      </c>
      <c r="M38" s="159">
        <v>10</v>
      </c>
      <c r="N38" s="165">
        <v>0.91</v>
      </c>
      <c r="O38" s="163" t="s">
        <v>93</v>
      </c>
      <c r="P38" s="159">
        <v>14</v>
      </c>
      <c r="Q38" s="165">
        <v>1</v>
      </c>
      <c r="R38" s="159" t="s">
        <v>17</v>
      </c>
      <c r="S38" s="166">
        <v>15</v>
      </c>
      <c r="T38" s="165">
        <v>0.21</v>
      </c>
      <c r="U38" s="163">
        <v>21</v>
      </c>
      <c r="V38" s="159">
        <v>10</v>
      </c>
      <c r="W38" s="167">
        <v>87</v>
      </c>
      <c r="X38" s="163" t="s">
        <v>28</v>
      </c>
      <c r="Y38" s="170" t="s">
        <v>29</v>
      </c>
      <c r="Z38" s="159">
        <v>11</v>
      </c>
      <c r="AA38" s="159">
        <v>3</v>
      </c>
      <c r="AB38" s="182">
        <v>93</v>
      </c>
    </row>
    <row r="39" spans="1:28">
      <c r="A39" s="177" t="s">
        <v>95</v>
      </c>
      <c r="B39" s="112" t="s">
        <v>32</v>
      </c>
      <c r="C39" s="172" t="s">
        <v>164</v>
      </c>
      <c r="D39" s="204" t="s">
        <v>192</v>
      </c>
      <c r="E39" s="151">
        <v>100</v>
      </c>
      <c r="F39" s="137" t="s">
        <v>18</v>
      </c>
      <c r="G39" s="137">
        <v>10</v>
      </c>
      <c r="H39" s="138">
        <v>0.66</v>
      </c>
      <c r="I39" s="110" t="s">
        <v>20</v>
      </c>
      <c r="J39" s="140">
        <v>10</v>
      </c>
      <c r="K39" s="144">
        <v>238.89376365286327</v>
      </c>
      <c r="L39" s="128" t="s">
        <v>26</v>
      </c>
      <c r="M39" s="142">
        <v>10</v>
      </c>
      <c r="N39" s="152">
        <v>0.94166666666666665</v>
      </c>
      <c r="O39" s="110" t="s">
        <v>93</v>
      </c>
      <c r="P39" s="110">
        <v>14</v>
      </c>
      <c r="Q39" s="115">
        <v>0.99886104783599083</v>
      </c>
      <c r="R39" s="110" t="s">
        <v>17</v>
      </c>
      <c r="S39" s="110">
        <v>15</v>
      </c>
      <c r="T39" s="145">
        <v>0.12956261311550538</v>
      </c>
      <c r="U39" s="109">
        <v>7</v>
      </c>
      <c r="V39" s="141">
        <v>10</v>
      </c>
      <c r="W39" s="120">
        <v>76</v>
      </c>
      <c r="X39" s="128" t="s">
        <v>85</v>
      </c>
      <c r="Y39" s="128" t="s">
        <v>30</v>
      </c>
      <c r="Z39" s="140">
        <v>15</v>
      </c>
      <c r="AA39" s="140">
        <v>5</v>
      </c>
      <c r="AB39" s="186">
        <v>83</v>
      </c>
    </row>
    <row r="40" spans="1:28">
      <c r="A40" s="174" t="s">
        <v>64</v>
      </c>
      <c r="B40" s="7" t="s">
        <v>22</v>
      </c>
      <c r="C40" s="156" t="s">
        <v>165</v>
      </c>
      <c r="D40" s="204" t="s">
        <v>192</v>
      </c>
      <c r="E40" s="30">
        <v>0.96799999999999997</v>
      </c>
      <c r="F40" s="2" t="s">
        <v>18</v>
      </c>
      <c r="G40" s="11">
        <v>10</v>
      </c>
      <c r="H40" s="23">
        <v>0.63265306122448983</v>
      </c>
      <c r="I40" s="2" t="s">
        <v>20</v>
      </c>
      <c r="J40" s="2">
        <v>10</v>
      </c>
      <c r="K40" s="6" t="s">
        <v>59</v>
      </c>
      <c r="L40" s="24">
        <v>10</v>
      </c>
      <c r="M40" s="8">
        <v>10</v>
      </c>
      <c r="N40" s="4">
        <v>0.97</v>
      </c>
      <c r="O40" s="9" t="s">
        <v>62</v>
      </c>
      <c r="P40" s="9">
        <v>20</v>
      </c>
      <c r="Q40" s="10">
        <v>1</v>
      </c>
      <c r="R40" s="9" t="s">
        <v>17</v>
      </c>
      <c r="S40" s="9">
        <v>15</v>
      </c>
      <c r="T40" s="23">
        <v>0.27434431681227806</v>
      </c>
      <c r="U40" s="7">
        <v>5</v>
      </c>
      <c r="V40" s="7">
        <v>7</v>
      </c>
      <c r="W40" s="8">
        <v>93</v>
      </c>
      <c r="X40" s="6" t="s">
        <v>28</v>
      </c>
      <c r="Y40" s="7" t="s">
        <v>29</v>
      </c>
      <c r="Z40" s="7">
        <v>3</v>
      </c>
      <c r="AA40" s="7">
        <v>4</v>
      </c>
      <c r="AB40" s="181">
        <v>90</v>
      </c>
    </row>
    <row r="41" spans="1:28">
      <c r="A41" s="177" t="s">
        <v>158</v>
      </c>
      <c r="B41" s="127" t="s">
        <v>156</v>
      </c>
      <c r="C41" s="172" t="s">
        <v>164</v>
      </c>
      <c r="D41" s="204" t="s">
        <v>192</v>
      </c>
      <c r="E41" s="151">
        <v>95.8</v>
      </c>
      <c r="F41" s="137" t="s">
        <v>18</v>
      </c>
      <c r="G41" s="137">
        <v>10</v>
      </c>
      <c r="H41" s="138">
        <v>0.71</v>
      </c>
      <c r="I41" s="110" t="s">
        <v>20</v>
      </c>
      <c r="J41" s="140">
        <v>10</v>
      </c>
      <c r="K41" s="144">
        <v>45.120610211132501</v>
      </c>
      <c r="L41" s="128" t="s">
        <v>82</v>
      </c>
      <c r="M41" s="142">
        <v>10.638153999999998</v>
      </c>
      <c r="N41" s="152">
        <v>0.87962962962962965</v>
      </c>
      <c r="O41" s="110" t="s">
        <v>159</v>
      </c>
      <c r="P41" s="110">
        <v>10</v>
      </c>
      <c r="Q41" s="115">
        <v>1</v>
      </c>
      <c r="R41" s="110" t="s">
        <v>17</v>
      </c>
      <c r="S41" s="110">
        <v>15</v>
      </c>
      <c r="T41" s="145">
        <v>0.10194096298363421</v>
      </c>
      <c r="U41" s="109">
        <v>17</v>
      </c>
      <c r="V41" s="141">
        <v>5</v>
      </c>
      <c r="W41" s="120">
        <v>77</v>
      </c>
      <c r="X41" s="128" t="s">
        <v>85</v>
      </c>
      <c r="Y41" s="128" t="s">
        <v>30</v>
      </c>
      <c r="Z41" s="140">
        <v>13</v>
      </c>
      <c r="AA41" s="140">
        <v>6</v>
      </c>
      <c r="AB41" s="184">
        <v>80</v>
      </c>
    </row>
    <row r="42" spans="1:28">
      <c r="A42" s="177" t="s">
        <v>150</v>
      </c>
      <c r="B42" s="112" t="s">
        <v>32</v>
      </c>
      <c r="C42" s="172" t="s">
        <v>164</v>
      </c>
      <c r="D42" s="204" t="s">
        <v>192</v>
      </c>
      <c r="E42" s="151">
        <v>100</v>
      </c>
      <c r="F42" s="137" t="s">
        <v>18</v>
      </c>
      <c r="G42" s="137">
        <v>10</v>
      </c>
      <c r="H42" s="138">
        <v>0.6</v>
      </c>
      <c r="I42" s="110" t="s">
        <v>20</v>
      </c>
      <c r="J42" s="140">
        <v>10</v>
      </c>
      <c r="K42" s="144">
        <v>0</v>
      </c>
      <c r="L42" s="128" t="s">
        <v>26</v>
      </c>
      <c r="M42" s="142">
        <v>10</v>
      </c>
      <c r="N42" s="152">
        <v>1</v>
      </c>
      <c r="O42" s="110" t="s">
        <v>17</v>
      </c>
      <c r="P42" s="110">
        <v>20</v>
      </c>
      <c r="Q42" s="115">
        <v>1</v>
      </c>
      <c r="R42" s="110" t="s">
        <v>17</v>
      </c>
      <c r="S42" s="110">
        <v>15</v>
      </c>
      <c r="T42" s="145">
        <v>0.11987244938228114</v>
      </c>
      <c r="U42" s="109">
        <v>10</v>
      </c>
      <c r="V42" s="141">
        <v>10</v>
      </c>
      <c r="W42" s="120">
        <v>85</v>
      </c>
      <c r="X42" s="128" t="s">
        <v>28</v>
      </c>
      <c r="Y42" s="128" t="s">
        <v>29</v>
      </c>
      <c r="Z42" s="140">
        <v>6</v>
      </c>
      <c r="AA42" s="140" t="s">
        <v>107</v>
      </c>
      <c r="AB42" s="184" t="s">
        <v>107</v>
      </c>
    </row>
    <row r="43" spans="1:28">
      <c r="A43" s="174" t="s">
        <v>70</v>
      </c>
      <c r="B43" s="7" t="s">
        <v>22</v>
      </c>
      <c r="C43" s="156" t="s">
        <v>165</v>
      </c>
      <c r="D43" s="204" t="s">
        <v>192</v>
      </c>
      <c r="E43" s="31">
        <v>0.996</v>
      </c>
      <c r="F43" s="2" t="s">
        <v>18</v>
      </c>
      <c r="G43" s="11">
        <v>10</v>
      </c>
      <c r="H43" s="23">
        <v>0.54545454545454541</v>
      </c>
      <c r="I43" s="11" t="s">
        <v>52</v>
      </c>
      <c r="J43" s="2">
        <v>7</v>
      </c>
      <c r="K43" s="6" t="s">
        <v>59</v>
      </c>
      <c r="L43" s="24">
        <v>10</v>
      </c>
      <c r="M43" s="8">
        <v>10</v>
      </c>
      <c r="N43" s="4">
        <v>0.9</v>
      </c>
      <c r="O43" s="9" t="s">
        <v>27</v>
      </c>
      <c r="P43" s="9">
        <v>14</v>
      </c>
      <c r="Q43" s="10">
        <v>1</v>
      </c>
      <c r="R43" s="9" t="s">
        <v>17</v>
      </c>
      <c r="S43" s="9">
        <v>15</v>
      </c>
      <c r="T43" s="23">
        <v>0.28826903283602801</v>
      </c>
      <c r="U43" s="7">
        <v>9</v>
      </c>
      <c r="V43" s="7">
        <v>10</v>
      </c>
      <c r="W43" s="8">
        <v>83</v>
      </c>
      <c r="X43" s="6" t="s">
        <v>63</v>
      </c>
      <c r="Y43" s="7" t="s">
        <v>30</v>
      </c>
      <c r="Z43" s="7">
        <v>6</v>
      </c>
      <c r="AA43" s="7">
        <v>12</v>
      </c>
      <c r="AB43" s="181">
        <v>81</v>
      </c>
    </row>
    <row r="44" spans="1:28">
      <c r="A44" s="175" t="s">
        <v>41</v>
      </c>
      <c r="B44" s="2" t="s">
        <v>32</v>
      </c>
      <c r="C44" s="156" t="s">
        <v>165</v>
      </c>
      <c r="D44" s="204" t="s">
        <v>192</v>
      </c>
      <c r="E44" s="3">
        <v>0.96599999999999997</v>
      </c>
      <c r="F44" s="2" t="s">
        <v>18</v>
      </c>
      <c r="G44" s="2">
        <v>10</v>
      </c>
      <c r="H44" s="4">
        <v>0.56390977443609025</v>
      </c>
      <c r="I44" s="2" t="s">
        <v>52</v>
      </c>
      <c r="J44" s="2">
        <v>7</v>
      </c>
      <c r="K44" s="5">
        <v>24</v>
      </c>
      <c r="L44" s="6" t="s">
        <v>59</v>
      </c>
      <c r="M44" s="7">
        <v>10</v>
      </c>
      <c r="N44" s="18">
        <v>0.98022131659646217</v>
      </c>
      <c r="O44" s="9" t="s">
        <v>17</v>
      </c>
      <c r="P44" s="9">
        <v>20</v>
      </c>
      <c r="Q44" s="10">
        <v>1</v>
      </c>
      <c r="R44" s="9" t="s">
        <v>17</v>
      </c>
      <c r="S44" s="9">
        <v>15</v>
      </c>
      <c r="T44" s="13">
        <v>0.22236067384977526</v>
      </c>
      <c r="U44" s="2">
        <v>3</v>
      </c>
      <c r="V44" s="7">
        <v>10</v>
      </c>
      <c r="W44" s="8">
        <v>95</v>
      </c>
      <c r="X44" s="6" t="s">
        <v>28</v>
      </c>
      <c r="Y44" s="7" t="s">
        <v>29</v>
      </c>
      <c r="Z44" s="7">
        <v>2</v>
      </c>
      <c r="AA44" s="7">
        <v>4</v>
      </c>
      <c r="AB44" s="179">
        <v>92</v>
      </c>
    </row>
    <row r="45" spans="1:28">
      <c r="A45" s="178" t="s">
        <v>128</v>
      </c>
      <c r="B45" s="110" t="s">
        <v>102</v>
      </c>
      <c r="C45" s="173" t="s">
        <v>167</v>
      </c>
      <c r="D45" s="204" t="s">
        <v>192</v>
      </c>
      <c r="E45" s="116">
        <v>89.956128646742599</v>
      </c>
      <c r="F45" s="117" t="s">
        <v>18</v>
      </c>
      <c r="G45" s="117">
        <v>10</v>
      </c>
      <c r="H45" s="115">
        <v>0.57999999999999996</v>
      </c>
      <c r="I45" s="112" t="s">
        <v>92</v>
      </c>
      <c r="J45" s="110">
        <v>7</v>
      </c>
      <c r="K45" s="113">
        <v>334.34025473384008</v>
      </c>
      <c r="L45" s="110" t="s">
        <v>26</v>
      </c>
      <c r="M45" s="113">
        <v>1.4356632</v>
      </c>
      <c r="N45" s="118">
        <v>0.91</v>
      </c>
      <c r="O45" s="109" t="s">
        <v>27</v>
      </c>
      <c r="P45" s="111">
        <v>14</v>
      </c>
      <c r="Q45" s="115">
        <v>0.89534883720930236</v>
      </c>
      <c r="R45" s="115" t="s">
        <v>27</v>
      </c>
      <c r="S45" s="121">
        <v>10.5</v>
      </c>
      <c r="T45" s="115">
        <v>0.20337746604845408</v>
      </c>
      <c r="U45" s="119">
        <v>5</v>
      </c>
      <c r="V45" s="110">
        <v>10</v>
      </c>
      <c r="W45" s="120">
        <v>60.9356632</v>
      </c>
      <c r="X45" s="112" t="s">
        <v>117</v>
      </c>
      <c r="Y45" s="112" t="s">
        <v>118</v>
      </c>
      <c r="Z45" s="110">
        <v>17</v>
      </c>
      <c r="AA45" s="110" t="s">
        <v>107</v>
      </c>
      <c r="AB45" s="182" t="s">
        <v>107</v>
      </c>
    </row>
    <row r="46" spans="1:28">
      <c r="A46" s="176" t="s">
        <v>169</v>
      </c>
      <c r="B46" s="159" t="s">
        <v>32</v>
      </c>
      <c r="C46" s="160" t="s">
        <v>166</v>
      </c>
      <c r="D46" s="204" t="s">
        <v>192</v>
      </c>
      <c r="E46" s="161">
        <v>100.7</v>
      </c>
      <c r="F46" s="159" t="s">
        <v>18</v>
      </c>
      <c r="G46" s="159">
        <v>10</v>
      </c>
      <c r="H46" s="162">
        <v>1</v>
      </c>
      <c r="I46" s="163" t="s">
        <v>20</v>
      </c>
      <c r="J46" s="159">
        <v>10</v>
      </c>
      <c r="K46" s="159">
        <v>0</v>
      </c>
      <c r="L46" s="164" t="s">
        <v>170</v>
      </c>
      <c r="M46" s="159">
        <v>10</v>
      </c>
      <c r="N46" s="165">
        <v>1</v>
      </c>
      <c r="O46" s="163" t="s">
        <v>17</v>
      </c>
      <c r="P46" s="159">
        <v>20</v>
      </c>
      <c r="Q46" s="165">
        <v>1</v>
      </c>
      <c r="R46" s="159" t="s">
        <v>17</v>
      </c>
      <c r="S46" s="166">
        <v>15</v>
      </c>
      <c r="T46" s="165">
        <v>0.22</v>
      </c>
      <c r="U46" s="163">
        <v>20</v>
      </c>
      <c r="V46" s="159">
        <v>10</v>
      </c>
      <c r="W46" s="167">
        <v>95</v>
      </c>
      <c r="X46" s="159" t="s">
        <v>33</v>
      </c>
      <c r="Y46" s="171" t="s">
        <v>34</v>
      </c>
      <c r="Z46" s="159">
        <v>3</v>
      </c>
      <c r="AA46" s="159">
        <v>1</v>
      </c>
      <c r="AB46" s="182">
        <v>95</v>
      </c>
    </row>
    <row r="47" spans="1:28">
      <c r="A47" s="177" t="s">
        <v>162</v>
      </c>
      <c r="B47" s="112" t="s">
        <v>32</v>
      </c>
      <c r="C47" s="172" t="s">
        <v>164</v>
      </c>
      <c r="D47" s="204" t="s">
        <v>192</v>
      </c>
      <c r="E47" s="151">
        <v>44</v>
      </c>
      <c r="F47" s="137" t="s">
        <v>89</v>
      </c>
      <c r="G47" s="137">
        <v>4</v>
      </c>
      <c r="H47" s="138">
        <v>0.7</v>
      </c>
      <c r="I47" s="110" t="s">
        <v>20</v>
      </c>
      <c r="J47" s="140">
        <v>10</v>
      </c>
      <c r="K47" s="144">
        <v>0</v>
      </c>
      <c r="L47" s="128" t="s">
        <v>26</v>
      </c>
      <c r="M47" s="142">
        <v>10</v>
      </c>
      <c r="N47" s="152">
        <v>0.58333333333333337</v>
      </c>
      <c r="O47" s="110" t="s">
        <v>113</v>
      </c>
      <c r="P47" s="110">
        <v>0</v>
      </c>
      <c r="Q47" s="115">
        <v>0.54545454545454541</v>
      </c>
      <c r="R47" s="110" t="s">
        <v>113</v>
      </c>
      <c r="S47" s="110">
        <v>0</v>
      </c>
      <c r="T47" s="145">
        <v>0.11310436812270756</v>
      </c>
      <c r="U47" s="109">
        <v>12</v>
      </c>
      <c r="V47" s="141">
        <v>5</v>
      </c>
      <c r="W47" s="120">
        <v>41</v>
      </c>
      <c r="X47" s="128" t="s">
        <v>136</v>
      </c>
      <c r="Y47" s="128" t="s">
        <v>137</v>
      </c>
      <c r="Z47" s="140">
        <v>20</v>
      </c>
      <c r="AA47" s="110" t="s">
        <v>107</v>
      </c>
      <c r="AB47" s="184" t="s">
        <v>107</v>
      </c>
    </row>
    <row r="48" spans="1:28">
      <c r="A48" s="177" t="s">
        <v>123</v>
      </c>
      <c r="B48" s="112" t="s">
        <v>32</v>
      </c>
      <c r="C48" s="172" t="s">
        <v>164</v>
      </c>
      <c r="D48" s="204" t="s">
        <v>192</v>
      </c>
      <c r="E48" s="151">
        <v>100</v>
      </c>
      <c r="F48" s="137" t="s">
        <v>18</v>
      </c>
      <c r="G48" s="137">
        <v>10</v>
      </c>
      <c r="H48" s="138">
        <v>0.71</v>
      </c>
      <c r="I48" s="110" t="s">
        <v>20</v>
      </c>
      <c r="J48" s="140">
        <v>10</v>
      </c>
      <c r="K48" s="144">
        <v>40.775368089441592</v>
      </c>
      <c r="L48" s="128" t="s">
        <v>26</v>
      </c>
      <c r="M48" s="142">
        <v>10</v>
      </c>
      <c r="N48" s="152">
        <v>0.93333333333333335</v>
      </c>
      <c r="O48" s="110" t="s">
        <v>93</v>
      </c>
      <c r="P48" s="110">
        <v>14</v>
      </c>
      <c r="Q48" s="115">
        <v>1</v>
      </c>
      <c r="R48" s="110" t="s">
        <v>17</v>
      </c>
      <c r="S48" s="110">
        <v>15</v>
      </c>
      <c r="T48" s="145">
        <v>0.12954167712958711</v>
      </c>
      <c r="U48" s="109">
        <v>8</v>
      </c>
      <c r="V48" s="141">
        <v>10</v>
      </c>
      <c r="W48" s="120">
        <v>77</v>
      </c>
      <c r="X48" s="128" t="s">
        <v>85</v>
      </c>
      <c r="Y48" s="128" t="s">
        <v>30</v>
      </c>
      <c r="Z48" s="140">
        <v>14</v>
      </c>
      <c r="AA48" s="140">
        <v>9</v>
      </c>
      <c r="AB48" s="186">
        <v>78</v>
      </c>
    </row>
    <row r="49" spans="1:28">
      <c r="A49" s="178" t="s">
        <v>123</v>
      </c>
      <c r="B49" s="110" t="s">
        <v>32</v>
      </c>
      <c r="C49" s="173" t="s">
        <v>167</v>
      </c>
      <c r="D49" s="204" t="s">
        <v>192</v>
      </c>
      <c r="E49" s="116">
        <v>92.266537762103326</v>
      </c>
      <c r="F49" s="117" t="s">
        <v>18</v>
      </c>
      <c r="G49" s="117">
        <v>10</v>
      </c>
      <c r="H49" s="115">
        <v>0.6</v>
      </c>
      <c r="I49" s="112" t="s">
        <v>92</v>
      </c>
      <c r="J49" s="110">
        <v>7</v>
      </c>
      <c r="K49" s="113">
        <v>401.32156123420378</v>
      </c>
      <c r="L49" s="110" t="s">
        <v>26</v>
      </c>
      <c r="M49" s="113">
        <v>1.1960483720930233</v>
      </c>
      <c r="N49" s="118">
        <v>0.89473684210526316</v>
      </c>
      <c r="O49" s="111" t="s">
        <v>57</v>
      </c>
      <c r="P49" s="111">
        <v>10</v>
      </c>
      <c r="Q49" s="115">
        <v>0</v>
      </c>
      <c r="R49" s="115" t="s">
        <v>113</v>
      </c>
      <c r="S49" s="119">
        <v>0</v>
      </c>
      <c r="T49" s="115">
        <v>0.11173528280107735</v>
      </c>
      <c r="U49" s="119">
        <v>24</v>
      </c>
      <c r="V49" s="110">
        <v>10</v>
      </c>
      <c r="W49" s="120">
        <v>65.196048372093031</v>
      </c>
      <c r="X49" s="112" t="s">
        <v>117</v>
      </c>
      <c r="Y49" s="112" t="s">
        <v>118</v>
      </c>
      <c r="Z49" s="110">
        <v>13</v>
      </c>
      <c r="AA49" s="110">
        <v>17</v>
      </c>
      <c r="AB49" s="182" t="s">
        <v>107</v>
      </c>
    </row>
    <row r="50" spans="1:28">
      <c r="A50" s="175" t="s">
        <v>47</v>
      </c>
      <c r="B50" s="2" t="s">
        <v>32</v>
      </c>
      <c r="C50" s="156" t="s">
        <v>165</v>
      </c>
      <c r="D50" s="204" t="s">
        <v>192</v>
      </c>
      <c r="E50" s="14">
        <v>1</v>
      </c>
      <c r="F50" s="2" t="s">
        <v>18</v>
      </c>
      <c r="G50" s="2">
        <v>10</v>
      </c>
      <c r="H50" s="4">
        <v>0.546875</v>
      </c>
      <c r="I50" s="2" t="s">
        <v>52</v>
      </c>
      <c r="J50" s="2">
        <v>7</v>
      </c>
      <c r="K50" s="5">
        <v>48</v>
      </c>
      <c r="L50" s="6" t="s">
        <v>59</v>
      </c>
      <c r="M50" s="7">
        <v>10</v>
      </c>
      <c r="N50" s="18">
        <v>1</v>
      </c>
      <c r="O50" s="9" t="s">
        <v>17</v>
      </c>
      <c r="P50" s="9">
        <v>20</v>
      </c>
      <c r="Q50" s="10">
        <v>0.85</v>
      </c>
      <c r="R50" s="9" t="s">
        <v>57</v>
      </c>
      <c r="S50" s="9">
        <v>7.5</v>
      </c>
      <c r="T50" s="13">
        <v>0.21509235913841862</v>
      </c>
      <c r="U50" s="2">
        <v>1</v>
      </c>
      <c r="V50" s="7">
        <v>7</v>
      </c>
      <c r="W50" s="8">
        <v>86.5</v>
      </c>
      <c r="X50" s="6" t="s">
        <v>28</v>
      </c>
      <c r="Y50" s="7" t="s">
        <v>29</v>
      </c>
      <c r="Z50" s="7">
        <v>7</v>
      </c>
      <c r="AA50" s="7">
        <v>8</v>
      </c>
      <c r="AB50" s="179">
        <v>83</v>
      </c>
    </row>
    <row r="51" spans="1:28">
      <c r="A51" s="176" t="s">
        <v>80</v>
      </c>
      <c r="B51" s="159" t="s">
        <v>81</v>
      </c>
      <c r="C51" s="160" t="s">
        <v>166</v>
      </c>
      <c r="D51" s="204" t="s">
        <v>192</v>
      </c>
      <c r="E51" s="161">
        <v>96.1</v>
      </c>
      <c r="F51" s="159" t="s">
        <v>18</v>
      </c>
      <c r="G51" s="159">
        <v>10</v>
      </c>
      <c r="H51" s="162">
        <v>0.64</v>
      </c>
      <c r="I51" s="163" t="s">
        <v>20</v>
      </c>
      <c r="J51" s="159">
        <v>10</v>
      </c>
      <c r="K51" s="159">
        <v>80.3</v>
      </c>
      <c r="L51" s="164" t="s">
        <v>82</v>
      </c>
      <c r="M51" s="159">
        <v>9</v>
      </c>
      <c r="N51" s="165">
        <v>0.81</v>
      </c>
      <c r="O51" s="163" t="s">
        <v>83</v>
      </c>
      <c r="P51" s="159">
        <v>6</v>
      </c>
      <c r="Q51" s="165">
        <v>0.94</v>
      </c>
      <c r="R51" s="159" t="s">
        <v>27</v>
      </c>
      <c r="S51" s="166">
        <v>11</v>
      </c>
      <c r="T51" s="165">
        <v>0.21</v>
      </c>
      <c r="U51" s="163">
        <v>21</v>
      </c>
      <c r="V51" s="159">
        <v>10</v>
      </c>
      <c r="W51" s="167">
        <v>77</v>
      </c>
      <c r="X51" s="163" t="s">
        <v>85</v>
      </c>
      <c r="Y51" s="168" t="s">
        <v>30</v>
      </c>
      <c r="Z51" s="159">
        <v>21</v>
      </c>
      <c r="AA51" s="159">
        <v>12</v>
      </c>
      <c r="AB51" s="182">
        <v>71</v>
      </c>
    </row>
    <row r="52" spans="1:28">
      <c r="A52" s="177" t="s">
        <v>80</v>
      </c>
      <c r="B52" s="112" t="s">
        <v>32</v>
      </c>
      <c r="C52" s="172" t="s">
        <v>164</v>
      </c>
      <c r="D52" s="204" t="s">
        <v>192</v>
      </c>
      <c r="E52" s="151">
        <v>94.6</v>
      </c>
      <c r="F52" s="137" t="s">
        <v>19</v>
      </c>
      <c r="G52" s="139">
        <v>7</v>
      </c>
      <c r="H52" s="138">
        <v>0.68</v>
      </c>
      <c r="I52" s="110" t="s">
        <v>20</v>
      </c>
      <c r="J52" s="140">
        <v>10</v>
      </c>
      <c r="K52" s="144">
        <v>6.1613269526631402</v>
      </c>
      <c r="L52" s="128" t="s">
        <v>82</v>
      </c>
      <c r="M52" s="142">
        <v>77.905296000000007</v>
      </c>
      <c r="N52" s="152">
        <v>0.94696969696969702</v>
      </c>
      <c r="O52" s="110" t="s">
        <v>17</v>
      </c>
      <c r="P52" s="110">
        <v>20</v>
      </c>
      <c r="Q52" s="115">
        <v>0.89830508474576276</v>
      </c>
      <c r="R52" s="110" t="s">
        <v>27</v>
      </c>
      <c r="S52" s="110">
        <v>10.5</v>
      </c>
      <c r="T52" s="145">
        <v>7.9426442049637308E-2</v>
      </c>
      <c r="U52" s="109">
        <v>25</v>
      </c>
      <c r="V52" s="141">
        <v>5</v>
      </c>
      <c r="W52" s="120">
        <v>87.5</v>
      </c>
      <c r="X52" s="128" t="s">
        <v>28</v>
      </c>
      <c r="Y52" s="128" t="s">
        <v>29</v>
      </c>
      <c r="Z52" s="140">
        <v>4</v>
      </c>
      <c r="AA52" s="110">
        <v>7</v>
      </c>
      <c r="AB52" s="186">
        <v>79</v>
      </c>
    </row>
    <row r="53" spans="1:28">
      <c r="A53" s="178" t="s">
        <v>80</v>
      </c>
      <c r="B53" s="110" t="s">
        <v>32</v>
      </c>
      <c r="C53" s="173" t="s">
        <v>167</v>
      </c>
      <c r="D53" s="204" t="s">
        <v>192</v>
      </c>
      <c r="E53" s="116">
        <v>98.819919612743007</v>
      </c>
      <c r="F53" s="117" t="s">
        <v>18</v>
      </c>
      <c r="G53" s="117">
        <v>10</v>
      </c>
      <c r="H53" s="115">
        <v>0.59</v>
      </c>
      <c r="I53" s="112" t="s">
        <v>92</v>
      </c>
      <c r="J53" s="110">
        <v>7</v>
      </c>
      <c r="K53" s="113">
        <v>414.33888777631239</v>
      </c>
      <c r="L53" s="110" t="s">
        <v>26</v>
      </c>
      <c r="M53" s="113">
        <v>1.1584719999999995</v>
      </c>
      <c r="N53" s="118">
        <v>0.80263157894736847</v>
      </c>
      <c r="O53" s="111" t="s">
        <v>115</v>
      </c>
      <c r="P53" s="111">
        <v>6</v>
      </c>
      <c r="Q53" s="115">
        <v>0.85964912280701755</v>
      </c>
      <c r="R53" s="115" t="s">
        <v>57</v>
      </c>
      <c r="S53" s="119">
        <v>7.5</v>
      </c>
      <c r="T53" s="115">
        <v>0.28346074738862248</v>
      </c>
      <c r="U53" s="119">
        <v>3</v>
      </c>
      <c r="V53" s="110">
        <v>5</v>
      </c>
      <c r="W53" s="120">
        <v>42.658472000000003</v>
      </c>
      <c r="X53" s="112" t="s">
        <v>136</v>
      </c>
      <c r="Y53" s="112" t="s">
        <v>137</v>
      </c>
      <c r="Z53" s="110">
        <v>24</v>
      </c>
      <c r="AA53" s="110">
        <v>25</v>
      </c>
      <c r="AB53" s="182" t="s">
        <v>107</v>
      </c>
    </row>
    <row r="54" spans="1:28">
      <c r="A54" s="174" t="s">
        <v>67</v>
      </c>
      <c r="B54" s="7" t="s">
        <v>22</v>
      </c>
      <c r="C54" s="156" t="s">
        <v>165</v>
      </c>
      <c r="D54" s="204" t="s">
        <v>192</v>
      </c>
      <c r="E54" s="30">
        <v>0.96399999999999997</v>
      </c>
      <c r="F54" s="2" t="s">
        <v>18</v>
      </c>
      <c r="G54" s="2">
        <v>10</v>
      </c>
      <c r="H54" s="23">
        <v>0.66666666666666663</v>
      </c>
      <c r="I54" s="2" t="s">
        <v>20</v>
      </c>
      <c r="J54" s="2">
        <v>10</v>
      </c>
      <c r="K54" s="6" t="s">
        <v>59</v>
      </c>
      <c r="L54" s="24">
        <v>10</v>
      </c>
      <c r="M54" s="8">
        <v>10</v>
      </c>
      <c r="N54" s="4">
        <v>1</v>
      </c>
      <c r="O54" s="9" t="s">
        <v>62</v>
      </c>
      <c r="P54" s="9">
        <v>20</v>
      </c>
      <c r="Q54" s="10">
        <v>1</v>
      </c>
      <c r="R54" s="9" t="s">
        <v>56</v>
      </c>
      <c r="S54" s="9">
        <v>10.5</v>
      </c>
      <c r="T54" s="23">
        <v>0.26377727399517981</v>
      </c>
      <c r="U54" s="7">
        <v>2</v>
      </c>
      <c r="V54" s="7">
        <v>10</v>
      </c>
      <c r="W54" s="8">
        <v>94.5</v>
      </c>
      <c r="X54" s="6" t="s">
        <v>33</v>
      </c>
      <c r="Y54" s="7" t="s">
        <v>34</v>
      </c>
      <c r="Z54" s="7">
        <v>2</v>
      </c>
      <c r="AA54" s="7">
        <v>7</v>
      </c>
      <c r="AB54" s="181">
        <v>87</v>
      </c>
    </row>
    <row r="55" spans="1:28">
      <c r="A55" s="178" t="s">
        <v>67</v>
      </c>
      <c r="B55" s="110" t="s">
        <v>102</v>
      </c>
      <c r="C55" s="173" t="s">
        <v>167</v>
      </c>
      <c r="D55" s="204" t="s">
        <v>192</v>
      </c>
      <c r="E55" s="116">
        <v>97.678807625950753</v>
      </c>
      <c r="F55" s="117" t="s">
        <v>18</v>
      </c>
      <c r="G55" s="117">
        <v>10</v>
      </c>
      <c r="H55" s="115">
        <v>0.64</v>
      </c>
      <c r="I55" s="112" t="s">
        <v>20</v>
      </c>
      <c r="J55" s="110">
        <v>10</v>
      </c>
      <c r="K55" s="113">
        <v>510.27775611122229</v>
      </c>
      <c r="L55" s="110" t="s">
        <v>26</v>
      </c>
      <c r="M55" s="113">
        <v>0.94066416623376614</v>
      </c>
      <c r="N55" s="118">
        <v>0.97</v>
      </c>
      <c r="O55" s="111" t="s">
        <v>62</v>
      </c>
      <c r="P55" s="111">
        <v>20</v>
      </c>
      <c r="Q55" s="115">
        <v>0.8413793103448276</v>
      </c>
      <c r="R55" s="115" t="s">
        <v>115</v>
      </c>
      <c r="S55" s="119">
        <v>4.5</v>
      </c>
      <c r="T55" s="115">
        <v>0.14000000000000001</v>
      </c>
      <c r="U55" s="119">
        <v>12</v>
      </c>
      <c r="V55" s="110">
        <v>10</v>
      </c>
      <c r="W55" s="120">
        <v>67.440664166233773</v>
      </c>
      <c r="X55" s="112" t="s">
        <v>117</v>
      </c>
      <c r="Y55" s="112" t="s">
        <v>118</v>
      </c>
      <c r="Z55" s="110">
        <v>10</v>
      </c>
      <c r="AA55" s="110">
        <v>13</v>
      </c>
      <c r="AB55" s="182" t="s">
        <v>107</v>
      </c>
    </row>
    <row r="56" spans="1:28">
      <c r="A56" s="177" t="s">
        <v>157</v>
      </c>
      <c r="B56" s="127" t="s">
        <v>156</v>
      </c>
      <c r="C56" s="172" t="s">
        <v>164</v>
      </c>
      <c r="D56" s="204" t="s">
        <v>192</v>
      </c>
      <c r="E56" s="151">
        <v>96.3</v>
      </c>
      <c r="F56" s="137" t="s">
        <v>18</v>
      </c>
      <c r="G56" s="137">
        <v>10</v>
      </c>
      <c r="H56" s="145">
        <v>0.64</v>
      </c>
      <c r="I56" s="110" t="s">
        <v>20</v>
      </c>
      <c r="J56" s="140">
        <v>10</v>
      </c>
      <c r="K56" s="144">
        <v>362.37423248634263</v>
      </c>
      <c r="L56" s="128" t="s">
        <v>26</v>
      </c>
      <c r="M56" s="142">
        <v>10</v>
      </c>
      <c r="N56" s="152">
        <v>0.90692640692640691</v>
      </c>
      <c r="O56" s="110" t="s">
        <v>93</v>
      </c>
      <c r="P56" s="110">
        <v>14</v>
      </c>
      <c r="Q56" s="115">
        <v>0.94915254237288138</v>
      </c>
      <c r="R56" s="110" t="s">
        <v>17</v>
      </c>
      <c r="S56" s="110">
        <v>15</v>
      </c>
      <c r="T56" s="145">
        <v>0.10895389173577627</v>
      </c>
      <c r="U56" s="109">
        <v>14</v>
      </c>
      <c r="V56" s="141">
        <v>5</v>
      </c>
      <c r="W56" s="120">
        <v>78</v>
      </c>
      <c r="X56" s="128" t="s">
        <v>85</v>
      </c>
      <c r="Y56" s="128" t="s">
        <v>30</v>
      </c>
      <c r="Z56" s="140">
        <v>12</v>
      </c>
      <c r="AA56" s="140">
        <v>16</v>
      </c>
      <c r="AB56" s="186">
        <v>72</v>
      </c>
    </row>
    <row r="57" spans="1:28">
      <c r="A57" s="176" t="s">
        <v>96</v>
      </c>
      <c r="B57" s="159" t="s">
        <v>32</v>
      </c>
      <c r="C57" s="160" t="s">
        <v>166</v>
      </c>
      <c r="D57" s="204" t="s">
        <v>192</v>
      </c>
      <c r="E57" s="167">
        <v>90.2</v>
      </c>
      <c r="F57" s="159" t="s">
        <v>19</v>
      </c>
      <c r="G57" s="159">
        <v>7</v>
      </c>
      <c r="H57" s="162">
        <v>0.7</v>
      </c>
      <c r="I57" s="163" t="s">
        <v>20</v>
      </c>
      <c r="J57" s="159">
        <v>10</v>
      </c>
      <c r="K57" s="159">
        <v>70.599999999999994</v>
      </c>
      <c r="L57" s="164" t="s">
        <v>82</v>
      </c>
      <c r="M57" s="159">
        <v>9</v>
      </c>
      <c r="N57" s="165">
        <v>0.82</v>
      </c>
      <c r="O57" s="163" t="s">
        <v>83</v>
      </c>
      <c r="P57" s="159">
        <v>6</v>
      </c>
      <c r="Q57" s="165">
        <v>0.96</v>
      </c>
      <c r="R57" s="159" t="s">
        <v>17</v>
      </c>
      <c r="S57" s="166">
        <v>15</v>
      </c>
      <c r="T57" s="165">
        <v>0.24</v>
      </c>
      <c r="U57" s="163">
        <v>18</v>
      </c>
      <c r="V57" s="159">
        <v>9</v>
      </c>
      <c r="W57" s="167">
        <v>74</v>
      </c>
      <c r="X57" s="163" t="s">
        <v>85</v>
      </c>
      <c r="Y57" s="168" t="s">
        <v>30</v>
      </c>
      <c r="Z57" s="159">
        <v>22</v>
      </c>
      <c r="AA57" s="159">
        <v>9</v>
      </c>
      <c r="AB57" s="182">
        <v>80</v>
      </c>
    </row>
    <row r="58" spans="1:28">
      <c r="A58" s="177" t="s">
        <v>96</v>
      </c>
      <c r="B58" s="112" t="s">
        <v>81</v>
      </c>
      <c r="C58" s="172" t="s">
        <v>164</v>
      </c>
      <c r="D58" s="204" t="s">
        <v>192</v>
      </c>
      <c r="E58" s="151">
        <v>91</v>
      </c>
      <c r="F58" s="137" t="s">
        <v>19</v>
      </c>
      <c r="G58" s="139">
        <v>7</v>
      </c>
      <c r="H58" s="138">
        <v>0.73</v>
      </c>
      <c r="I58" s="110" t="s">
        <v>20</v>
      </c>
      <c r="J58" s="140">
        <v>10</v>
      </c>
      <c r="K58" s="144">
        <v>6.3387713631728753</v>
      </c>
      <c r="L58" s="128" t="s">
        <v>26</v>
      </c>
      <c r="M58" s="142">
        <v>10</v>
      </c>
      <c r="N58" s="152">
        <v>0.86879432624113473</v>
      </c>
      <c r="O58" s="110" t="s">
        <v>159</v>
      </c>
      <c r="P58" s="110">
        <v>10</v>
      </c>
      <c r="Q58" s="115">
        <v>1</v>
      </c>
      <c r="R58" s="110" t="s">
        <v>17</v>
      </c>
      <c r="S58" s="110">
        <v>15</v>
      </c>
      <c r="T58" s="145">
        <v>0.1390475454832171</v>
      </c>
      <c r="U58" s="109">
        <v>6</v>
      </c>
      <c r="V58" s="141">
        <v>5</v>
      </c>
      <c r="W58" s="120">
        <v>63</v>
      </c>
      <c r="X58" s="128" t="s">
        <v>117</v>
      </c>
      <c r="Y58" s="128" t="s">
        <v>118</v>
      </c>
      <c r="Z58" s="140">
        <v>19</v>
      </c>
      <c r="AA58" s="140">
        <v>20</v>
      </c>
      <c r="AB58" s="186">
        <v>51</v>
      </c>
    </row>
    <row r="59" spans="1:28">
      <c r="A59" s="178" t="s">
        <v>96</v>
      </c>
      <c r="B59" s="110" t="s">
        <v>32</v>
      </c>
      <c r="C59" s="173" t="s">
        <v>167</v>
      </c>
      <c r="D59" s="204" t="s">
        <v>192</v>
      </c>
      <c r="E59" s="116">
        <v>94.196594343246801</v>
      </c>
      <c r="F59" s="117" t="s">
        <v>18</v>
      </c>
      <c r="G59" s="117">
        <v>10</v>
      </c>
      <c r="H59" s="115">
        <v>0.61</v>
      </c>
      <c r="I59" s="112" t="s">
        <v>20</v>
      </c>
      <c r="J59" s="110">
        <v>10</v>
      </c>
      <c r="K59" s="113">
        <v>58.156440825821463</v>
      </c>
      <c r="L59" s="110" t="s">
        <v>26</v>
      </c>
      <c r="M59" s="113">
        <v>8.2535999999999987</v>
      </c>
      <c r="N59" s="118">
        <v>0.87735849056603776</v>
      </c>
      <c r="O59" s="111" t="s">
        <v>57</v>
      </c>
      <c r="P59" s="111">
        <v>10</v>
      </c>
      <c r="Q59" s="115">
        <v>0.90825688073394495</v>
      </c>
      <c r="R59" s="115" t="s">
        <v>27</v>
      </c>
      <c r="S59" s="121">
        <v>10.5</v>
      </c>
      <c r="T59" s="115">
        <v>0.12043153850638882</v>
      </c>
      <c r="U59" s="119">
        <v>20</v>
      </c>
      <c r="V59" s="110">
        <v>10</v>
      </c>
      <c r="W59" s="120">
        <v>78.753600000000006</v>
      </c>
      <c r="X59" s="112" t="s">
        <v>85</v>
      </c>
      <c r="Y59" s="112" t="s">
        <v>30</v>
      </c>
      <c r="Z59" s="110">
        <v>6</v>
      </c>
      <c r="AA59" s="110" t="s">
        <v>107</v>
      </c>
      <c r="AB59" s="182" t="s">
        <v>107</v>
      </c>
    </row>
    <row r="60" spans="1:28">
      <c r="A60" s="174" t="s">
        <v>69</v>
      </c>
      <c r="B60" s="7" t="s">
        <v>22</v>
      </c>
      <c r="C60" s="156" t="s">
        <v>165</v>
      </c>
      <c r="D60" s="204" t="s">
        <v>192</v>
      </c>
      <c r="E60" s="30">
        <v>0.96499999999999997</v>
      </c>
      <c r="F60" s="2" t="s">
        <v>18</v>
      </c>
      <c r="G60" s="2">
        <v>10</v>
      </c>
      <c r="H60" s="23">
        <v>0.67368421052631577</v>
      </c>
      <c r="I60" s="2" t="s">
        <v>20</v>
      </c>
      <c r="J60" s="2">
        <v>10</v>
      </c>
      <c r="K60" s="6" t="s">
        <v>59</v>
      </c>
      <c r="L60" s="24">
        <v>10</v>
      </c>
      <c r="M60" s="8">
        <v>10</v>
      </c>
      <c r="N60" s="4">
        <v>0.9</v>
      </c>
      <c r="O60" s="9" t="s">
        <v>27</v>
      </c>
      <c r="P60" s="9">
        <v>14</v>
      </c>
      <c r="Q60" s="10">
        <v>0.9</v>
      </c>
      <c r="R60" s="9" t="s">
        <v>56</v>
      </c>
      <c r="S60" s="9">
        <v>10.5</v>
      </c>
      <c r="T60" s="23">
        <v>0.26979038655369081</v>
      </c>
      <c r="U60" s="7">
        <v>4</v>
      </c>
      <c r="V60" s="7">
        <v>10</v>
      </c>
      <c r="W60" s="8">
        <v>86.5</v>
      </c>
      <c r="X60" s="6" t="s">
        <v>28</v>
      </c>
      <c r="Y60" s="7" t="s">
        <v>29</v>
      </c>
      <c r="Z60" s="7">
        <v>4</v>
      </c>
      <c r="AA60" s="7">
        <v>10</v>
      </c>
      <c r="AB60" s="181">
        <v>84</v>
      </c>
    </row>
    <row r="61" spans="1:28">
      <c r="A61" s="178" t="s">
        <v>101</v>
      </c>
      <c r="B61" s="110" t="s">
        <v>102</v>
      </c>
      <c r="C61" s="173" t="s">
        <v>167</v>
      </c>
      <c r="D61" s="204" t="s">
        <v>192</v>
      </c>
      <c r="E61" s="116">
        <v>97.892246008778386</v>
      </c>
      <c r="F61" s="117" t="s">
        <v>18</v>
      </c>
      <c r="G61" s="117">
        <v>10</v>
      </c>
      <c r="H61" s="115">
        <v>0.64</v>
      </c>
      <c r="I61" s="112" t="s">
        <v>20</v>
      </c>
      <c r="J61" s="110">
        <v>10</v>
      </c>
      <c r="K61" s="113">
        <v>46.806487004646947</v>
      </c>
      <c r="L61" s="110" t="s">
        <v>26</v>
      </c>
      <c r="M61" s="113">
        <v>10.2549888</v>
      </c>
      <c r="N61" s="118">
        <v>0.95</v>
      </c>
      <c r="O61" s="109" t="s">
        <v>62</v>
      </c>
      <c r="P61" s="111">
        <v>20</v>
      </c>
      <c r="Q61" s="115">
        <v>0.95934959349593496</v>
      </c>
      <c r="R61" s="115" t="s">
        <v>27</v>
      </c>
      <c r="S61" s="121">
        <v>15</v>
      </c>
      <c r="T61" s="115">
        <v>0.14000000000000001</v>
      </c>
      <c r="U61" s="119">
        <v>10</v>
      </c>
      <c r="V61" s="110">
        <v>10</v>
      </c>
      <c r="W61" s="120">
        <v>85.254988800000007</v>
      </c>
      <c r="X61" s="112" t="s">
        <v>28</v>
      </c>
      <c r="Y61" s="112" t="s">
        <v>29</v>
      </c>
      <c r="Z61" s="110">
        <v>2</v>
      </c>
      <c r="AA61" s="110">
        <v>3</v>
      </c>
      <c r="AB61" s="182" t="s">
        <v>107</v>
      </c>
    </row>
    <row r="62" spans="1:28">
      <c r="A62" s="177" t="s">
        <v>155</v>
      </c>
      <c r="B62" s="127" t="s">
        <v>156</v>
      </c>
      <c r="C62" s="172" t="s">
        <v>164</v>
      </c>
      <c r="D62" s="204" t="s">
        <v>192</v>
      </c>
      <c r="E62" s="151">
        <v>98.7</v>
      </c>
      <c r="F62" s="137" t="s">
        <v>18</v>
      </c>
      <c r="G62" s="137">
        <v>10</v>
      </c>
      <c r="H62" s="138">
        <v>0.68</v>
      </c>
      <c r="I62" s="110" t="s">
        <v>20</v>
      </c>
      <c r="J62" s="140">
        <v>10</v>
      </c>
      <c r="K62" s="144">
        <v>47.717873607568585</v>
      </c>
      <c r="L62" s="128" t="s">
        <v>26</v>
      </c>
      <c r="M62" s="142">
        <v>10</v>
      </c>
      <c r="N62" s="152">
        <v>0.89784946236559138</v>
      </c>
      <c r="O62" s="110" t="s">
        <v>93</v>
      </c>
      <c r="P62" s="110">
        <v>14</v>
      </c>
      <c r="Q62" s="115">
        <v>0.9652173913043478</v>
      </c>
      <c r="R62" s="110" t="s">
        <v>17</v>
      </c>
      <c r="S62" s="110">
        <v>15</v>
      </c>
      <c r="T62" s="145">
        <v>0.10955571923006899</v>
      </c>
      <c r="U62" s="109">
        <v>13</v>
      </c>
      <c r="V62" s="141">
        <v>7</v>
      </c>
      <c r="W62" s="120">
        <v>79</v>
      </c>
      <c r="X62" s="128" t="s">
        <v>85</v>
      </c>
      <c r="Y62" s="128" t="s">
        <v>30</v>
      </c>
      <c r="Z62" s="140">
        <v>11</v>
      </c>
      <c r="AA62" s="140">
        <v>10</v>
      </c>
      <c r="AB62" s="186">
        <v>77</v>
      </c>
    </row>
    <row r="63" spans="1:28">
      <c r="A63" s="174" t="s">
        <v>72</v>
      </c>
      <c r="B63" s="7" t="s">
        <v>22</v>
      </c>
      <c r="C63" s="156" t="s">
        <v>165</v>
      </c>
      <c r="D63" s="204" t="s">
        <v>192</v>
      </c>
      <c r="E63" s="30">
        <v>0.90400000000000003</v>
      </c>
      <c r="F63" s="2" t="s">
        <v>19</v>
      </c>
      <c r="G63" s="158">
        <v>7</v>
      </c>
      <c r="H63" s="23">
        <v>0.68786127167630062</v>
      </c>
      <c r="I63" s="2" t="s">
        <v>20</v>
      </c>
      <c r="J63" s="2">
        <v>10</v>
      </c>
      <c r="K63" s="6" t="s">
        <v>59</v>
      </c>
      <c r="L63" s="24">
        <v>10</v>
      </c>
      <c r="M63" s="8">
        <v>10</v>
      </c>
      <c r="N63" s="4">
        <v>0.89</v>
      </c>
      <c r="O63" s="9" t="s">
        <v>57</v>
      </c>
      <c r="P63" s="9">
        <v>10</v>
      </c>
      <c r="Q63" s="10">
        <v>1</v>
      </c>
      <c r="R63" s="9" t="s">
        <v>17</v>
      </c>
      <c r="S63" s="9">
        <v>15</v>
      </c>
      <c r="T63" s="23">
        <v>0.28623052992311204</v>
      </c>
      <c r="U63" s="7">
        <v>8</v>
      </c>
      <c r="V63" s="7">
        <v>10</v>
      </c>
      <c r="W63" s="8">
        <v>80</v>
      </c>
      <c r="X63" s="6" t="s">
        <v>63</v>
      </c>
      <c r="Y63" s="7" t="s">
        <v>30</v>
      </c>
      <c r="Z63" s="7">
        <v>10</v>
      </c>
      <c r="AA63" s="7">
        <v>2</v>
      </c>
      <c r="AB63" s="181">
        <v>95</v>
      </c>
    </row>
    <row r="64" spans="1:28">
      <c r="A64" s="178" t="s">
        <v>121</v>
      </c>
      <c r="B64" s="110" t="s">
        <v>102</v>
      </c>
      <c r="C64" s="173" t="s">
        <v>167</v>
      </c>
      <c r="D64" s="204" t="s">
        <v>192</v>
      </c>
      <c r="E64" s="116">
        <v>99.108729806885151</v>
      </c>
      <c r="F64" s="117" t="s">
        <v>18</v>
      </c>
      <c r="G64" s="117">
        <v>10</v>
      </c>
      <c r="H64" s="115">
        <v>0.55000000000000004</v>
      </c>
      <c r="I64" s="112" t="s">
        <v>92</v>
      </c>
      <c r="J64" s="110">
        <v>7</v>
      </c>
      <c r="K64" s="113">
        <v>620.54659319920324</v>
      </c>
      <c r="L64" s="110" t="s">
        <v>26</v>
      </c>
      <c r="M64" s="113">
        <v>0.77351161904761911</v>
      </c>
      <c r="N64" s="118">
        <v>0.9</v>
      </c>
      <c r="O64" s="111" t="s">
        <v>27</v>
      </c>
      <c r="P64" s="111">
        <v>14</v>
      </c>
      <c r="Q64" s="115">
        <v>0.91176470588235292</v>
      </c>
      <c r="R64" s="115" t="s">
        <v>27</v>
      </c>
      <c r="S64" s="121">
        <v>10.5</v>
      </c>
      <c r="T64" s="115">
        <v>0.13505098193774445</v>
      </c>
      <c r="U64" s="119">
        <v>13</v>
      </c>
      <c r="V64" s="110">
        <v>7</v>
      </c>
      <c r="W64" s="120">
        <v>65.273511619047611</v>
      </c>
      <c r="X64" s="112" t="s">
        <v>117</v>
      </c>
      <c r="Y64" s="112" t="s">
        <v>118</v>
      </c>
      <c r="Z64" s="110">
        <v>12</v>
      </c>
      <c r="AA64" s="110">
        <v>24</v>
      </c>
      <c r="AB64" s="182" t="s">
        <v>107</v>
      </c>
    </row>
    <row r="65" spans="1:28">
      <c r="A65" s="174" t="s">
        <v>66</v>
      </c>
      <c r="B65" s="7" t="s">
        <v>22</v>
      </c>
      <c r="C65" s="156" t="s">
        <v>165</v>
      </c>
      <c r="D65" s="204" t="s">
        <v>192</v>
      </c>
      <c r="E65" s="31">
        <v>1</v>
      </c>
      <c r="F65" s="2" t="s">
        <v>18</v>
      </c>
      <c r="G65" s="11">
        <v>10</v>
      </c>
      <c r="H65" s="23">
        <v>0.53982300884955747</v>
      </c>
      <c r="I65" s="11" t="s">
        <v>52</v>
      </c>
      <c r="J65" s="2">
        <v>7</v>
      </c>
      <c r="K65" s="6" t="s">
        <v>59</v>
      </c>
      <c r="L65" s="24">
        <v>10</v>
      </c>
      <c r="M65" s="8">
        <v>10</v>
      </c>
      <c r="N65" s="4">
        <v>1</v>
      </c>
      <c r="O65" s="9" t="s">
        <v>62</v>
      </c>
      <c r="P65" s="9">
        <v>20</v>
      </c>
      <c r="Q65" s="10">
        <v>1</v>
      </c>
      <c r="R65" s="9" t="s">
        <v>17</v>
      </c>
      <c r="S65" s="9">
        <v>15</v>
      </c>
      <c r="T65" s="23">
        <v>0.29652915816326531</v>
      </c>
      <c r="U65" s="7">
        <v>15</v>
      </c>
      <c r="V65" s="7">
        <v>10</v>
      </c>
      <c r="W65" s="8">
        <v>83</v>
      </c>
      <c r="X65" s="6" t="s">
        <v>63</v>
      </c>
      <c r="Y65" s="7" t="s">
        <v>30</v>
      </c>
      <c r="Z65" s="7">
        <v>6</v>
      </c>
      <c r="AA65" s="7">
        <v>6</v>
      </c>
      <c r="AB65" s="181">
        <v>89</v>
      </c>
    </row>
    <row r="66" spans="1:28">
      <c r="A66" s="177" t="s">
        <v>152</v>
      </c>
      <c r="B66" s="112" t="s">
        <v>81</v>
      </c>
      <c r="C66" s="172" t="s">
        <v>164</v>
      </c>
      <c r="D66" s="204" t="s">
        <v>192</v>
      </c>
      <c r="E66" s="151">
        <v>99.2</v>
      </c>
      <c r="F66" s="137" t="s">
        <v>18</v>
      </c>
      <c r="G66" s="137">
        <v>10</v>
      </c>
      <c r="H66" s="138">
        <v>0.63</v>
      </c>
      <c r="I66" s="110" t="s">
        <v>20</v>
      </c>
      <c r="J66" s="140">
        <v>10</v>
      </c>
      <c r="K66" s="144">
        <v>53.848304878824905</v>
      </c>
      <c r="L66" s="128" t="s">
        <v>26</v>
      </c>
      <c r="M66" s="142">
        <v>10</v>
      </c>
      <c r="N66" s="152">
        <v>0.97159090909090906</v>
      </c>
      <c r="O66" s="110" t="s">
        <v>17</v>
      </c>
      <c r="P66" s="110">
        <v>20</v>
      </c>
      <c r="Q66" s="115">
        <v>0.98412698412698407</v>
      </c>
      <c r="R66" s="110" t="s">
        <v>17</v>
      </c>
      <c r="S66" s="110">
        <v>15</v>
      </c>
      <c r="T66" s="145">
        <v>0.11938109756966783</v>
      </c>
      <c r="U66" s="109">
        <v>11</v>
      </c>
      <c r="V66" s="141">
        <v>7</v>
      </c>
      <c r="W66" s="120">
        <v>83</v>
      </c>
      <c r="X66" s="128" t="s">
        <v>85</v>
      </c>
      <c r="Y66" s="128" t="s">
        <v>30</v>
      </c>
      <c r="Z66" s="140">
        <v>8</v>
      </c>
      <c r="AA66" s="110">
        <v>11</v>
      </c>
      <c r="AB66" s="186">
        <v>77</v>
      </c>
    </row>
    <row r="67" spans="1:28">
      <c r="A67" s="178" t="s">
        <v>142</v>
      </c>
      <c r="B67" s="110" t="s">
        <v>102</v>
      </c>
      <c r="C67" s="173" t="s">
        <v>167</v>
      </c>
      <c r="D67" s="204" t="s">
        <v>192</v>
      </c>
      <c r="E67" s="116">
        <v>99.150697223952534</v>
      </c>
      <c r="F67" s="117" t="s">
        <v>18</v>
      </c>
      <c r="G67" s="117">
        <v>10</v>
      </c>
      <c r="H67" s="115">
        <v>0.56000000000000005</v>
      </c>
      <c r="I67" s="112" t="s">
        <v>92</v>
      </c>
      <c r="J67" s="110">
        <v>7</v>
      </c>
      <c r="K67" s="113">
        <v>204.91558331782232</v>
      </c>
      <c r="L67" s="110" t="s">
        <v>26</v>
      </c>
      <c r="M67" s="113">
        <v>2.3424280000000004</v>
      </c>
      <c r="N67" s="118">
        <v>0.8928571428571429</v>
      </c>
      <c r="O67" s="111" t="s">
        <v>57</v>
      </c>
      <c r="P67" s="111">
        <v>10</v>
      </c>
      <c r="Q67" s="115">
        <v>0</v>
      </c>
      <c r="R67" s="115" t="s">
        <v>113</v>
      </c>
      <c r="S67" s="119">
        <v>0</v>
      </c>
      <c r="T67" s="115">
        <v>0.18245322586424353</v>
      </c>
      <c r="U67" s="119">
        <v>6</v>
      </c>
      <c r="V67" s="110">
        <v>10</v>
      </c>
      <c r="W67" s="120">
        <v>48.342427999999998</v>
      </c>
      <c r="X67" s="112" t="s">
        <v>136</v>
      </c>
      <c r="Y67" s="112" t="s">
        <v>137</v>
      </c>
      <c r="Z67" s="110">
        <v>23</v>
      </c>
      <c r="AA67" s="110" t="s">
        <v>107</v>
      </c>
      <c r="AB67" s="182" t="s">
        <v>107</v>
      </c>
    </row>
    <row r="68" spans="1:28">
      <c r="A68" s="178" t="s">
        <v>108</v>
      </c>
      <c r="B68" s="110" t="s">
        <v>32</v>
      </c>
      <c r="C68" s="173" t="s">
        <v>167</v>
      </c>
      <c r="D68" s="204" t="s">
        <v>192</v>
      </c>
      <c r="E68" s="116">
        <v>94.515010739915823</v>
      </c>
      <c r="F68" s="117" t="s">
        <v>18</v>
      </c>
      <c r="G68" s="117">
        <v>10</v>
      </c>
      <c r="H68" s="115">
        <v>0.52</v>
      </c>
      <c r="I68" s="112" t="s">
        <v>92</v>
      </c>
      <c r="J68" s="110">
        <v>7</v>
      </c>
      <c r="K68" s="113">
        <v>970.42513863216266</v>
      </c>
      <c r="L68" s="110" t="s">
        <v>26</v>
      </c>
      <c r="M68" s="113">
        <v>0.49462857142857142</v>
      </c>
      <c r="N68" s="118">
        <v>0.96153846153846156</v>
      </c>
      <c r="O68" s="111" t="s">
        <v>62</v>
      </c>
      <c r="P68" s="111">
        <v>20</v>
      </c>
      <c r="Q68" s="115">
        <v>1</v>
      </c>
      <c r="R68" s="115" t="s">
        <v>62</v>
      </c>
      <c r="S68" s="119">
        <v>15</v>
      </c>
      <c r="T68" s="115">
        <v>0.12103661348071379</v>
      </c>
      <c r="U68" s="119">
        <v>19</v>
      </c>
      <c r="V68" s="110">
        <v>10</v>
      </c>
      <c r="W68" s="120">
        <v>79.494628571428564</v>
      </c>
      <c r="X68" s="112" t="s">
        <v>85</v>
      </c>
      <c r="Y68" s="112" t="s">
        <v>30</v>
      </c>
      <c r="Z68" s="110">
        <v>5</v>
      </c>
      <c r="AA68" s="110" t="s">
        <v>107</v>
      </c>
      <c r="AB68" s="182" t="s">
        <v>107</v>
      </c>
    </row>
    <row r="69" spans="1:28">
      <c r="A69" s="174" t="s">
        <v>71</v>
      </c>
      <c r="B69" s="7" t="s">
        <v>22</v>
      </c>
      <c r="C69" s="156" t="s">
        <v>165</v>
      </c>
      <c r="D69" s="204" t="s">
        <v>192</v>
      </c>
      <c r="E69" s="30">
        <v>0.96399999999999997</v>
      </c>
      <c r="F69" s="2" t="s">
        <v>18</v>
      </c>
      <c r="G69" s="11">
        <v>10</v>
      </c>
      <c r="H69" s="23">
        <v>0.67567567567567566</v>
      </c>
      <c r="I69" s="2" t="s">
        <v>20</v>
      </c>
      <c r="J69" s="2">
        <v>10</v>
      </c>
      <c r="K69" s="6" t="s">
        <v>59</v>
      </c>
      <c r="L69" s="24">
        <v>10</v>
      </c>
      <c r="M69" s="8">
        <v>10</v>
      </c>
      <c r="N69" s="4">
        <v>0.9</v>
      </c>
      <c r="O69" s="9" t="s">
        <v>27</v>
      </c>
      <c r="P69" s="9">
        <v>14</v>
      </c>
      <c r="Q69" s="10">
        <v>0.9</v>
      </c>
      <c r="R69" s="9" t="s">
        <v>56</v>
      </c>
      <c r="S69" s="9">
        <v>10.5</v>
      </c>
      <c r="T69" s="23">
        <v>0.2845783413928783</v>
      </c>
      <c r="U69" s="7">
        <v>7</v>
      </c>
      <c r="V69" s="7">
        <v>7</v>
      </c>
      <c r="W69" s="8">
        <v>80.5</v>
      </c>
      <c r="X69" s="6" t="s">
        <v>63</v>
      </c>
      <c r="Y69" s="7" t="s">
        <v>30</v>
      </c>
      <c r="Z69" s="7">
        <v>9</v>
      </c>
      <c r="AA69" s="7">
        <v>13</v>
      </c>
      <c r="AB69" s="181">
        <v>80</v>
      </c>
    </row>
    <row r="70" spans="1:28">
      <c r="A70" s="176" t="s">
        <v>86</v>
      </c>
      <c r="B70" s="159" t="s">
        <v>81</v>
      </c>
      <c r="C70" s="160" t="s">
        <v>166</v>
      </c>
      <c r="D70" s="204" t="s">
        <v>192</v>
      </c>
      <c r="E70" s="161">
        <v>96.7</v>
      </c>
      <c r="F70" s="159" t="s">
        <v>18</v>
      </c>
      <c r="G70" s="159">
        <v>10</v>
      </c>
      <c r="H70" s="162">
        <v>0.65</v>
      </c>
      <c r="I70" s="163" t="s">
        <v>20</v>
      </c>
      <c r="J70" s="159">
        <v>10</v>
      </c>
      <c r="K70" s="159">
        <v>74</v>
      </c>
      <c r="L70" s="164" t="s">
        <v>82</v>
      </c>
      <c r="M70" s="159">
        <v>9</v>
      </c>
      <c r="N70" s="165">
        <v>0.99</v>
      </c>
      <c r="O70" s="163" t="s">
        <v>17</v>
      </c>
      <c r="P70" s="159">
        <v>20</v>
      </c>
      <c r="Q70" s="165">
        <v>0.94</v>
      </c>
      <c r="R70" s="159" t="s">
        <v>27</v>
      </c>
      <c r="S70" s="166">
        <v>11</v>
      </c>
      <c r="T70" s="165">
        <v>0.26</v>
      </c>
      <c r="U70" s="163">
        <v>16</v>
      </c>
      <c r="V70" s="159">
        <v>9</v>
      </c>
      <c r="W70" s="167">
        <v>85</v>
      </c>
      <c r="X70" s="163" t="s">
        <v>85</v>
      </c>
      <c r="Y70" s="168" t="s">
        <v>30</v>
      </c>
      <c r="Z70" s="159">
        <v>14</v>
      </c>
      <c r="AA70" s="159">
        <v>7</v>
      </c>
      <c r="AB70" s="182">
        <v>75</v>
      </c>
    </row>
    <row r="71" spans="1:28">
      <c r="A71" s="178" t="s">
        <v>105</v>
      </c>
      <c r="B71" s="110" t="s">
        <v>106</v>
      </c>
      <c r="C71" s="173" t="s">
        <v>167</v>
      </c>
      <c r="D71" s="204" t="s">
        <v>192</v>
      </c>
      <c r="E71" s="116">
        <v>96.144572336627022</v>
      </c>
      <c r="F71" s="117" t="s">
        <v>18</v>
      </c>
      <c r="G71" s="117">
        <v>10</v>
      </c>
      <c r="H71" s="115">
        <v>0.57999999999999996</v>
      </c>
      <c r="I71" s="112" t="s">
        <v>92</v>
      </c>
      <c r="J71" s="110">
        <v>7</v>
      </c>
      <c r="K71" s="113">
        <v>918.53227201707239</v>
      </c>
      <c r="L71" s="110" t="s">
        <v>26</v>
      </c>
      <c r="M71" s="113">
        <v>0.52257282038216557</v>
      </c>
      <c r="N71" s="118">
        <v>0.94</v>
      </c>
      <c r="O71" s="109" t="s">
        <v>27</v>
      </c>
      <c r="P71" s="111">
        <v>14</v>
      </c>
      <c r="Q71" s="115">
        <v>0.963963963963964</v>
      </c>
      <c r="R71" s="115" t="s">
        <v>62</v>
      </c>
      <c r="S71" s="119">
        <v>15</v>
      </c>
      <c r="T71" s="115">
        <v>0.11536578021165365</v>
      </c>
      <c r="U71" s="119">
        <v>23</v>
      </c>
      <c r="V71" s="110">
        <v>10</v>
      </c>
      <c r="W71" s="120">
        <v>79.522572820382166</v>
      </c>
      <c r="X71" s="112" t="s">
        <v>85</v>
      </c>
      <c r="Y71" s="112" t="s">
        <v>30</v>
      </c>
      <c r="Z71" s="110">
        <v>4</v>
      </c>
      <c r="AA71" s="110" t="s">
        <v>107</v>
      </c>
      <c r="AB71" s="182" t="s">
        <v>107</v>
      </c>
    </row>
    <row r="72" spans="1:28">
      <c r="A72" s="177" t="s">
        <v>161</v>
      </c>
      <c r="B72" s="112" t="s">
        <v>81</v>
      </c>
      <c r="C72" s="172" t="s">
        <v>164</v>
      </c>
      <c r="D72" s="204" t="s">
        <v>192</v>
      </c>
      <c r="E72" s="151">
        <v>94.9</v>
      </c>
      <c r="F72" s="137" t="s">
        <v>19</v>
      </c>
      <c r="G72" s="139">
        <v>7</v>
      </c>
      <c r="H72" s="138">
        <v>0.59</v>
      </c>
      <c r="I72" s="128" t="s">
        <v>92</v>
      </c>
      <c r="J72" s="150">
        <v>7</v>
      </c>
      <c r="K72" s="144">
        <v>24.913565843523369</v>
      </c>
      <c r="L72" s="128" t="s">
        <v>26</v>
      </c>
      <c r="M72" s="142">
        <v>10</v>
      </c>
      <c r="N72" s="152">
        <v>0.90773809523809523</v>
      </c>
      <c r="O72" s="110" t="s">
        <v>93</v>
      </c>
      <c r="P72" s="110">
        <v>14</v>
      </c>
      <c r="Q72" s="115">
        <v>0.97619047619047616</v>
      </c>
      <c r="R72" s="110" t="s">
        <v>17</v>
      </c>
      <c r="S72" s="110">
        <v>15</v>
      </c>
      <c r="T72" s="145">
        <v>0.12869917163273245</v>
      </c>
      <c r="U72" s="109">
        <v>9</v>
      </c>
      <c r="V72" s="141">
        <v>5</v>
      </c>
      <c r="W72" s="120">
        <v>67</v>
      </c>
      <c r="X72" s="128" t="s">
        <v>117</v>
      </c>
      <c r="Y72" s="128" t="s">
        <v>118</v>
      </c>
      <c r="Z72" s="140">
        <v>18</v>
      </c>
      <c r="AA72" s="140">
        <v>13</v>
      </c>
      <c r="AB72" s="186">
        <v>74</v>
      </c>
    </row>
    <row r="73" spans="1:28">
      <c r="A73" s="175" t="s">
        <v>43</v>
      </c>
      <c r="B73" s="2" t="s">
        <v>32</v>
      </c>
      <c r="C73" s="156" t="s">
        <v>165</v>
      </c>
      <c r="D73" s="204" t="s">
        <v>192</v>
      </c>
      <c r="E73" s="13">
        <v>1</v>
      </c>
      <c r="F73" s="2" t="s">
        <v>18</v>
      </c>
      <c r="G73" s="2">
        <v>10</v>
      </c>
      <c r="H73" s="4">
        <v>0.53409090909090906</v>
      </c>
      <c r="I73" s="2" t="s">
        <v>52</v>
      </c>
      <c r="J73" s="2">
        <v>7</v>
      </c>
      <c r="K73" s="5">
        <v>45</v>
      </c>
      <c r="L73" s="6" t="s">
        <v>59</v>
      </c>
      <c r="M73" s="7">
        <v>10</v>
      </c>
      <c r="N73" s="18">
        <v>1</v>
      </c>
      <c r="O73" s="9" t="s">
        <v>17</v>
      </c>
      <c r="P73" s="9">
        <v>20</v>
      </c>
      <c r="Q73" s="10">
        <v>0.9</v>
      </c>
      <c r="R73" s="9" t="s">
        <v>56</v>
      </c>
      <c r="S73" s="9">
        <v>10.5</v>
      </c>
      <c r="T73" s="13">
        <v>0.24047165619074831</v>
      </c>
      <c r="U73" s="2">
        <v>9</v>
      </c>
      <c r="V73" s="7">
        <v>10</v>
      </c>
      <c r="W73" s="8">
        <v>84.5</v>
      </c>
      <c r="X73" s="6" t="s">
        <v>28</v>
      </c>
      <c r="Y73" s="7" t="s">
        <v>29</v>
      </c>
      <c r="Z73" s="7">
        <v>9</v>
      </c>
      <c r="AA73" s="7">
        <v>6</v>
      </c>
      <c r="AB73" s="179">
        <v>84.986486486486484</v>
      </c>
    </row>
    <row r="74" spans="1:28">
      <c r="A74" s="191" t="s">
        <v>43</v>
      </c>
      <c r="B74" s="192" t="s">
        <v>81</v>
      </c>
      <c r="C74" s="193" t="s">
        <v>166</v>
      </c>
      <c r="D74" s="204" t="s">
        <v>192</v>
      </c>
      <c r="E74" s="194">
        <v>95</v>
      </c>
      <c r="F74" s="192" t="s">
        <v>18</v>
      </c>
      <c r="G74" s="192">
        <v>10</v>
      </c>
      <c r="H74" s="195">
        <v>0.59</v>
      </c>
      <c r="I74" s="196" t="s">
        <v>92</v>
      </c>
      <c r="J74" s="192">
        <v>7</v>
      </c>
      <c r="K74" s="192">
        <v>11</v>
      </c>
      <c r="L74" s="197" t="s">
        <v>26</v>
      </c>
      <c r="M74" s="192">
        <v>10</v>
      </c>
      <c r="N74" s="198">
        <v>0.93</v>
      </c>
      <c r="O74" s="196" t="s">
        <v>93</v>
      </c>
      <c r="P74" s="192">
        <v>14</v>
      </c>
      <c r="Q74" s="198">
        <v>0.92</v>
      </c>
      <c r="R74" s="192" t="s">
        <v>27</v>
      </c>
      <c r="S74" s="199">
        <v>11</v>
      </c>
      <c r="T74" s="198">
        <v>0.19</v>
      </c>
      <c r="U74" s="196">
        <v>23</v>
      </c>
      <c r="V74" s="192">
        <v>9</v>
      </c>
      <c r="W74" s="200">
        <v>84</v>
      </c>
      <c r="X74" s="196" t="s">
        <v>85</v>
      </c>
      <c r="Y74" s="201" t="s">
        <v>30</v>
      </c>
      <c r="Z74" s="192">
        <v>15</v>
      </c>
      <c r="AA74" s="192">
        <v>4</v>
      </c>
      <c r="AB74" s="190">
        <v>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195FD-B712-409B-8955-A5BCE7769C35}">
  <dimension ref="A1:AD22"/>
  <sheetViews>
    <sheetView zoomScale="82" zoomScaleNormal="82" workbookViewId="0">
      <selection activeCell="Q25" sqref="Q25"/>
    </sheetView>
  </sheetViews>
  <sheetFormatPr defaultColWidth="9.109375" defaultRowHeight="14.4"/>
  <cols>
    <col min="1" max="1" width="29.6640625" style="16" customWidth="1"/>
    <col min="2" max="2" width="16.88671875" style="16" bestFit="1" customWidth="1"/>
    <col min="3" max="3" width="12.109375" style="16" customWidth="1"/>
    <col min="4" max="5" width="7" style="16" customWidth="1"/>
    <col min="6" max="6" width="8.6640625" style="16" customWidth="1"/>
    <col min="7" max="7" width="12.5546875" style="16" customWidth="1"/>
    <col min="8" max="8" width="7.109375" style="16" customWidth="1"/>
    <col min="9" max="9" width="6.88671875" style="16" customWidth="1"/>
    <col min="10" max="10" width="8.88671875" style="16" customWidth="1"/>
    <col min="11" max="11" width="9.109375" style="16" customWidth="1"/>
    <col min="12" max="12" width="11.6640625" style="16" bestFit="1" customWidth="1"/>
    <col min="13" max="13" width="7.44140625" style="16" bestFit="1" customWidth="1"/>
    <col min="14" max="14" width="13.5546875" style="16" bestFit="1" customWidth="1"/>
    <col min="15" max="15" width="7.109375" style="16" bestFit="1" customWidth="1"/>
    <col min="16" max="16" width="7.88671875" style="16" bestFit="1" customWidth="1"/>
    <col min="17" max="17" width="13.5546875" style="16" bestFit="1" customWidth="1"/>
    <col min="18" max="18" width="7.88671875" style="16" bestFit="1" customWidth="1"/>
    <col min="19" max="19" width="10.6640625" style="16" bestFit="1" customWidth="1"/>
    <col min="20" max="20" width="14.109375" style="16" bestFit="1" customWidth="1"/>
    <col min="21" max="21" width="11.109375" style="16" bestFit="1" customWidth="1"/>
    <col min="22" max="22" width="11.5546875" style="16" bestFit="1" customWidth="1"/>
    <col min="23" max="23" width="10.88671875" style="16" bestFit="1" customWidth="1"/>
    <col min="24" max="24" width="15" style="16" bestFit="1" customWidth="1"/>
    <col min="25" max="25" width="10.6640625" style="16" bestFit="1" customWidth="1"/>
    <col min="26" max="26" width="8.33203125" style="16" bestFit="1" customWidth="1"/>
    <col min="27" max="28" width="8.88671875" style="16" bestFit="1" customWidth="1"/>
    <col min="29" max="29" width="10.6640625" style="16" customWidth="1"/>
    <col min="30" max="30" width="21.5546875" customWidth="1"/>
    <col min="31" max="16384" width="9.109375" style="16"/>
  </cols>
  <sheetData>
    <row r="1" spans="1:30" s="1" customFormat="1" ht="15" thickBot="1">
      <c r="A1" s="17" t="s">
        <v>35</v>
      </c>
      <c r="B1" s="1" t="s">
        <v>191</v>
      </c>
      <c r="AD1" s="130"/>
    </row>
    <row r="2" spans="1:30" s="1" customFormat="1" ht="39.75" customHeight="1" thickBot="1">
      <c r="A2" s="77" t="s">
        <v>36</v>
      </c>
      <c r="B2" s="78" t="s">
        <v>37</v>
      </c>
      <c r="C2" s="79" t="s">
        <v>48</v>
      </c>
      <c r="D2" s="80" t="s">
        <v>2</v>
      </c>
      <c r="E2" s="80" t="s">
        <v>49</v>
      </c>
      <c r="F2" s="81" t="s">
        <v>50</v>
      </c>
      <c r="G2" s="81" t="s">
        <v>0</v>
      </c>
      <c r="H2" s="81" t="s">
        <v>51</v>
      </c>
      <c r="I2" s="82" t="s">
        <v>11</v>
      </c>
      <c r="J2" s="82" t="s">
        <v>1</v>
      </c>
      <c r="K2" s="82" t="s">
        <v>55</v>
      </c>
      <c r="L2" s="80" t="s">
        <v>12</v>
      </c>
      <c r="M2" s="83" t="s">
        <v>7</v>
      </c>
      <c r="N2" s="84" t="s">
        <v>3</v>
      </c>
      <c r="O2" s="84" t="s">
        <v>13</v>
      </c>
      <c r="P2" s="85" t="s">
        <v>4</v>
      </c>
      <c r="Q2" s="85" t="s">
        <v>8</v>
      </c>
      <c r="R2" s="85" t="s">
        <v>16</v>
      </c>
      <c r="S2" s="86" t="s">
        <v>5</v>
      </c>
      <c r="T2" s="86" t="s">
        <v>60</v>
      </c>
      <c r="U2" s="86" t="s">
        <v>14</v>
      </c>
      <c r="V2" s="87" t="s">
        <v>15</v>
      </c>
      <c r="W2" s="88" t="s">
        <v>9</v>
      </c>
      <c r="X2" s="89" t="s">
        <v>10</v>
      </c>
      <c r="Y2" s="89" t="s">
        <v>6</v>
      </c>
      <c r="Z2" s="90" t="s">
        <v>31</v>
      </c>
      <c r="AA2" s="91" t="s">
        <v>21</v>
      </c>
      <c r="AB2" s="91" t="s">
        <v>23</v>
      </c>
      <c r="AC2" s="92" t="s">
        <v>61</v>
      </c>
      <c r="AD2" s="130" t="s">
        <v>163</v>
      </c>
    </row>
    <row r="3" spans="1:30" s="1" customFormat="1">
      <c r="A3" s="20" t="s">
        <v>38</v>
      </c>
      <c r="B3" s="22" t="s">
        <v>32</v>
      </c>
      <c r="C3" s="71">
        <v>0.98899999999999999</v>
      </c>
      <c r="D3" s="22" t="s">
        <v>18</v>
      </c>
      <c r="E3" s="22">
        <v>10</v>
      </c>
      <c r="F3" s="72">
        <v>0.62745098039215685</v>
      </c>
      <c r="G3" s="22" t="s">
        <v>20</v>
      </c>
      <c r="H3" s="22">
        <v>10</v>
      </c>
      <c r="I3" s="73">
        <v>14</v>
      </c>
      <c r="J3" s="28" t="s">
        <v>59</v>
      </c>
      <c r="K3" s="21">
        <v>10</v>
      </c>
      <c r="L3" s="25">
        <v>30</v>
      </c>
      <c r="M3" s="74">
        <v>0.99921876941979426</v>
      </c>
      <c r="N3" s="26" t="s">
        <v>17</v>
      </c>
      <c r="O3" s="26">
        <v>20</v>
      </c>
      <c r="P3" s="27">
        <v>1</v>
      </c>
      <c r="Q3" s="26" t="s">
        <v>17</v>
      </c>
      <c r="R3" s="26">
        <v>15</v>
      </c>
      <c r="S3" s="75">
        <v>0.21718592954969435</v>
      </c>
      <c r="T3" s="22">
        <v>2</v>
      </c>
      <c r="U3" s="21">
        <v>24</v>
      </c>
      <c r="V3" s="21">
        <v>10</v>
      </c>
      <c r="W3" s="25">
        <f t="shared" ref="W3:W12" si="0">L3+O3+R3+U3+V3</f>
        <v>99</v>
      </c>
      <c r="X3" s="28" t="s">
        <v>33</v>
      </c>
      <c r="Y3" s="21" t="s">
        <v>34</v>
      </c>
      <c r="Z3" s="21">
        <v>1</v>
      </c>
      <c r="AA3" s="21">
        <v>2</v>
      </c>
      <c r="AB3" s="25">
        <v>96</v>
      </c>
      <c r="AC3" s="76" t="s">
        <v>25</v>
      </c>
      <c r="AD3" s="143" t="s">
        <v>165</v>
      </c>
    </row>
    <row r="4" spans="1:30" s="1" customFormat="1">
      <c r="A4" s="62" t="s">
        <v>39</v>
      </c>
      <c r="B4" s="2" t="s">
        <v>32</v>
      </c>
      <c r="C4" s="3">
        <v>1</v>
      </c>
      <c r="D4" s="2" t="s">
        <v>18</v>
      </c>
      <c r="E4" s="2">
        <v>10</v>
      </c>
      <c r="F4" s="4">
        <v>0.52845528455284552</v>
      </c>
      <c r="G4" s="2" t="s">
        <v>52</v>
      </c>
      <c r="H4" s="2">
        <v>7</v>
      </c>
      <c r="I4" s="5">
        <v>10</v>
      </c>
      <c r="J4" s="6" t="s">
        <v>59</v>
      </c>
      <c r="K4" s="7">
        <v>10</v>
      </c>
      <c r="L4" s="8">
        <v>27</v>
      </c>
      <c r="M4" s="18">
        <v>1</v>
      </c>
      <c r="N4" s="9" t="s">
        <v>17</v>
      </c>
      <c r="O4" s="9">
        <v>20</v>
      </c>
      <c r="P4" s="10">
        <v>1</v>
      </c>
      <c r="Q4" s="9" t="s">
        <v>17</v>
      </c>
      <c r="R4" s="9">
        <v>15</v>
      </c>
      <c r="S4" s="13">
        <v>0.2445021697307998</v>
      </c>
      <c r="T4" s="2">
        <v>10</v>
      </c>
      <c r="U4" s="7">
        <v>16</v>
      </c>
      <c r="V4" s="7">
        <v>10</v>
      </c>
      <c r="W4" s="8">
        <f t="shared" si="0"/>
        <v>88</v>
      </c>
      <c r="X4" s="6" t="s">
        <v>28</v>
      </c>
      <c r="Y4" s="7" t="s">
        <v>29</v>
      </c>
      <c r="Z4" s="7">
        <v>5</v>
      </c>
      <c r="AA4" s="7">
        <v>1</v>
      </c>
      <c r="AB4" s="8">
        <v>98</v>
      </c>
      <c r="AC4" s="63" t="s">
        <v>24</v>
      </c>
      <c r="AD4" s="143" t="s">
        <v>165</v>
      </c>
    </row>
    <row r="5" spans="1:30" s="1" customFormat="1">
      <c r="A5" s="29" t="s">
        <v>40</v>
      </c>
      <c r="B5" s="2" t="s">
        <v>32</v>
      </c>
      <c r="C5" s="3">
        <v>1</v>
      </c>
      <c r="D5" s="2" t="s">
        <v>18</v>
      </c>
      <c r="E5" s="2">
        <v>10</v>
      </c>
      <c r="F5" s="4">
        <v>0.62406015037593987</v>
      </c>
      <c r="G5" s="2" t="s">
        <v>20</v>
      </c>
      <c r="H5" s="2">
        <v>10</v>
      </c>
      <c r="I5" s="5">
        <v>0</v>
      </c>
      <c r="J5" s="6" t="s">
        <v>59</v>
      </c>
      <c r="K5" s="7">
        <v>10</v>
      </c>
      <c r="L5" s="8">
        <v>30</v>
      </c>
      <c r="M5" s="18">
        <v>1</v>
      </c>
      <c r="N5" s="9" t="s">
        <v>17</v>
      </c>
      <c r="O5" s="9">
        <v>20</v>
      </c>
      <c r="P5" s="10">
        <v>1</v>
      </c>
      <c r="Q5" s="9" t="s">
        <v>17</v>
      </c>
      <c r="R5" s="9">
        <v>15</v>
      </c>
      <c r="S5" s="13">
        <v>0.2445021697307998</v>
      </c>
      <c r="T5" s="2">
        <v>10</v>
      </c>
      <c r="U5" s="7">
        <v>16</v>
      </c>
      <c r="V5" s="7">
        <v>10</v>
      </c>
      <c r="W5" s="8">
        <f>L5+O5+R5+U5+V5</f>
        <v>91</v>
      </c>
      <c r="X5" s="6" t="s">
        <v>28</v>
      </c>
      <c r="Y5" s="7" t="s">
        <v>29</v>
      </c>
      <c r="Z5" s="7">
        <v>3</v>
      </c>
      <c r="AA5" s="7">
        <v>3</v>
      </c>
      <c r="AB5" s="8">
        <v>92</v>
      </c>
      <c r="AC5" s="63" t="s">
        <v>24</v>
      </c>
      <c r="AD5" s="143" t="s">
        <v>165</v>
      </c>
    </row>
    <row r="6" spans="1:30" s="1" customFormat="1">
      <c r="A6" s="62" t="s">
        <v>41</v>
      </c>
      <c r="B6" s="2" t="s">
        <v>32</v>
      </c>
      <c r="C6" s="3">
        <v>0.96599999999999997</v>
      </c>
      <c r="D6" s="2" t="s">
        <v>18</v>
      </c>
      <c r="E6" s="2">
        <v>10</v>
      </c>
      <c r="F6" s="4">
        <v>0.56390977443609025</v>
      </c>
      <c r="G6" s="2" t="s">
        <v>52</v>
      </c>
      <c r="H6" s="2">
        <v>7</v>
      </c>
      <c r="I6" s="5">
        <v>24</v>
      </c>
      <c r="J6" s="6" t="s">
        <v>59</v>
      </c>
      <c r="K6" s="7">
        <v>10</v>
      </c>
      <c r="L6" s="8">
        <v>27</v>
      </c>
      <c r="M6" s="18">
        <v>0.98022131659646217</v>
      </c>
      <c r="N6" s="9" t="s">
        <v>17</v>
      </c>
      <c r="O6" s="9">
        <v>20</v>
      </c>
      <c r="P6" s="10">
        <v>1</v>
      </c>
      <c r="Q6" s="9" t="s">
        <v>17</v>
      </c>
      <c r="R6" s="9">
        <v>15</v>
      </c>
      <c r="S6" s="13">
        <v>0.22236067384977526</v>
      </c>
      <c r="T6" s="2">
        <v>3</v>
      </c>
      <c r="U6" s="7">
        <v>23</v>
      </c>
      <c r="V6" s="7">
        <v>10</v>
      </c>
      <c r="W6" s="8">
        <f t="shared" si="0"/>
        <v>95</v>
      </c>
      <c r="X6" s="6" t="s">
        <v>28</v>
      </c>
      <c r="Y6" s="7" t="s">
        <v>29</v>
      </c>
      <c r="Z6" s="7">
        <v>2</v>
      </c>
      <c r="AA6" s="7">
        <v>4</v>
      </c>
      <c r="AB6" s="8">
        <v>92</v>
      </c>
      <c r="AC6" s="61" t="s">
        <v>25</v>
      </c>
      <c r="AD6" s="143" t="s">
        <v>165</v>
      </c>
    </row>
    <row r="7" spans="1:30" s="1" customFormat="1">
      <c r="A7" s="62" t="s">
        <v>42</v>
      </c>
      <c r="B7" s="2" t="s">
        <v>32</v>
      </c>
      <c r="C7" s="3">
        <v>0.96199999999999997</v>
      </c>
      <c r="D7" s="2" t="s">
        <v>18</v>
      </c>
      <c r="E7" s="2">
        <v>10</v>
      </c>
      <c r="F7" s="4">
        <v>0.38</v>
      </c>
      <c r="G7" s="11" t="s">
        <v>53</v>
      </c>
      <c r="H7" s="2">
        <v>3</v>
      </c>
      <c r="I7" s="5">
        <v>48</v>
      </c>
      <c r="J7" s="6" t="s">
        <v>59</v>
      </c>
      <c r="K7" s="7">
        <v>10</v>
      </c>
      <c r="L7" s="8">
        <v>23</v>
      </c>
      <c r="M7" s="18">
        <v>0.96</v>
      </c>
      <c r="N7" s="9" t="s">
        <v>17</v>
      </c>
      <c r="O7" s="9">
        <v>20</v>
      </c>
      <c r="P7" s="10">
        <v>1</v>
      </c>
      <c r="Q7" s="9" t="s">
        <v>17</v>
      </c>
      <c r="R7" s="9">
        <v>15</v>
      </c>
      <c r="S7" s="13">
        <v>0.22500000000000001</v>
      </c>
      <c r="T7" s="2">
        <v>4</v>
      </c>
      <c r="U7" s="7">
        <v>22</v>
      </c>
      <c r="V7" s="7">
        <v>7</v>
      </c>
      <c r="W7" s="8">
        <f t="shared" si="0"/>
        <v>87</v>
      </c>
      <c r="X7" s="6" t="s">
        <v>28</v>
      </c>
      <c r="Y7" s="7" t="s">
        <v>29</v>
      </c>
      <c r="Z7" s="7">
        <v>7</v>
      </c>
      <c r="AA7" s="12" t="s">
        <v>58</v>
      </c>
      <c r="AB7" s="19" t="s">
        <v>58</v>
      </c>
      <c r="AC7" s="64" t="s">
        <v>58</v>
      </c>
      <c r="AD7" s="143" t="s">
        <v>165</v>
      </c>
    </row>
    <row r="8" spans="1:30" s="1" customFormat="1">
      <c r="A8" s="62" t="s">
        <v>43</v>
      </c>
      <c r="B8" s="2" t="s">
        <v>32</v>
      </c>
      <c r="C8" s="13">
        <v>1</v>
      </c>
      <c r="D8" s="2" t="s">
        <v>18</v>
      </c>
      <c r="E8" s="2">
        <v>10</v>
      </c>
      <c r="F8" s="4">
        <v>0.53409090909090906</v>
      </c>
      <c r="G8" s="2" t="s">
        <v>52</v>
      </c>
      <c r="H8" s="2">
        <v>7</v>
      </c>
      <c r="I8" s="5">
        <v>45</v>
      </c>
      <c r="J8" s="6" t="s">
        <v>59</v>
      </c>
      <c r="K8" s="7">
        <v>10</v>
      </c>
      <c r="L8" s="8">
        <v>27</v>
      </c>
      <c r="M8" s="18">
        <v>1</v>
      </c>
      <c r="N8" s="9" t="s">
        <v>17</v>
      </c>
      <c r="O8" s="9">
        <v>20</v>
      </c>
      <c r="P8" s="10">
        <v>0.9</v>
      </c>
      <c r="Q8" s="9" t="s">
        <v>56</v>
      </c>
      <c r="R8" s="9">
        <v>10.5</v>
      </c>
      <c r="S8" s="13">
        <v>0.24047165619074831</v>
      </c>
      <c r="T8" s="2">
        <v>9</v>
      </c>
      <c r="U8" s="7">
        <v>17</v>
      </c>
      <c r="V8" s="7">
        <v>10</v>
      </c>
      <c r="W8" s="8">
        <f t="shared" si="0"/>
        <v>84.5</v>
      </c>
      <c r="X8" s="6" t="s">
        <v>28</v>
      </c>
      <c r="Y8" s="7" t="s">
        <v>29</v>
      </c>
      <c r="Z8" s="7">
        <v>9</v>
      </c>
      <c r="AA8" s="7">
        <v>6</v>
      </c>
      <c r="AB8" s="8">
        <v>84.986486486486484</v>
      </c>
      <c r="AC8" s="64" t="s">
        <v>58</v>
      </c>
      <c r="AD8" s="143" t="s">
        <v>165</v>
      </c>
    </row>
    <row r="9" spans="1:30" s="1" customFormat="1">
      <c r="A9" s="62" t="s">
        <v>44</v>
      </c>
      <c r="B9" s="2" t="s">
        <v>32</v>
      </c>
      <c r="C9" s="14">
        <v>1</v>
      </c>
      <c r="D9" s="2" t="s">
        <v>18</v>
      </c>
      <c r="E9" s="11">
        <v>10</v>
      </c>
      <c r="F9" s="4">
        <v>1</v>
      </c>
      <c r="G9" s="4" t="s">
        <v>20</v>
      </c>
      <c r="H9" s="2">
        <v>10</v>
      </c>
      <c r="I9" s="5">
        <v>45</v>
      </c>
      <c r="J9" s="15" t="s">
        <v>26</v>
      </c>
      <c r="K9" s="8">
        <v>10</v>
      </c>
      <c r="L9" s="8">
        <v>30</v>
      </c>
      <c r="M9" s="18">
        <v>1</v>
      </c>
      <c r="N9" s="9" t="s">
        <v>17</v>
      </c>
      <c r="O9" s="9">
        <v>20</v>
      </c>
      <c r="P9" s="10">
        <v>1</v>
      </c>
      <c r="Q9" s="9" t="s">
        <v>17</v>
      </c>
      <c r="R9" s="9">
        <v>15</v>
      </c>
      <c r="S9" s="13">
        <v>0.27620709523809522</v>
      </c>
      <c r="T9" s="2">
        <v>13</v>
      </c>
      <c r="U9" s="7">
        <v>13</v>
      </c>
      <c r="V9" s="7">
        <v>10</v>
      </c>
      <c r="W9" s="8">
        <f t="shared" si="0"/>
        <v>88</v>
      </c>
      <c r="X9" s="6" t="s">
        <v>28</v>
      </c>
      <c r="Y9" s="7" t="s">
        <v>29</v>
      </c>
      <c r="Z9" s="7">
        <v>5</v>
      </c>
      <c r="AA9" s="7">
        <v>10</v>
      </c>
      <c r="AB9" s="8">
        <v>78.141999999999996</v>
      </c>
      <c r="AC9" s="45" t="s">
        <v>25</v>
      </c>
      <c r="AD9" s="143" t="s">
        <v>165</v>
      </c>
    </row>
    <row r="10" spans="1:30" s="1" customFormat="1">
      <c r="A10" s="62" t="s">
        <v>45</v>
      </c>
      <c r="B10" s="2" t="s">
        <v>32</v>
      </c>
      <c r="C10" s="3">
        <v>0.99299999999999999</v>
      </c>
      <c r="D10" s="2" t="s">
        <v>18</v>
      </c>
      <c r="E10" s="2">
        <v>10</v>
      </c>
      <c r="F10" s="4">
        <v>0.59541984732824427</v>
      </c>
      <c r="G10" s="2" t="s">
        <v>20</v>
      </c>
      <c r="H10" s="2">
        <v>10</v>
      </c>
      <c r="I10" s="5">
        <v>32</v>
      </c>
      <c r="J10" s="6" t="s">
        <v>59</v>
      </c>
      <c r="K10" s="7">
        <v>10</v>
      </c>
      <c r="L10" s="8">
        <v>30</v>
      </c>
      <c r="M10" s="18">
        <v>0.99407501452557734</v>
      </c>
      <c r="N10" s="9" t="s">
        <v>17</v>
      </c>
      <c r="O10" s="9">
        <v>20</v>
      </c>
      <c r="P10" s="10">
        <v>1</v>
      </c>
      <c r="Q10" s="9" t="s">
        <v>17</v>
      </c>
      <c r="R10" s="9">
        <v>15</v>
      </c>
      <c r="S10" s="13">
        <v>0.27144695077424924</v>
      </c>
      <c r="T10" s="2">
        <v>12</v>
      </c>
      <c r="U10" s="7">
        <v>14</v>
      </c>
      <c r="V10" s="7">
        <v>10</v>
      </c>
      <c r="W10" s="8">
        <f t="shared" si="0"/>
        <v>89</v>
      </c>
      <c r="X10" s="6" t="s">
        <v>28</v>
      </c>
      <c r="Y10" s="7" t="s">
        <v>29</v>
      </c>
      <c r="Z10" s="7">
        <v>4</v>
      </c>
      <c r="AA10" s="7">
        <v>9</v>
      </c>
      <c r="AB10" s="8">
        <v>83</v>
      </c>
      <c r="AC10" s="61" t="s">
        <v>25</v>
      </c>
      <c r="AD10" s="143" t="s">
        <v>165</v>
      </c>
    </row>
    <row r="11" spans="1:30" s="1" customFormat="1">
      <c r="A11" s="62" t="s">
        <v>46</v>
      </c>
      <c r="B11" s="2" t="s">
        <v>32</v>
      </c>
      <c r="C11" s="3">
        <v>0.94199999999999995</v>
      </c>
      <c r="D11" s="2" t="s">
        <v>19</v>
      </c>
      <c r="E11" s="2">
        <v>7</v>
      </c>
      <c r="F11" s="4">
        <v>0.48349056603773582</v>
      </c>
      <c r="G11" s="11" t="s">
        <v>54</v>
      </c>
      <c r="H11" s="2">
        <v>5</v>
      </c>
      <c r="I11" s="5">
        <v>16</v>
      </c>
      <c r="J11" s="6" t="s">
        <v>59</v>
      </c>
      <c r="K11" s="7">
        <v>10</v>
      </c>
      <c r="L11" s="8">
        <v>22</v>
      </c>
      <c r="M11" s="18">
        <v>0.99589505804276257</v>
      </c>
      <c r="N11" s="9" t="s">
        <v>17</v>
      </c>
      <c r="O11" s="9">
        <v>20</v>
      </c>
      <c r="P11" s="10">
        <v>1</v>
      </c>
      <c r="Q11" s="9" t="s">
        <v>17</v>
      </c>
      <c r="R11" s="9">
        <v>15</v>
      </c>
      <c r="S11" s="13">
        <v>0.23599883830877791</v>
      </c>
      <c r="T11" s="2">
        <v>7</v>
      </c>
      <c r="U11" s="7">
        <v>19</v>
      </c>
      <c r="V11" s="7">
        <v>10</v>
      </c>
      <c r="W11" s="8">
        <f t="shared" si="0"/>
        <v>86</v>
      </c>
      <c r="X11" s="6" t="s">
        <v>28</v>
      </c>
      <c r="Y11" s="7" t="s">
        <v>29</v>
      </c>
      <c r="Z11" s="7">
        <v>8</v>
      </c>
      <c r="AA11" s="7">
        <v>7</v>
      </c>
      <c r="AB11" s="8">
        <v>83.5</v>
      </c>
      <c r="AC11" s="61" t="s">
        <v>25</v>
      </c>
      <c r="AD11" s="143" t="s">
        <v>165</v>
      </c>
    </row>
    <row r="12" spans="1:30" s="1" customFormat="1" ht="15" thickBot="1">
      <c r="A12" s="65" t="s">
        <v>47</v>
      </c>
      <c r="B12" s="50" t="s">
        <v>32</v>
      </c>
      <c r="C12" s="66">
        <v>1</v>
      </c>
      <c r="D12" s="50" t="s">
        <v>18</v>
      </c>
      <c r="E12" s="50">
        <v>10</v>
      </c>
      <c r="F12" s="56">
        <v>0.546875</v>
      </c>
      <c r="G12" s="50" t="s">
        <v>52</v>
      </c>
      <c r="H12" s="50">
        <v>7</v>
      </c>
      <c r="I12" s="67">
        <v>48</v>
      </c>
      <c r="J12" s="53" t="s">
        <v>59</v>
      </c>
      <c r="K12" s="59">
        <v>10</v>
      </c>
      <c r="L12" s="55">
        <v>27</v>
      </c>
      <c r="M12" s="68">
        <v>1</v>
      </c>
      <c r="N12" s="57" t="s">
        <v>17</v>
      </c>
      <c r="O12" s="57">
        <v>20</v>
      </c>
      <c r="P12" s="58">
        <v>0.85</v>
      </c>
      <c r="Q12" s="57" t="s">
        <v>57</v>
      </c>
      <c r="R12" s="57">
        <v>7.5</v>
      </c>
      <c r="S12" s="69">
        <v>0.21509235913841862</v>
      </c>
      <c r="T12" s="50">
        <v>1</v>
      </c>
      <c r="U12" s="59">
        <v>25</v>
      </c>
      <c r="V12" s="59">
        <v>7</v>
      </c>
      <c r="W12" s="55">
        <f t="shared" si="0"/>
        <v>86.5</v>
      </c>
      <c r="X12" s="53" t="s">
        <v>28</v>
      </c>
      <c r="Y12" s="59" t="s">
        <v>29</v>
      </c>
      <c r="Z12" s="59">
        <v>7</v>
      </c>
      <c r="AA12" s="59">
        <v>8</v>
      </c>
      <c r="AB12" s="55">
        <v>83</v>
      </c>
      <c r="AC12" s="70" t="s">
        <v>25</v>
      </c>
      <c r="AD12" s="143" t="s">
        <v>165</v>
      </c>
    </row>
    <row r="13" spans="1:30">
      <c r="A13" s="33" t="s">
        <v>38</v>
      </c>
      <c r="B13" s="34" t="s">
        <v>22</v>
      </c>
      <c r="C13" s="35">
        <v>1</v>
      </c>
      <c r="D13" s="36" t="s">
        <v>18</v>
      </c>
      <c r="E13" s="36">
        <v>10</v>
      </c>
      <c r="F13" s="37">
        <v>0.64814814814814814</v>
      </c>
      <c r="G13" s="36" t="s">
        <v>20</v>
      </c>
      <c r="H13" s="36">
        <v>10</v>
      </c>
      <c r="I13" s="38" t="s">
        <v>59</v>
      </c>
      <c r="J13" s="39">
        <v>10</v>
      </c>
      <c r="K13" s="40">
        <v>10</v>
      </c>
      <c r="L13" s="40">
        <f t="shared" ref="L13:L22" si="1">E13+H13+K13</f>
        <v>30</v>
      </c>
      <c r="M13" s="41">
        <v>0.95</v>
      </c>
      <c r="N13" s="42" t="s">
        <v>62</v>
      </c>
      <c r="O13" s="42">
        <v>20</v>
      </c>
      <c r="P13" s="43">
        <v>1</v>
      </c>
      <c r="Q13" s="42" t="s">
        <v>17</v>
      </c>
      <c r="R13" s="42">
        <v>15</v>
      </c>
      <c r="S13" s="37">
        <v>0.26050442749047625</v>
      </c>
      <c r="T13" s="34">
        <v>1</v>
      </c>
      <c r="U13" s="34">
        <v>25</v>
      </c>
      <c r="V13" s="34">
        <v>10</v>
      </c>
      <c r="W13" s="40">
        <f t="shared" ref="W13:W22" si="2">L13+O13+R13+U13+V13</f>
        <v>100</v>
      </c>
      <c r="X13" s="38" t="s">
        <v>33</v>
      </c>
      <c r="Y13" s="34" t="s">
        <v>34</v>
      </c>
      <c r="Z13" s="34">
        <v>1</v>
      </c>
      <c r="AA13" s="34">
        <v>1</v>
      </c>
      <c r="AB13" s="34">
        <v>98</v>
      </c>
      <c r="AC13" s="44" t="s">
        <v>25</v>
      </c>
      <c r="AD13" s="143" t="s">
        <v>165</v>
      </c>
    </row>
    <row r="14" spans="1:30">
      <c r="A14" s="29" t="s">
        <v>67</v>
      </c>
      <c r="B14" s="21" t="s">
        <v>22</v>
      </c>
      <c r="C14" s="30">
        <v>0.96399999999999997</v>
      </c>
      <c r="D14" s="2" t="s">
        <v>18</v>
      </c>
      <c r="E14" s="2">
        <v>10</v>
      </c>
      <c r="F14" s="23">
        <v>0.66666666666666663</v>
      </c>
      <c r="G14" s="2" t="s">
        <v>20</v>
      </c>
      <c r="H14" s="2">
        <v>10</v>
      </c>
      <c r="I14" s="6" t="s">
        <v>59</v>
      </c>
      <c r="J14" s="24">
        <v>10</v>
      </c>
      <c r="K14" s="8">
        <v>10</v>
      </c>
      <c r="L14" s="8">
        <f t="shared" si="1"/>
        <v>30</v>
      </c>
      <c r="M14" s="4">
        <v>1</v>
      </c>
      <c r="N14" s="9" t="s">
        <v>62</v>
      </c>
      <c r="O14" s="9">
        <v>20</v>
      </c>
      <c r="P14" s="10">
        <v>1</v>
      </c>
      <c r="Q14" s="9" t="s">
        <v>56</v>
      </c>
      <c r="R14" s="9">
        <v>10.5</v>
      </c>
      <c r="S14" s="23">
        <v>0.26377727399517981</v>
      </c>
      <c r="T14" s="7">
        <v>2</v>
      </c>
      <c r="U14" s="7">
        <v>24</v>
      </c>
      <c r="V14" s="7">
        <v>10</v>
      </c>
      <c r="W14" s="25">
        <f t="shared" si="2"/>
        <v>94.5</v>
      </c>
      <c r="X14" s="6" t="s">
        <v>33</v>
      </c>
      <c r="Y14" s="7" t="s">
        <v>34</v>
      </c>
      <c r="Z14" s="7">
        <v>2</v>
      </c>
      <c r="AA14" s="7">
        <v>7</v>
      </c>
      <c r="AB14" s="7">
        <v>87</v>
      </c>
      <c r="AC14" s="45" t="s">
        <v>25</v>
      </c>
      <c r="AD14" s="143" t="s">
        <v>165</v>
      </c>
    </row>
    <row r="15" spans="1:30">
      <c r="A15" s="29" t="s">
        <v>64</v>
      </c>
      <c r="B15" s="21" t="s">
        <v>22</v>
      </c>
      <c r="C15" s="30">
        <v>0.96799999999999997</v>
      </c>
      <c r="D15" s="2" t="s">
        <v>18</v>
      </c>
      <c r="E15" s="11">
        <v>10</v>
      </c>
      <c r="F15" s="23">
        <v>0.63265306122448983</v>
      </c>
      <c r="G15" s="2" t="s">
        <v>20</v>
      </c>
      <c r="H15" s="2">
        <v>10</v>
      </c>
      <c r="I15" s="6" t="s">
        <v>59</v>
      </c>
      <c r="J15" s="24">
        <v>10</v>
      </c>
      <c r="K15" s="8">
        <v>10</v>
      </c>
      <c r="L15" s="8">
        <f t="shared" si="1"/>
        <v>30</v>
      </c>
      <c r="M15" s="4">
        <v>0.97</v>
      </c>
      <c r="N15" s="9" t="s">
        <v>62</v>
      </c>
      <c r="O15" s="9">
        <v>20</v>
      </c>
      <c r="P15" s="10">
        <v>1</v>
      </c>
      <c r="Q15" s="9" t="s">
        <v>17</v>
      </c>
      <c r="R15" s="9">
        <v>15</v>
      </c>
      <c r="S15" s="23">
        <v>0.27434431681227806</v>
      </c>
      <c r="T15" s="7">
        <v>5</v>
      </c>
      <c r="U15" s="7">
        <v>21</v>
      </c>
      <c r="V15" s="7">
        <v>7</v>
      </c>
      <c r="W15" s="8">
        <f t="shared" si="2"/>
        <v>93</v>
      </c>
      <c r="X15" s="6" t="s">
        <v>28</v>
      </c>
      <c r="Y15" s="7" t="s">
        <v>29</v>
      </c>
      <c r="Z15" s="7">
        <v>3</v>
      </c>
      <c r="AA15" s="7">
        <v>4</v>
      </c>
      <c r="AB15" s="7">
        <v>90</v>
      </c>
      <c r="AC15" s="45" t="s">
        <v>25</v>
      </c>
      <c r="AD15" s="143" t="s">
        <v>165</v>
      </c>
    </row>
    <row r="16" spans="1:30">
      <c r="A16" s="29" t="s">
        <v>69</v>
      </c>
      <c r="B16" s="21" t="s">
        <v>22</v>
      </c>
      <c r="C16" s="30">
        <v>0.96499999999999997</v>
      </c>
      <c r="D16" s="2" t="s">
        <v>18</v>
      </c>
      <c r="E16" s="2">
        <v>10</v>
      </c>
      <c r="F16" s="23">
        <v>0.67368421052631577</v>
      </c>
      <c r="G16" s="2" t="s">
        <v>20</v>
      </c>
      <c r="H16" s="2">
        <v>10</v>
      </c>
      <c r="I16" s="6" t="s">
        <v>59</v>
      </c>
      <c r="J16" s="24">
        <v>10</v>
      </c>
      <c r="K16" s="8">
        <v>10</v>
      </c>
      <c r="L16" s="8">
        <f t="shared" si="1"/>
        <v>30</v>
      </c>
      <c r="M16" s="4">
        <v>0.9</v>
      </c>
      <c r="N16" s="9" t="s">
        <v>27</v>
      </c>
      <c r="O16" s="9">
        <v>14</v>
      </c>
      <c r="P16" s="10">
        <v>0.9</v>
      </c>
      <c r="Q16" s="9" t="s">
        <v>56</v>
      </c>
      <c r="R16" s="9">
        <v>10.5</v>
      </c>
      <c r="S16" s="23">
        <v>0.26979038655369081</v>
      </c>
      <c r="T16" s="7">
        <v>4</v>
      </c>
      <c r="U16" s="7">
        <v>22</v>
      </c>
      <c r="V16" s="7">
        <v>10</v>
      </c>
      <c r="W16" s="8">
        <f t="shared" si="2"/>
        <v>86.5</v>
      </c>
      <c r="X16" s="6" t="s">
        <v>28</v>
      </c>
      <c r="Y16" s="7" t="s">
        <v>29</v>
      </c>
      <c r="Z16" s="7">
        <v>4</v>
      </c>
      <c r="AA16" s="7">
        <v>10</v>
      </c>
      <c r="AB16" s="7">
        <v>84</v>
      </c>
      <c r="AC16" s="45" t="s">
        <v>25</v>
      </c>
      <c r="AD16" s="143" t="s">
        <v>165</v>
      </c>
    </row>
    <row r="17" spans="1:30">
      <c r="A17" s="29" t="s">
        <v>65</v>
      </c>
      <c r="B17" s="21" t="s">
        <v>22</v>
      </c>
      <c r="C17" s="30">
        <v>0.96599999999999997</v>
      </c>
      <c r="D17" s="2" t="s">
        <v>18</v>
      </c>
      <c r="E17" s="11">
        <v>10</v>
      </c>
      <c r="F17" s="23">
        <v>0.59615384615384615</v>
      </c>
      <c r="G17" s="11" t="s">
        <v>52</v>
      </c>
      <c r="H17" s="2">
        <v>7</v>
      </c>
      <c r="I17" s="6" t="s">
        <v>59</v>
      </c>
      <c r="J17" s="24">
        <v>10</v>
      </c>
      <c r="K17" s="8">
        <v>10</v>
      </c>
      <c r="L17" s="8">
        <f t="shared" si="1"/>
        <v>27</v>
      </c>
      <c r="M17" s="4">
        <v>0.99</v>
      </c>
      <c r="N17" s="9" t="s">
        <v>62</v>
      </c>
      <c r="O17" s="9">
        <v>20</v>
      </c>
      <c r="P17" s="10">
        <v>1</v>
      </c>
      <c r="Q17" s="9" t="s">
        <v>17</v>
      </c>
      <c r="R17" s="9">
        <v>15</v>
      </c>
      <c r="S17" s="23">
        <v>0.29485645373176311</v>
      </c>
      <c r="T17" s="7">
        <v>13</v>
      </c>
      <c r="U17" s="7">
        <v>13</v>
      </c>
      <c r="V17" s="7">
        <v>10</v>
      </c>
      <c r="W17" s="8">
        <f t="shared" si="2"/>
        <v>85</v>
      </c>
      <c r="X17" s="6" t="s">
        <v>28</v>
      </c>
      <c r="Y17" s="7" t="s">
        <v>29</v>
      </c>
      <c r="Z17" s="7">
        <v>5</v>
      </c>
      <c r="AA17" s="7">
        <v>5</v>
      </c>
      <c r="AB17" s="7">
        <v>89</v>
      </c>
      <c r="AC17" s="46" t="s">
        <v>24</v>
      </c>
      <c r="AD17" s="143" t="s">
        <v>165</v>
      </c>
    </row>
    <row r="18" spans="1:30">
      <c r="A18" s="29" t="s">
        <v>66</v>
      </c>
      <c r="B18" s="21" t="s">
        <v>22</v>
      </c>
      <c r="C18" s="31">
        <v>1</v>
      </c>
      <c r="D18" s="2" t="s">
        <v>18</v>
      </c>
      <c r="E18" s="11">
        <v>10</v>
      </c>
      <c r="F18" s="23">
        <v>0.53982300884955747</v>
      </c>
      <c r="G18" s="11" t="s">
        <v>52</v>
      </c>
      <c r="H18" s="2">
        <v>7</v>
      </c>
      <c r="I18" s="6" t="s">
        <v>59</v>
      </c>
      <c r="J18" s="24">
        <v>10</v>
      </c>
      <c r="K18" s="8">
        <v>10</v>
      </c>
      <c r="L18" s="8">
        <f t="shared" si="1"/>
        <v>27</v>
      </c>
      <c r="M18" s="4">
        <v>1</v>
      </c>
      <c r="N18" s="9" t="s">
        <v>62</v>
      </c>
      <c r="O18" s="9">
        <v>20</v>
      </c>
      <c r="P18" s="10">
        <v>1</v>
      </c>
      <c r="Q18" s="9" t="s">
        <v>17</v>
      </c>
      <c r="R18" s="9">
        <v>15</v>
      </c>
      <c r="S18" s="23">
        <v>0.29652915816326531</v>
      </c>
      <c r="T18" s="7">
        <v>15</v>
      </c>
      <c r="U18" s="7">
        <v>11</v>
      </c>
      <c r="V18" s="7">
        <v>10</v>
      </c>
      <c r="W18" s="8">
        <f t="shared" si="2"/>
        <v>83</v>
      </c>
      <c r="X18" s="6" t="s">
        <v>63</v>
      </c>
      <c r="Y18" s="21" t="s">
        <v>30</v>
      </c>
      <c r="Z18" s="7">
        <v>6</v>
      </c>
      <c r="AA18" s="7">
        <v>6</v>
      </c>
      <c r="AB18" s="7">
        <v>89</v>
      </c>
      <c r="AC18" s="46" t="s">
        <v>24</v>
      </c>
      <c r="AD18" s="143" t="s">
        <v>165</v>
      </c>
    </row>
    <row r="19" spans="1:30">
      <c r="A19" s="29" t="s">
        <v>70</v>
      </c>
      <c r="B19" s="21" t="s">
        <v>22</v>
      </c>
      <c r="C19" s="31">
        <v>0.996</v>
      </c>
      <c r="D19" s="2" t="s">
        <v>18</v>
      </c>
      <c r="E19" s="11">
        <v>10</v>
      </c>
      <c r="F19" s="23">
        <v>0.54545454545454541</v>
      </c>
      <c r="G19" s="11" t="s">
        <v>52</v>
      </c>
      <c r="H19" s="2">
        <v>7</v>
      </c>
      <c r="I19" s="6" t="s">
        <v>59</v>
      </c>
      <c r="J19" s="24">
        <v>10</v>
      </c>
      <c r="K19" s="8">
        <v>10</v>
      </c>
      <c r="L19" s="8">
        <f t="shared" si="1"/>
        <v>27</v>
      </c>
      <c r="M19" s="4">
        <v>0.9</v>
      </c>
      <c r="N19" s="9" t="s">
        <v>27</v>
      </c>
      <c r="O19" s="9">
        <v>14</v>
      </c>
      <c r="P19" s="10">
        <v>1</v>
      </c>
      <c r="Q19" s="9" t="s">
        <v>17</v>
      </c>
      <c r="R19" s="9">
        <v>15</v>
      </c>
      <c r="S19" s="23">
        <v>0.28826903283602801</v>
      </c>
      <c r="T19" s="7">
        <v>9</v>
      </c>
      <c r="U19" s="7">
        <v>17</v>
      </c>
      <c r="V19" s="7">
        <v>10</v>
      </c>
      <c r="W19" s="8">
        <f t="shared" si="2"/>
        <v>83</v>
      </c>
      <c r="X19" s="6" t="s">
        <v>63</v>
      </c>
      <c r="Y19" s="7" t="s">
        <v>30</v>
      </c>
      <c r="Z19" s="7">
        <v>6</v>
      </c>
      <c r="AA19" s="7">
        <v>12</v>
      </c>
      <c r="AB19" s="7">
        <v>81</v>
      </c>
      <c r="AC19" s="45" t="s">
        <v>25</v>
      </c>
      <c r="AD19" s="143" t="s">
        <v>165</v>
      </c>
    </row>
    <row r="20" spans="1:30">
      <c r="A20" s="29" t="s">
        <v>68</v>
      </c>
      <c r="B20" s="21" t="s">
        <v>22</v>
      </c>
      <c r="C20" s="32">
        <v>0.98599999999999999</v>
      </c>
      <c r="D20" s="2" t="s">
        <v>18</v>
      </c>
      <c r="E20" s="11">
        <v>10</v>
      </c>
      <c r="F20" s="23">
        <v>0.56425702811244982</v>
      </c>
      <c r="G20" s="11" t="s">
        <v>52</v>
      </c>
      <c r="H20" s="2">
        <v>7</v>
      </c>
      <c r="I20" s="6" t="s">
        <v>59</v>
      </c>
      <c r="J20" s="24">
        <v>10</v>
      </c>
      <c r="K20" s="8">
        <v>10</v>
      </c>
      <c r="L20" s="8">
        <f t="shared" si="1"/>
        <v>27</v>
      </c>
      <c r="M20" s="4">
        <v>0.95</v>
      </c>
      <c r="N20" s="9" t="s">
        <v>62</v>
      </c>
      <c r="O20" s="9">
        <v>20</v>
      </c>
      <c r="P20" s="10">
        <v>1</v>
      </c>
      <c r="Q20" s="9" t="s">
        <v>17</v>
      </c>
      <c r="R20" s="9">
        <v>15</v>
      </c>
      <c r="S20" s="23">
        <v>0.30000618573122917</v>
      </c>
      <c r="T20" s="7">
        <v>16</v>
      </c>
      <c r="U20" s="7">
        <v>10</v>
      </c>
      <c r="V20" s="7">
        <v>10</v>
      </c>
      <c r="W20" s="8">
        <f t="shared" si="2"/>
        <v>82</v>
      </c>
      <c r="X20" s="6" t="s">
        <v>63</v>
      </c>
      <c r="Y20" s="7" t="s">
        <v>30</v>
      </c>
      <c r="Z20" s="7">
        <v>8</v>
      </c>
      <c r="AA20" s="7">
        <v>9</v>
      </c>
      <c r="AB20" s="7">
        <v>84</v>
      </c>
      <c r="AC20" s="46" t="s">
        <v>24</v>
      </c>
      <c r="AD20" s="143" t="s">
        <v>165</v>
      </c>
    </row>
    <row r="21" spans="1:30">
      <c r="A21" s="29" t="s">
        <v>71</v>
      </c>
      <c r="B21" s="21" t="s">
        <v>22</v>
      </c>
      <c r="C21" s="30">
        <v>0.96399999999999997</v>
      </c>
      <c r="D21" s="2" t="s">
        <v>18</v>
      </c>
      <c r="E21" s="11">
        <v>10</v>
      </c>
      <c r="F21" s="23">
        <v>0.67567567567567566</v>
      </c>
      <c r="G21" s="2" t="s">
        <v>20</v>
      </c>
      <c r="H21" s="2">
        <v>10</v>
      </c>
      <c r="I21" s="6" t="s">
        <v>59</v>
      </c>
      <c r="J21" s="24">
        <v>10</v>
      </c>
      <c r="K21" s="8">
        <v>10</v>
      </c>
      <c r="L21" s="8">
        <f t="shared" si="1"/>
        <v>30</v>
      </c>
      <c r="M21" s="4">
        <v>0.9</v>
      </c>
      <c r="N21" s="9" t="s">
        <v>27</v>
      </c>
      <c r="O21" s="9">
        <v>14</v>
      </c>
      <c r="P21" s="10">
        <v>0.9</v>
      </c>
      <c r="Q21" s="9" t="s">
        <v>56</v>
      </c>
      <c r="R21" s="9">
        <v>10.5</v>
      </c>
      <c r="S21" s="23">
        <v>0.2845783413928783</v>
      </c>
      <c r="T21" s="7">
        <v>7</v>
      </c>
      <c r="U21" s="7">
        <v>19</v>
      </c>
      <c r="V21" s="7">
        <v>7</v>
      </c>
      <c r="W21" s="8">
        <f t="shared" si="2"/>
        <v>80.5</v>
      </c>
      <c r="X21" s="6" t="s">
        <v>63</v>
      </c>
      <c r="Y21" s="7" t="s">
        <v>30</v>
      </c>
      <c r="Z21" s="7">
        <v>9</v>
      </c>
      <c r="AA21" s="7">
        <v>13</v>
      </c>
      <c r="AB21" s="7">
        <v>80</v>
      </c>
      <c r="AC21" s="45" t="s">
        <v>25</v>
      </c>
      <c r="AD21" s="143" t="s">
        <v>165</v>
      </c>
    </row>
    <row r="22" spans="1:30" ht="15" thickBot="1">
      <c r="A22" s="47" t="s">
        <v>72</v>
      </c>
      <c r="B22" s="48" t="s">
        <v>22</v>
      </c>
      <c r="C22" s="49">
        <v>0.90400000000000003</v>
      </c>
      <c r="D22" s="50" t="s">
        <v>19</v>
      </c>
      <c r="E22" s="51">
        <v>7</v>
      </c>
      <c r="F22" s="52">
        <v>0.68786127167630062</v>
      </c>
      <c r="G22" s="50" t="s">
        <v>20</v>
      </c>
      <c r="H22" s="50">
        <v>10</v>
      </c>
      <c r="I22" s="53" t="s">
        <v>59</v>
      </c>
      <c r="J22" s="54">
        <v>10</v>
      </c>
      <c r="K22" s="55">
        <v>10</v>
      </c>
      <c r="L22" s="55">
        <f t="shared" si="1"/>
        <v>27</v>
      </c>
      <c r="M22" s="56">
        <v>0.89</v>
      </c>
      <c r="N22" s="57" t="s">
        <v>57</v>
      </c>
      <c r="O22" s="57">
        <v>10</v>
      </c>
      <c r="P22" s="58">
        <v>1</v>
      </c>
      <c r="Q22" s="57" t="s">
        <v>17</v>
      </c>
      <c r="R22" s="57">
        <v>15</v>
      </c>
      <c r="S22" s="52">
        <v>0.28623052992311204</v>
      </c>
      <c r="T22" s="59">
        <v>8</v>
      </c>
      <c r="U22" s="59">
        <v>18</v>
      </c>
      <c r="V22" s="59">
        <v>10</v>
      </c>
      <c r="W22" s="55">
        <f t="shared" si="2"/>
        <v>80</v>
      </c>
      <c r="X22" s="53" t="s">
        <v>63</v>
      </c>
      <c r="Y22" s="59" t="s">
        <v>30</v>
      </c>
      <c r="Z22" s="59">
        <v>10</v>
      </c>
      <c r="AA22" s="59">
        <v>2</v>
      </c>
      <c r="AB22" s="59">
        <v>95</v>
      </c>
      <c r="AC22" s="60" t="s">
        <v>24</v>
      </c>
      <c r="AD22" s="143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D2992-7DF7-492C-86AA-2855AB910AA0}">
  <dimension ref="A1:AC20"/>
  <sheetViews>
    <sheetView zoomScale="56" zoomScaleNormal="56" workbookViewId="0">
      <pane ySplit="1" topLeftCell="A2" activePane="bottomLeft" state="frozen"/>
      <selection pane="bottomLeft" activeCell="AA2" sqref="AA2:AA10"/>
    </sheetView>
  </sheetViews>
  <sheetFormatPr defaultRowHeight="14.4"/>
  <cols>
    <col min="1" max="1" width="53" customWidth="1"/>
    <col min="2" max="2" width="33.33203125" customWidth="1"/>
    <col min="7" max="7" width="19" customWidth="1"/>
    <col min="28" max="28" width="24.77734375" customWidth="1"/>
    <col min="29" max="29" width="21.5546875" customWidth="1"/>
  </cols>
  <sheetData>
    <row r="1" spans="1:29" ht="72">
      <c r="A1" s="122" t="s">
        <v>73</v>
      </c>
      <c r="B1" s="123" t="s">
        <v>74</v>
      </c>
      <c r="C1" s="123" t="s">
        <v>168</v>
      </c>
      <c r="D1" s="124" t="s">
        <v>2</v>
      </c>
      <c r="E1" s="124" t="s">
        <v>75</v>
      </c>
      <c r="F1" s="125" t="s">
        <v>76</v>
      </c>
      <c r="G1" s="125" t="s">
        <v>0</v>
      </c>
      <c r="H1" s="125" t="s">
        <v>77</v>
      </c>
      <c r="I1" s="126" t="s">
        <v>11</v>
      </c>
      <c r="J1" s="126" t="s">
        <v>1</v>
      </c>
      <c r="K1" s="126" t="s">
        <v>78</v>
      </c>
      <c r="L1" s="124" t="s">
        <v>12</v>
      </c>
      <c r="M1" s="131" t="s">
        <v>7</v>
      </c>
      <c r="N1" s="132" t="s">
        <v>3</v>
      </c>
      <c r="O1" s="132" t="s">
        <v>13</v>
      </c>
      <c r="P1" s="135" t="s">
        <v>4</v>
      </c>
      <c r="Q1" s="135" t="s">
        <v>8</v>
      </c>
      <c r="R1" s="135" t="s">
        <v>16</v>
      </c>
      <c r="S1" s="134" t="s">
        <v>5</v>
      </c>
      <c r="T1" s="134" t="s">
        <v>79</v>
      </c>
      <c r="U1" s="134" t="s">
        <v>14</v>
      </c>
      <c r="V1" s="133" t="s">
        <v>15</v>
      </c>
      <c r="W1" s="136" t="s">
        <v>9</v>
      </c>
      <c r="X1" s="146" t="s">
        <v>10</v>
      </c>
      <c r="Y1" s="147" t="s">
        <v>6</v>
      </c>
      <c r="Z1" s="148" t="s">
        <v>31</v>
      </c>
      <c r="AA1" s="149" t="s">
        <v>23</v>
      </c>
      <c r="AB1" s="149" t="s">
        <v>21</v>
      </c>
      <c r="AC1" s="130" t="s">
        <v>163</v>
      </c>
    </row>
    <row r="2" spans="1:29" ht="15.6" customHeight="1" thickBot="1">
      <c r="A2" s="93" t="s">
        <v>80</v>
      </c>
      <c r="B2" s="94" t="s">
        <v>81</v>
      </c>
      <c r="C2" s="95">
        <v>96.1</v>
      </c>
      <c r="D2" s="94" t="s">
        <v>18</v>
      </c>
      <c r="E2" s="94">
        <v>10</v>
      </c>
      <c r="F2" s="96">
        <v>0.64</v>
      </c>
      <c r="G2" s="97" t="s">
        <v>20</v>
      </c>
      <c r="H2" s="94">
        <v>10</v>
      </c>
      <c r="I2" s="94">
        <v>80.3</v>
      </c>
      <c r="J2" s="98" t="s">
        <v>82</v>
      </c>
      <c r="K2" s="94">
        <v>9</v>
      </c>
      <c r="L2" s="99">
        <v>29</v>
      </c>
      <c r="M2" s="100">
        <v>0.81</v>
      </c>
      <c r="N2" s="97" t="s">
        <v>83</v>
      </c>
      <c r="O2" s="94">
        <v>6</v>
      </c>
      <c r="P2" s="100">
        <v>0.94</v>
      </c>
      <c r="Q2" s="94" t="s">
        <v>27</v>
      </c>
      <c r="R2" s="101">
        <v>11</v>
      </c>
      <c r="S2" s="100">
        <v>0.21</v>
      </c>
      <c r="T2" s="94" t="s">
        <v>84</v>
      </c>
      <c r="U2" s="97">
        <v>21</v>
      </c>
      <c r="V2" s="94">
        <v>10</v>
      </c>
      <c r="W2" s="102">
        <v>77</v>
      </c>
      <c r="X2" s="97" t="s">
        <v>85</v>
      </c>
      <c r="Y2" s="103" t="s">
        <v>30</v>
      </c>
      <c r="Z2" s="94">
        <v>21</v>
      </c>
      <c r="AA2" s="94">
        <v>71</v>
      </c>
      <c r="AB2" s="94">
        <v>12</v>
      </c>
      <c r="AC2" s="143" t="s">
        <v>166</v>
      </c>
    </row>
    <row r="3" spans="1:29" ht="15" thickBot="1">
      <c r="A3" s="93" t="s">
        <v>86</v>
      </c>
      <c r="B3" s="94" t="s">
        <v>81</v>
      </c>
      <c r="C3" s="95">
        <v>96.7</v>
      </c>
      <c r="D3" s="94" t="s">
        <v>18</v>
      </c>
      <c r="E3" s="94">
        <v>10</v>
      </c>
      <c r="F3" s="96">
        <v>0.65</v>
      </c>
      <c r="G3" s="97" t="s">
        <v>20</v>
      </c>
      <c r="H3" s="94">
        <v>10</v>
      </c>
      <c r="I3" s="94">
        <v>74</v>
      </c>
      <c r="J3" s="98" t="s">
        <v>82</v>
      </c>
      <c r="K3" s="94">
        <v>9</v>
      </c>
      <c r="L3" s="99">
        <v>29</v>
      </c>
      <c r="M3" s="100">
        <v>0.99</v>
      </c>
      <c r="N3" s="97" t="s">
        <v>17</v>
      </c>
      <c r="O3" s="94">
        <v>20</v>
      </c>
      <c r="P3" s="100">
        <v>0.94</v>
      </c>
      <c r="Q3" s="94" t="s">
        <v>27</v>
      </c>
      <c r="R3" s="101">
        <v>11</v>
      </c>
      <c r="S3" s="100">
        <v>0.26</v>
      </c>
      <c r="T3" s="94" t="s">
        <v>87</v>
      </c>
      <c r="U3" s="97">
        <v>16</v>
      </c>
      <c r="V3" s="94">
        <v>9</v>
      </c>
      <c r="W3" s="102">
        <v>85</v>
      </c>
      <c r="X3" s="97" t="s">
        <v>85</v>
      </c>
      <c r="Y3" s="103" t="s">
        <v>30</v>
      </c>
      <c r="Z3" s="94">
        <v>14</v>
      </c>
      <c r="AA3" s="94">
        <v>75</v>
      </c>
      <c r="AB3" s="94">
        <v>7</v>
      </c>
      <c r="AC3" s="143" t="s">
        <v>166</v>
      </c>
    </row>
    <row r="4" spans="1:29" ht="15" thickBot="1">
      <c r="A4" s="93" t="s">
        <v>88</v>
      </c>
      <c r="B4" s="94" t="s">
        <v>32</v>
      </c>
      <c r="C4" s="104">
        <v>79</v>
      </c>
      <c r="D4" s="94" t="s">
        <v>89</v>
      </c>
      <c r="E4" s="94">
        <v>0</v>
      </c>
      <c r="F4" s="96">
        <v>0.93</v>
      </c>
      <c r="G4" s="97" t="s">
        <v>20</v>
      </c>
      <c r="H4" s="94">
        <v>10</v>
      </c>
      <c r="I4" s="94">
        <v>0</v>
      </c>
      <c r="J4" s="98" t="s">
        <v>26</v>
      </c>
      <c r="K4" s="94">
        <v>10</v>
      </c>
      <c r="L4" s="99">
        <v>20</v>
      </c>
      <c r="M4" s="100">
        <v>1</v>
      </c>
      <c r="N4" s="97" t="s">
        <v>17</v>
      </c>
      <c r="O4" s="94">
        <v>20</v>
      </c>
      <c r="P4" s="100">
        <v>1</v>
      </c>
      <c r="Q4" s="94" t="s">
        <v>17</v>
      </c>
      <c r="R4" s="101">
        <v>15</v>
      </c>
      <c r="S4" s="100">
        <v>0.21</v>
      </c>
      <c r="T4" s="94" t="s">
        <v>84</v>
      </c>
      <c r="U4" s="97">
        <v>21</v>
      </c>
      <c r="V4" s="94">
        <v>10</v>
      </c>
      <c r="W4" s="102">
        <v>86</v>
      </c>
      <c r="X4" s="97" t="s">
        <v>28</v>
      </c>
      <c r="Y4" s="105" t="s">
        <v>29</v>
      </c>
      <c r="Z4" s="94">
        <v>12</v>
      </c>
      <c r="AA4" s="94" t="s">
        <v>107</v>
      </c>
      <c r="AB4" s="94" t="s">
        <v>107</v>
      </c>
      <c r="AC4" s="143" t="s">
        <v>166</v>
      </c>
    </row>
    <row r="5" spans="1:29" ht="15" thickBot="1">
      <c r="A5" s="93" t="s">
        <v>90</v>
      </c>
      <c r="B5" s="94" t="s">
        <v>22</v>
      </c>
      <c r="C5" s="104">
        <v>60.8</v>
      </c>
      <c r="D5" s="94" t="s">
        <v>89</v>
      </c>
      <c r="E5" s="94">
        <v>0</v>
      </c>
      <c r="F5" s="96">
        <v>0.62</v>
      </c>
      <c r="G5" s="97" t="s">
        <v>20</v>
      </c>
      <c r="H5" s="94">
        <v>10</v>
      </c>
      <c r="I5" s="94">
        <v>65.3</v>
      </c>
      <c r="J5" s="98" t="s">
        <v>82</v>
      </c>
      <c r="K5" s="94">
        <v>9</v>
      </c>
      <c r="L5" s="99">
        <v>19</v>
      </c>
      <c r="M5" s="100">
        <v>0.97</v>
      </c>
      <c r="N5" s="97" t="s">
        <v>17</v>
      </c>
      <c r="O5" s="94">
        <v>20</v>
      </c>
      <c r="P5" s="100">
        <v>1</v>
      </c>
      <c r="Q5" s="94" t="s">
        <v>17</v>
      </c>
      <c r="R5" s="101">
        <v>15</v>
      </c>
      <c r="S5" s="100">
        <v>0.1</v>
      </c>
      <c r="T5" s="94" t="s">
        <v>91</v>
      </c>
      <c r="U5" s="97">
        <v>25</v>
      </c>
      <c r="V5" s="94">
        <v>8</v>
      </c>
      <c r="W5" s="102">
        <v>87</v>
      </c>
      <c r="X5" s="97" t="s">
        <v>85</v>
      </c>
      <c r="Y5" s="103" t="s">
        <v>30</v>
      </c>
      <c r="Z5" s="94">
        <v>10</v>
      </c>
      <c r="AA5" s="94" t="s">
        <v>107</v>
      </c>
      <c r="AB5" s="94" t="s">
        <v>107</v>
      </c>
      <c r="AC5" s="143" t="s">
        <v>166</v>
      </c>
    </row>
    <row r="6" spans="1:29" ht="15" thickBot="1">
      <c r="A6" s="93" t="s">
        <v>43</v>
      </c>
      <c r="B6" s="94" t="s">
        <v>81</v>
      </c>
      <c r="C6" s="106">
        <v>95</v>
      </c>
      <c r="D6" s="94" t="s">
        <v>18</v>
      </c>
      <c r="E6" s="94">
        <v>10</v>
      </c>
      <c r="F6" s="107">
        <v>0.59</v>
      </c>
      <c r="G6" s="97" t="s">
        <v>92</v>
      </c>
      <c r="H6" s="94">
        <v>7</v>
      </c>
      <c r="I6" s="94">
        <v>11</v>
      </c>
      <c r="J6" s="98" t="s">
        <v>26</v>
      </c>
      <c r="K6" s="94">
        <v>10</v>
      </c>
      <c r="L6" s="99">
        <v>27</v>
      </c>
      <c r="M6" s="100">
        <v>0.93</v>
      </c>
      <c r="N6" s="97" t="s">
        <v>93</v>
      </c>
      <c r="O6" s="94">
        <v>14</v>
      </c>
      <c r="P6" s="100">
        <v>0.92</v>
      </c>
      <c r="Q6" s="94" t="s">
        <v>27</v>
      </c>
      <c r="R6" s="101">
        <v>11</v>
      </c>
      <c r="S6" s="100">
        <v>0.19</v>
      </c>
      <c r="T6" s="94" t="s">
        <v>94</v>
      </c>
      <c r="U6" s="97">
        <v>23</v>
      </c>
      <c r="V6" s="94">
        <v>9</v>
      </c>
      <c r="W6" s="102">
        <v>84</v>
      </c>
      <c r="X6" s="97" t="s">
        <v>85</v>
      </c>
      <c r="Y6" s="103" t="s">
        <v>30</v>
      </c>
      <c r="Z6" s="94">
        <v>15</v>
      </c>
      <c r="AA6" s="94">
        <v>88</v>
      </c>
      <c r="AB6" s="94">
        <v>4</v>
      </c>
      <c r="AC6" s="143" t="s">
        <v>166</v>
      </c>
    </row>
    <row r="7" spans="1:29" ht="15" thickBot="1">
      <c r="A7" s="93" t="s">
        <v>95</v>
      </c>
      <c r="B7" s="94" t="s">
        <v>32</v>
      </c>
      <c r="C7" s="102">
        <v>91.3</v>
      </c>
      <c r="D7" s="94" t="s">
        <v>19</v>
      </c>
      <c r="E7" s="94">
        <v>7</v>
      </c>
      <c r="F7" s="96">
        <v>0.81</v>
      </c>
      <c r="G7" s="97" t="s">
        <v>20</v>
      </c>
      <c r="H7" s="94">
        <v>10</v>
      </c>
      <c r="I7" s="94">
        <v>8.5</v>
      </c>
      <c r="J7" s="98" t="s">
        <v>26</v>
      </c>
      <c r="K7" s="94">
        <v>10</v>
      </c>
      <c r="L7" s="99">
        <v>27</v>
      </c>
      <c r="M7" s="100">
        <v>0.91</v>
      </c>
      <c r="N7" s="97" t="s">
        <v>93</v>
      </c>
      <c r="O7" s="94">
        <v>14</v>
      </c>
      <c r="P7" s="100">
        <v>1</v>
      </c>
      <c r="Q7" s="94" t="s">
        <v>17</v>
      </c>
      <c r="R7" s="101">
        <v>15</v>
      </c>
      <c r="S7" s="100">
        <v>0.21</v>
      </c>
      <c r="T7" s="94" t="s">
        <v>84</v>
      </c>
      <c r="U7" s="97">
        <v>21</v>
      </c>
      <c r="V7" s="94">
        <v>10</v>
      </c>
      <c r="W7" s="102">
        <v>87</v>
      </c>
      <c r="X7" s="97" t="s">
        <v>28</v>
      </c>
      <c r="Y7" s="105" t="s">
        <v>29</v>
      </c>
      <c r="Z7" s="94">
        <v>11</v>
      </c>
      <c r="AA7" s="94">
        <v>93</v>
      </c>
      <c r="AB7" s="94">
        <v>3</v>
      </c>
      <c r="AC7" s="143" t="s">
        <v>166</v>
      </c>
    </row>
    <row r="8" spans="1:29" ht="15" thickBot="1">
      <c r="A8" s="93" t="s">
        <v>96</v>
      </c>
      <c r="B8" s="94" t="s">
        <v>32</v>
      </c>
      <c r="C8" s="102">
        <v>90.2</v>
      </c>
      <c r="D8" s="94" t="s">
        <v>19</v>
      </c>
      <c r="E8" s="94">
        <v>7</v>
      </c>
      <c r="F8" s="96">
        <v>0.7</v>
      </c>
      <c r="G8" s="97" t="s">
        <v>20</v>
      </c>
      <c r="H8" s="94">
        <v>10</v>
      </c>
      <c r="I8" s="94">
        <v>70.599999999999994</v>
      </c>
      <c r="J8" s="98" t="s">
        <v>82</v>
      </c>
      <c r="K8" s="94">
        <v>9</v>
      </c>
      <c r="L8" s="99">
        <v>26</v>
      </c>
      <c r="M8" s="100">
        <v>0.82</v>
      </c>
      <c r="N8" s="97" t="s">
        <v>83</v>
      </c>
      <c r="O8" s="94">
        <v>6</v>
      </c>
      <c r="P8" s="100">
        <v>0.96</v>
      </c>
      <c r="Q8" s="94" t="s">
        <v>17</v>
      </c>
      <c r="R8" s="101">
        <v>15</v>
      </c>
      <c r="S8" s="100">
        <v>0.24</v>
      </c>
      <c r="T8" s="94" t="s">
        <v>97</v>
      </c>
      <c r="U8" s="97">
        <v>18</v>
      </c>
      <c r="V8" s="94">
        <v>9</v>
      </c>
      <c r="W8" s="102">
        <v>74</v>
      </c>
      <c r="X8" s="97" t="s">
        <v>85</v>
      </c>
      <c r="Y8" s="103" t="s">
        <v>30</v>
      </c>
      <c r="Z8" s="94">
        <v>22</v>
      </c>
      <c r="AA8" s="94">
        <v>80</v>
      </c>
      <c r="AB8" s="94">
        <v>9</v>
      </c>
      <c r="AC8" s="143" t="s">
        <v>166</v>
      </c>
    </row>
    <row r="9" spans="1:29" ht="15" thickBot="1">
      <c r="A9" s="93" t="s">
        <v>98</v>
      </c>
      <c r="B9" s="94" t="s">
        <v>32</v>
      </c>
      <c r="C9" s="95">
        <v>99.7</v>
      </c>
      <c r="D9" s="94" t="s">
        <v>18</v>
      </c>
      <c r="E9" s="94">
        <v>10</v>
      </c>
      <c r="F9" s="96">
        <v>1</v>
      </c>
      <c r="G9" s="97" t="s">
        <v>20</v>
      </c>
      <c r="H9" s="94">
        <v>10</v>
      </c>
      <c r="I9" s="94">
        <v>0</v>
      </c>
      <c r="J9" s="98" t="s">
        <v>26</v>
      </c>
      <c r="K9" s="94">
        <v>10</v>
      </c>
      <c r="L9" s="99">
        <v>30</v>
      </c>
      <c r="M9" s="100">
        <v>1</v>
      </c>
      <c r="N9" s="97" t="s">
        <v>17</v>
      </c>
      <c r="O9" s="94">
        <v>20</v>
      </c>
      <c r="P9" s="100">
        <v>1</v>
      </c>
      <c r="Q9" s="94" t="s">
        <v>17</v>
      </c>
      <c r="R9" s="101">
        <v>15</v>
      </c>
      <c r="S9" s="100">
        <v>0.22</v>
      </c>
      <c r="T9" s="94" t="s">
        <v>99</v>
      </c>
      <c r="U9" s="97">
        <v>20</v>
      </c>
      <c r="V9" s="94">
        <v>10</v>
      </c>
      <c r="W9" s="102">
        <v>95</v>
      </c>
      <c r="X9" s="94" t="s">
        <v>33</v>
      </c>
      <c r="Y9" s="108" t="s">
        <v>34</v>
      </c>
      <c r="Z9" s="94">
        <v>3</v>
      </c>
      <c r="AA9" s="94">
        <v>95</v>
      </c>
      <c r="AB9" s="94">
        <v>1</v>
      </c>
      <c r="AC9" s="143" t="s">
        <v>166</v>
      </c>
    </row>
    <row r="10" spans="1:29" ht="15" thickBot="1">
      <c r="A10" s="154" t="s">
        <v>169</v>
      </c>
      <c r="B10" s="94" t="s">
        <v>32</v>
      </c>
      <c r="C10" s="95">
        <v>100.7</v>
      </c>
      <c r="D10" s="94" t="s">
        <v>18</v>
      </c>
      <c r="E10" s="94">
        <v>10</v>
      </c>
      <c r="F10" s="96">
        <v>1</v>
      </c>
      <c r="G10" s="97" t="s">
        <v>20</v>
      </c>
      <c r="H10" s="94">
        <v>10</v>
      </c>
      <c r="I10" s="94">
        <v>0</v>
      </c>
      <c r="J10" s="98" t="s">
        <v>170</v>
      </c>
      <c r="K10" s="94">
        <v>10</v>
      </c>
      <c r="L10" s="99">
        <v>30</v>
      </c>
      <c r="M10" s="100">
        <v>1</v>
      </c>
      <c r="N10" s="97" t="s">
        <v>17</v>
      </c>
      <c r="O10" s="94">
        <v>20</v>
      </c>
      <c r="P10" s="100">
        <v>1</v>
      </c>
      <c r="Q10" s="94" t="s">
        <v>17</v>
      </c>
      <c r="R10" s="101">
        <v>15</v>
      </c>
      <c r="S10" s="100">
        <v>0.22</v>
      </c>
      <c r="T10" s="94" t="s">
        <v>109</v>
      </c>
      <c r="U10" s="97">
        <v>20</v>
      </c>
      <c r="V10" s="94">
        <v>10</v>
      </c>
      <c r="W10" s="102">
        <v>95</v>
      </c>
      <c r="X10" s="94" t="s">
        <v>33</v>
      </c>
      <c r="Y10" s="108" t="s">
        <v>34</v>
      </c>
      <c r="Z10" s="94">
        <v>3</v>
      </c>
      <c r="AA10" s="94">
        <v>95</v>
      </c>
      <c r="AB10" s="94">
        <v>1</v>
      </c>
      <c r="AC10" s="143" t="s">
        <v>166</v>
      </c>
    </row>
    <row r="11" spans="1:29">
      <c r="AC11" s="143"/>
    </row>
    <row r="12" spans="1:29">
      <c r="J12" s="205"/>
      <c r="K12" s="205"/>
      <c r="L12" s="205"/>
      <c r="AC12" s="143"/>
    </row>
    <row r="13" spans="1:29">
      <c r="I13" s="205"/>
      <c r="J13" s="205"/>
      <c r="AC13" s="143"/>
    </row>
    <row r="14" spans="1:29">
      <c r="I14" s="205"/>
      <c r="J14" s="205"/>
      <c r="AC14" s="143"/>
    </row>
    <row r="15" spans="1:29">
      <c r="I15" s="205"/>
      <c r="J15" s="205"/>
      <c r="AC15" s="143"/>
    </row>
    <row r="16" spans="1:29">
      <c r="I16" s="205"/>
      <c r="J16" s="205"/>
      <c r="AC16" s="143"/>
    </row>
    <row r="17" spans="29:29">
      <c r="AC17" s="143"/>
    </row>
    <row r="18" spans="29:29">
      <c r="AC18" s="143"/>
    </row>
    <row r="19" spans="29:29">
      <c r="AC19" s="143"/>
    </row>
    <row r="20" spans="29:29">
      <c r="AC20" s="143"/>
    </row>
  </sheetData>
  <mergeCells count="5">
    <mergeCell ref="J12:L12"/>
    <mergeCell ref="I13:J13"/>
    <mergeCell ref="I14:J14"/>
    <mergeCell ref="I15:J15"/>
    <mergeCell ref="I16:J16"/>
  </mergeCells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FB653-B435-4B6B-AC05-AA889292E97E}">
  <dimension ref="A1:AC21"/>
  <sheetViews>
    <sheetView zoomScale="50" zoomScaleNormal="50" workbookViewId="0">
      <selection activeCell="AB2" sqref="AB2:AB21"/>
    </sheetView>
  </sheetViews>
  <sheetFormatPr defaultRowHeight="14.4"/>
  <cols>
    <col min="1" max="1" width="25.77734375" customWidth="1"/>
    <col min="2" max="2" width="17.6640625" customWidth="1"/>
    <col min="3" max="3" width="18.88671875" customWidth="1"/>
    <col min="4" max="4" width="14.77734375" customWidth="1"/>
    <col min="5" max="5" width="13.21875" customWidth="1"/>
    <col min="7" max="7" width="14.44140625" customWidth="1"/>
    <col min="8" max="8" width="11.109375" customWidth="1"/>
    <col min="12" max="12" width="11.33203125" customWidth="1"/>
    <col min="13" max="13" width="10.33203125" customWidth="1"/>
    <col min="14" max="14" width="13.109375" customWidth="1"/>
    <col min="15" max="15" width="11.44140625" customWidth="1"/>
    <col min="18" max="18" width="9.6640625" customWidth="1"/>
    <col min="19" max="19" width="12" customWidth="1"/>
    <col min="20" max="20" width="13.88671875" customWidth="1"/>
    <col min="21" max="21" width="13.109375" customWidth="1"/>
    <col min="22" max="22" width="15.77734375" customWidth="1"/>
    <col min="23" max="23" width="16.77734375" customWidth="1"/>
    <col min="24" max="24" width="12.77734375" customWidth="1"/>
    <col min="25" max="25" width="12.5546875" customWidth="1"/>
    <col min="26" max="26" width="12.109375" customWidth="1"/>
    <col min="27" max="27" width="10.21875" customWidth="1"/>
    <col min="28" max="28" width="10.109375" customWidth="1"/>
    <col min="29" max="29" width="21.5546875" customWidth="1"/>
  </cols>
  <sheetData>
    <row r="1" spans="1:29" ht="43.2">
      <c r="A1" s="122" t="s">
        <v>73</v>
      </c>
      <c r="B1" s="123" t="s">
        <v>74</v>
      </c>
      <c r="C1" s="123" t="s">
        <v>168</v>
      </c>
      <c r="D1" s="124" t="s">
        <v>2</v>
      </c>
      <c r="E1" s="124" t="s">
        <v>75</v>
      </c>
      <c r="F1" s="125" t="s">
        <v>76</v>
      </c>
      <c r="G1" s="125" t="s">
        <v>0</v>
      </c>
      <c r="H1" s="125" t="s">
        <v>77</v>
      </c>
      <c r="I1" s="126" t="s">
        <v>11</v>
      </c>
      <c r="J1" s="126" t="s">
        <v>1</v>
      </c>
      <c r="K1" s="126" t="s">
        <v>78</v>
      </c>
      <c r="L1" s="124" t="s">
        <v>12</v>
      </c>
      <c r="M1" s="131" t="s">
        <v>7</v>
      </c>
      <c r="N1" s="132" t="s">
        <v>3</v>
      </c>
      <c r="O1" s="132" t="s">
        <v>13</v>
      </c>
      <c r="P1" s="135" t="s">
        <v>4</v>
      </c>
      <c r="Q1" s="135" t="s">
        <v>8</v>
      </c>
      <c r="R1" s="135" t="s">
        <v>16</v>
      </c>
      <c r="S1" s="134" t="s">
        <v>5</v>
      </c>
      <c r="T1" s="134" t="s">
        <v>79</v>
      </c>
      <c r="U1" s="134" t="s">
        <v>14</v>
      </c>
      <c r="V1" s="133" t="s">
        <v>15</v>
      </c>
      <c r="W1" s="136" t="s">
        <v>9</v>
      </c>
      <c r="X1" s="146" t="s">
        <v>10</v>
      </c>
      <c r="Y1" s="147" t="s">
        <v>6</v>
      </c>
      <c r="Z1" s="148" t="s">
        <v>31</v>
      </c>
      <c r="AA1" s="149" t="s">
        <v>21</v>
      </c>
      <c r="AB1" s="149" t="s">
        <v>23</v>
      </c>
      <c r="AC1" s="130" t="s">
        <v>163</v>
      </c>
    </row>
    <row r="2" spans="1:29">
      <c r="A2" s="153" t="s">
        <v>146</v>
      </c>
      <c r="B2" s="112" t="s">
        <v>32</v>
      </c>
      <c r="C2" s="151">
        <v>100</v>
      </c>
      <c r="D2" s="137" t="s">
        <v>18</v>
      </c>
      <c r="E2" s="137">
        <v>10</v>
      </c>
      <c r="F2" s="138">
        <v>0.7</v>
      </c>
      <c r="G2" s="110" t="s">
        <v>20</v>
      </c>
      <c r="H2" s="140">
        <v>10</v>
      </c>
      <c r="I2" s="144">
        <v>3.6325060011599191</v>
      </c>
      <c r="J2" s="128" t="s">
        <v>82</v>
      </c>
      <c r="K2" s="142">
        <v>10</v>
      </c>
      <c r="L2" s="114">
        <v>30</v>
      </c>
      <c r="M2" s="152">
        <v>0.97894736842105268</v>
      </c>
      <c r="N2" s="110" t="s">
        <v>17</v>
      </c>
      <c r="O2" s="110">
        <v>20</v>
      </c>
      <c r="P2" s="115">
        <v>0.99886104783599083</v>
      </c>
      <c r="Q2" s="110" t="s">
        <v>17</v>
      </c>
      <c r="R2" s="110">
        <v>15</v>
      </c>
      <c r="S2" s="145">
        <v>9.3131780895513314E-2</v>
      </c>
      <c r="T2" s="109" t="s">
        <v>147</v>
      </c>
      <c r="U2" s="109">
        <v>22</v>
      </c>
      <c r="V2" s="141">
        <v>10</v>
      </c>
      <c r="W2" s="120">
        <v>97</v>
      </c>
      <c r="X2" s="127" t="s">
        <v>33</v>
      </c>
      <c r="Y2" s="128" t="s">
        <v>34</v>
      </c>
      <c r="Z2" s="140">
        <v>1</v>
      </c>
      <c r="AA2" s="110">
        <v>1</v>
      </c>
      <c r="AB2" s="120">
        <v>88</v>
      </c>
      <c r="AC2" s="143" t="s">
        <v>164</v>
      </c>
    </row>
    <row r="3" spans="1:29">
      <c r="A3" s="153" t="s">
        <v>98</v>
      </c>
      <c r="B3" s="112" t="s">
        <v>32</v>
      </c>
      <c r="C3" s="151">
        <v>100</v>
      </c>
      <c r="D3" s="137" t="s">
        <v>18</v>
      </c>
      <c r="E3" s="137">
        <v>10</v>
      </c>
      <c r="F3" s="138">
        <v>0.8</v>
      </c>
      <c r="G3" s="110" t="s">
        <v>20</v>
      </c>
      <c r="H3" s="140">
        <v>10</v>
      </c>
      <c r="I3" s="144">
        <v>0</v>
      </c>
      <c r="J3" s="128" t="s">
        <v>26</v>
      </c>
      <c r="K3" s="142">
        <v>10</v>
      </c>
      <c r="L3" s="114">
        <v>30</v>
      </c>
      <c r="M3" s="152">
        <v>0.95652173913043481</v>
      </c>
      <c r="N3" s="110" t="s">
        <v>17</v>
      </c>
      <c r="O3" s="110">
        <v>20</v>
      </c>
      <c r="P3" s="115">
        <v>1</v>
      </c>
      <c r="Q3" s="110" t="s">
        <v>17</v>
      </c>
      <c r="R3" s="110">
        <v>15</v>
      </c>
      <c r="S3" s="145">
        <v>9.929432973322444E-2</v>
      </c>
      <c r="T3" s="109" t="s">
        <v>99</v>
      </c>
      <c r="U3" s="109">
        <v>20</v>
      </c>
      <c r="V3" s="141">
        <v>10</v>
      </c>
      <c r="W3" s="120">
        <v>95</v>
      </c>
      <c r="X3" s="128" t="s">
        <v>28</v>
      </c>
      <c r="Y3" s="128" t="s">
        <v>29</v>
      </c>
      <c r="Z3" s="140">
        <v>2</v>
      </c>
      <c r="AA3" s="140" t="s">
        <v>107</v>
      </c>
      <c r="AB3" s="140" t="s">
        <v>107</v>
      </c>
      <c r="AC3" s="143" t="s">
        <v>164</v>
      </c>
    </row>
    <row r="4" spans="1:29">
      <c r="A4" s="153" t="s">
        <v>148</v>
      </c>
      <c r="B4" s="112" t="s">
        <v>32</v>
      </c>
      <c r="C4" s="151">
        <v>95.9</v>
      </c>
      <c r="D4" s="137" t="s">
        <v>18</v>
      </c>
      <c r="E4" s="137">
        <v>10</v>
      </c>
      <c r="F4" s="138">
        <v>0.68</v>
      </c>
      <c r="G4" s="110" t="s">
        <v>20</v>
      </c>
      <c r="H4" s="140">
        <v>10</v>
      </c>
      <c r="I4" s="144">
        <v>10.009426892456151</v>
      </c>
      <c r="J4" s="128" t="s">
        <v>26</v>
      </c>
      <c r="K4" s="142">
        <v>10</v>
      </c>
      <c r="L4" s="114">
        <v>30</v>
      </c>
      <c r="M4" s="152">
        <v>0.98519736842105265</v>
      </c>
      <c r="N4" s="110" t="s">
        <v>17</v>
      </c>
      <c r="O4" s="110">
        <v>20</v>
      </c>
      <c r="P4" s="115">
        <v>0.99886104783599083</v>
      </c>
      <c r="Q4" s="110" t="s">
        <v>17</v>
      </c>
      <c r="R4" s="110">
        <v>15</v>
      </c>
      <c r="S4" s="145">
        <v>0.10103239361704901</v>
      </c>
      <c r="T4" s="109" t="s">
        <v>97</v>
      </c>
      <c r="U4" s="109">
        <v>18</v>
      </c>
      <c r="V4" s="141">
        <v>10</v>
      </c>
      <c r="W4" s="120">
        <v>93</v>
      </c>
      <c r="X4" s="128" t="s">
        <v>28</v>
      </c>
      <c r="Y4" s="128" t="s">
        <v>29</v>
      </c>
      <c r="Z4" s="140">
        <v>3</v>
      </c>
      <c r="AA4" s="140">
        <v>4</v>
      </c>
      <c r="AB4" s="110">
        <v>83</v>
      </c>
      <c r="AC4" s="143" t="s">
        <v>164</v>
      </c>
    </row>
    <row r="5" spans="1:29">
      <c r="A5" s="153" t="s">
        <v>80</v>
      </c>
      <c r="B5" s="112" t="s">
        <v>32</v>
      </c>
      <c r="C5" s="151">
        <v>94.6</v>
      </c>
      <c r="D5" s="137" t="s">
        <v>19</v>
      </c>
      <c r="E5" s="139">
        <v>7</v>
      </c>
      <c r="F5" s="138">
        <v>0.68</v>
      </c>
      <c r="G5" s="110" t="s">
        <v>20</v>
      </c>
      <c r="H5" s="140">
        <v>10</v>
      </c>
      <c r="I5" s="144">
        <v>6.1613269526631402</v>
      </c>
      <c r="J5" s="128" t="s">
        <v>82</v>
      </c>
      <c r="K5" s="142">
        <v>77.905296000000007</v>
      </c>
      <c r="L5" s="114">
        <v>27</v>
      </c>
      <c r="M5" s="152">
        <v>0.94696969696969702</v>
      </c>
      <c r="N5" s="110" t="s">
        <v>17</v>
      </c>
      <c r="O5" s="110">
        <v>20</v>
      </c>
      <c r="P5" s="115">
        <v>0.89830508474576276</v>
      </c>
      <c r="Q5" s="110" t="s">
        <v>27</v>
      </c>
      <c r="R5" s="110">
        <v>10.5</v>
      </c>
      <c r="S5" s="145">
        <v>7.9426442049637308E-2</v>
      </c>
      <c r="T5" s="109" t="s">
        <v>91</v>
      </c>
      <c r="U5" s="109">
        <v>25</v>
      </c>
      <c r="V5" s="141">
        <v>5</v>
      </c>
      <c r="W5" s="120">
        <v>87.5</v>
      </c>
      <c r="X5" s="128" t="s">
        <v>28</v>
      </c>
      <c r="Y5" s="128" t="s">
        <v>29</v>
      </c>
      <c r="Z5" s="140">
        <v>4</v>
      </c>
      <c r="AA5" s="110">
        <v>7</v>
      </c>
      <c r="AB5" s="113">
        <v>79</v>
      </c>
      <c r="AC5" s="143" t="s">
        <v>164</v>
      </c>
    </row>
    <row r="6" spans="1:29">
      <c r="A6" s="153" t="s">
        <v>149</v>
      </c>
      <c r="B6" s="112" t="s">
        <v>81</v>
      </c>
      <c r="C6" s="151">
        <v>86</v>
      </c>
      <c r="D6" s="137" t="s">
        <v>19</v>
      </c>
      <c r="E6" s="139">
        <v>7</v>
      </c>
      <c r="F6" s="138">
        <v>0.63</v>
      </c>
      <c r="G6" s="110" t="s">
        <v>20</v>
      </c>
      <c r="H6" s="140">
        <v>10</v>
      </c>
      <c r="I6" s="144">
        <v>68.107449932437902</v>
      </c>
      <c r="J6" s="128" t="s">
        <v>82</v>
      </c>
      <c r="K6" s="142">
        <v>7.0476871542857138</v>
      </c>
      <c r="L6" s="114">
        <v>24.047687154285715</v>
      </c>
      <c r="M6" s="152">
        <v>0.95388349514563109</v>
      </c>
      <c r="N6" s="110" t="s">
        <v>17</v>
      </c>
      <c r="O6" s="110">
        <v>20</v>
      </c>
      <c r="P6" s="115">
        <v>0.9838709677419355</v>
      </c>
      <c r="Q6" s="110" t="s">
        <v>17</v>
      </c>
      <c r="R6" s="110">
        <v>15</v>
      </c>
      <c r="S6" s="145">
        <v>8.8653264362900275E-2</v>
      </c>
      <c r="T6" s="109" t="s">
        <v>94</v>
      </c>
      <c r="U6" s="109">
        <v>23</v>
      </c>
      <c r="V6" s="141">
        <v>5</v>
      </c>
      <c r="W6" s="120">
        <v>87.047687154285711</v>
      </c>
      <c r="X6" s="128" t="s">
        <v>28</v>
      </c>
      <c r="Y6" s="128" t="s">
        <v>29</v>
      </c>
      <c r="Z6" s="140">
        <v>5</v>
      </c>
      <c r="AA6" s="140">
        <v>15</v>
      </c>
      <c r="AB6" s="140">
        <v>72</v>
      </c>
      <c r="AC6" s="143" t="s">
        <v>164</v>
      </c>
    </row>
    <row r="7" spans="1:29">
      <c r="A7" s="153" t="s">
        <v>150</v>
      </c>
      <c r="B7" s="112" t="s">
        <v>32</v>
      </c>
      <c r="C7" s="151">
        <v>100</v>
      </c>
      <c r="D7" s="137" t="s">
        <v>18</v>
      </c>
      <c r="E7" s="137">
        <v>10</v>
      </c>
      <c r="F7" s="138">
        <v>0.6</v>
      </c>
      <c r="G7" s="110" t="s">
        <v>20</v>
      </c>
      <c r="H7" s="140">
        <v>10</v>
      </c>
      <c r="I7" s="144">
        <v>0</v>
      </c>
      <c r="J7" s="128" t="s">
        <v>26</v>
      </c>
      <c r="K7" s="142">
        <v>10</v>
      </c>
      <c r="L7" s="114">
        <v>30</v>
      </c>
      <c r="M7" s="152">
        <v>1</v>
      </c>
      <c r="N7" s="110" t="s">
        <v>17</v>
      </c>
      <c r="O7" s="110">
        <v>20</v>
      </c>
      <c r="P7" s="115">
        <v>1</v>
      </c>
      <c r="Q7" s="110" t="s">
        <v>17</v>
      </c>
      <c r="R7" s="110">
        <v>15</v>
      </c>
      <c r="S7" s="145">
        <v>0.11987244938228114</v>
      </c>
      <c r="T7" s="109" t="s">
        <v>133</v>
      </c>
      <c r="U7" s="109">
        <v>10</v>
      </c>
      <c r="V7" s="141">
        <v>10</v>
      </c>
      <c r="W7" s="120">
        <v>85</v>
      </c>
      <c r="X7" s="128" t="s">
        <v>28</v>
      </c>
      <c r="Y7" s="128" t="s">
        <v>29</v>
      </c>
      <c r="Z7" s="140">
        <v>6</v>
      </c>
      <c r="AA7" s="140" t="s">
        <v>107</v>
      </c>
      <c r="AB7" s="140" t="s">
        <v>107</v>
      </c>
      <c r="AC7" s="143" t="s">
        <v>164</v>
      </c>
    </row>
    <row r="8" spans="1:29">
      <c r="A8" s="153" t="s">
        <v>151</v>
      </c>
      <c r="B8" s="112" t="s">
        <v>32</v>
      </c>
      <c r="C8" s="151">
        <v>100</v>
      </c>
      <c r="D8" s="137" t="s">
        <v>18</v>
      </c>
      <c r="E8" s="137">
        <v>10</v>
      </c>
      <c r="F8" s="138">
        <v>1</v>
      </c>
      <c r="G8" s="110" t="s">
        <v>20</v>
      </c>
      <c r="H8" s="140">
        <v>10</v>
      </c>
      <c r="I8" s="144">
        <v>12.747655068850083</v>
      </c>
      <c r="J8" s="128" t="s">
        <v>26</v>
      </c>
      <c r="K8" s="142">
        <v>10</v>
      </c>
      <c r="L8" s="114">
        <v>30</v>
      </c>
      <c r="M8" s="152">
        <v>0.94117647058823528</v>
      </c>
      <c r="N8" s="110" t="s">
        <v>93</v>
      </c>
      <c r="O8" s="110">
        <v>14</v>
      </c>
      <c r="P8" s="115">
        <v>0.98529411764705888</v>
      </c>
      <c r="Q8" s="110" t="s">
        <v>17</v>
      </c>
      <c r="R8" s="110">
        <v>15</v>
      </c>
      <c r="S8" s="145">
        <v>0.1000906969302605</v>
      </c>
      <c r="T8" s="109" t="s">
        <v>109</v>
      </c>
      <c r="U8" s="109">
        <v>19</v>
      </c>
      <c r="V8" s="141">
        <v>5</v>
      </c>
      <c r="W8" s="120">
        <v>83</v>
      </c>
      <c r="X8" s="128" t="s">
        <v>85</v>
      </c>
      <c r="Y8" s="128" t="s">
        <v>30</v>
      </c>
      <c r="Z8" s="140">
        <v>7</v>
      </c>
      <c r="AA8" s="140">
        <v>14</v>
      </c>
      <c r="AB8" s="140">
        <v>73</v>
      </c>
      <c r="AC8" s="143" t="s">
        <v>164</v>
      </c>
    </row>
    <row r="9" spans="1:29">
      <c r="A9" s="153" t="s">
        <v>152</v>
      </c>
      <c r="B9" s="112" t="s">
        <v>81</v>
      </c>
      <c r="C9" s="151">
        <v>99.2</v>
      </c>
      <c r="D9" s="137" t="s">
        <v>18</v>
      </c>
      <c r="E9" s="137">
        <v>10</v>
      </c>
      <c r="F9" s="138">
        <v>0.63</v>
      </c>
      <c r="G9" s="110" t="s">
        <v>20</v>
      </c>
      <c r="H9" s="140">
        <v>10</v>
      </c>
      <c r="I9" s="144">
        <v>53.848304878824905</v>
      </c>
      <c r="J9" s="128" t="s">
        <v>26</v>
      </c>
      <c r="K9" s="142">
        <v>10</v>
      </c>
      <c r="L9" s="114">
        <v>30</v>
      </c>
      <c r="M9" s="152">
        <v>0.97159090909090906</v>
      </c>
      <c r="N9" s="110" t="s">
        <v>17</v>
      </c>
      <c r="O9" s="110">
        <v>20</v>
      </c>
      <c r="P9" s="115">
        <v>0.98412698412698407</v>
      </c>
      <c r="Q9" s="110" t="s">
        <v>17</v>
      </c>
      <c r="R9" s="110">
        <v>15</v>
      </c>
      <c r="S9" s="145">
        <v>0.11938109756966783</v>
      </c>
      <c r="T9" s="109" t="s">
        <v>127</v>
      </c>
      <c r="U9" s="109">
        <v>11</v>
      </c>
      <c r="V9" s="141">
        <v>7</v>
      </c>
      <c r="W9" s="120">
        <v>83</v>
      </c>
      <c r="X9" s="128" t="s">
        <v>85</v>
      </c>
      <c r="Y9" s="128" t="s">
        <v>30</v>
      </c>
      <c r="Z9" s="140">
        <v>8</v>
      </c>
      <c r="AA9" s="110">
        <v>11</v>
      </c>
      <c r="AB9" s="113">
        <v>77</v>
      </c>
      <c r="AC9" s="143" t="s">
        <v>164</v>
      </c>
    </row>
    <row r="10" spans="1:29">
      <c r="A10" s="153" t="s">
        <v>153</v>
      </c>
      <c r="B10" s="127" t="s">
        <v>22</v>
      </c>
      <c r="C10" s="151">
        <v>98</v>
      </c>
      <c r="D10" s="137" t="s">
        <v>18</v>
      </c>
      <c r="E10" s="137">
        <v>10</v>
      </c>
      <c r="F10" s="138">
        <v>0.64</v>
      </c>
      <c r="G10" s="110" t="s">
        <v>20</v>
      </c>
      <c r="H10" s="140">
        <v>10</v>
      </c>
      <c r="I10" s="144">
        <v>96.07781425820987</v>
      </c>
      <c r="J10" s="128" t="s">
        <v>26</v>
      </c>
      <c r="K10" s="142">
        <v>10</v>
      </c>
      <c r="L10" s="114">
        <v>30</v>
      </c>
      <c r="M10" s="152">
        <v>0.94444444444444442</v>
      </c>
      <c r="N10" s="110" t="s">
        <v>93</v>
      </c>
      <c r="O10" s="110">
        <v>14</v>
      </c>
      <c r="P10" s="115">
        <v>1</v>
      </c>
      <c r="Q10" s="110" t="s">
        <v>17</v>
      </c>
      <c r="R10" s="110">
        <v>15</v>
      </c>
      <c r="S10" s="145">
        <v>0.10367577195927281</v>
      </c>
      <c r="T10" s="109" t="s">
        <v>87</v>
      </c>
      <c r="U10" s="109">
        <v>16</v>
      </c>
      <c r="V10" s="141">
        <v>7</v>
      </c>
      <c r="W10" s="120">
        <v>82</v>
      </c>
      <c r="X10" s="128" t="s">
        <v>85</v>
      </c>
      <c r="Y10" s="128" t="s">
        <v>30</v>
      </c>
      <c r="Z10" s="140">
        <v>9</v>
      </c>
      <c r="AA10" s="140">
        <v>2</v>
      </c>
      <c r="AB10" s="140">
        <v>85</v>
      </c>
      <c r="AC10" s="143" t="s">
        <v>164</v>
      </c>
    </row>
    <row r="11" spans="1:29">
      <c r="A11" s="153" t="s">
        <v>154</v>
      </c>
      <c r="B11" s="112" t="s">
        <v>81</v>
      </c>
      <c r="C11" s="151">
        <v>95.1</v>
      </c>
      <c r="D11" s="137" t="s">
        <v>18</v>
      </c>
      <c r="E11" s="137">
        <v>10</v>
      </c>
      <c r="F11" s="138">
        <v>0.65</v>
      </c>
      <c r="G11" s="110" t="s">
        <v>20</v>
      </c>
      <c r="H11" s="140">
        <v>10</v>
      </c>
      <c r="I11" s="144">
        <v>45.579209772729534</v>
      </c>
      <c r="J11" s="128" t="s">
        <v>26</v>
      </c>
      <c r="K11" s="142">
        <v>10</v>
      </c>
      <c r="L11" s="114">
        <v>30</v>
      </c>
      <c r="M11" s="152">
        <v>0.9576271186440678</v>
      </c>
      <c r="N11" s="110" t="s">
        <v>17</v>
      </c>
      <c r="O11" s="110">
        <v>20</v>
      </c>
      <c r="P11" s="115">
        <v>0.94023904382470125</v>
      </c>
      <c r="Q11" s="110" t="s">
        <v>27</v>
      </c>
      <c r="R11" s="110">
        <v>10.5</v>
      </c>
      <c r="S11" s="145">
        <v>0.1037342922867199</v>
      </c>
      <c r="T11" s="109" t="s">
        <v>100</v>
      </c>
      <c r="U11" s="109">
        <v>15</v>
      </c>
      <c r="V11" s="141">
        <v>5</v>
      </c>
      <c r="W11" s="120">
        <v>80.5</v>
      </c>
      <c r="X11" s="128" t="s">
        <v>85</v>
      </c>
      <c r="Y11" s="128" t="s">
        <v>30</v>
      </c>
      <c r="Z11" s="140">
        <v>10</v>
      </c>
      <c r="AA11" s="140">
        <v>8</v>
      </c>
      <c r="AB11" s="113">
        <v>78</v>
      </c>
      <c r="AC11" s="143" t="s">
        <v>164</v>
      </c>
    </row>
    <row r="12" spans="1:29">
      <c r="A12" s="153" t="s">
        <v>155</v>
      </c>
      <c r="B12" s="127" t="s">
        <v>156</v>
      </c>
      <c r="C12" s="151">
        <v>98.7</v>
      </c>
      <c r="D12" s="137" t="s">
        <v>18</v>
      </c>
      <c r="E12" s="137">
        <v>10</v>
      </c>
      <c r="F12" s="138">
        <v>0.68</v>
      </c>
      <c r="G12" s="110" t="s">
        <v>20</v>
      </c>
      <c r="H12" s="140">
        <v>10</v>
      </c>
      <c r="I12" s="144">
        <v>47.717873607568585</v>
      </c>
      <c r="J12" s="128" t="s">
        <v>26</v>
      </c>
      <c r="K12" s="142">
        <v>10</v>
      </c>
      <c r="L12" s="114">
        <v>30</v>
      </c>
      <c r="M12" s="152">
        <v>0.89784946236559138</v>
      </c>
      <c r="N12" s="110" t="s">
        <v>93</v>
      </c>
      <c r="O12" s="110">
        <v>14</v>
      </c>
      <c r="P12" s="115">
        <v>0.9652173913043478</v>
      </c>
      <c r="Q12" s="110" t="s">
        <v>17</v>
      </c>
      <c r="R12" s="110">
        <v>15</v>
      </c>
      <c r="S12" s="145">
        <v>0.10955571923006899</v>
      </c>
      <c r="T12" s="109" t="s">
        <v>122</v>
      </c>
      <c r="U12" s="109">
        <v>13</v>
      </c>
      <c r="V12" s="141">
        <v>7</v>
      </c>
      <c r="W12" s="120">
        <v>79</v>
      </c>
      <c r="X12" s="128" t="s">
        <v>85</v>
      </c>
      <c r="Y12" s="128" t="s">
        <v>30</v>
      </c>
      <c r="Z12" s="140">
        <v>11</v>
      </c>
      <c r="AA12" s="140">
        <v>10</v>
      </c>
      <c r="AB12" s="113">
        <v>77</v>
      </c>
      <c r="AC12" s="143" t="s">
        <v>164</v>
      </c>
    </row>
    <row r="13" spans="1:29">
      <c r="A13" s="153" t="s">
        <v>157</v>
      </c>
      <c r="B13" s="127" t="s">
        <v>156</v>
      </c>
      <c r="C13" s="151">
        <v>96.3</v>
      </c>
      <c r="D13" s="137" t="s">
        <v>18</v>
      </c>
      <c r="E13" s="137">
        <v>10</v>
      </c>
      <c r="F13" s="145">
        <v>0.64</v>
      </c>
      <c r="G13" s="110" t="s">
        <v>20</v>
      </c>
      <c r="H13" s="140">
        <v>10</v>
      </c>
      <c r="I13" s="144">
        <v>362.37423248634263</v>
      </c>
      <c r="J13" s="128" t="s">
        <v>26</v>
      </c>
      <c r="K13" s="142">
        <v>10</v>
      </c>
      <c r="L13" s="114">
        <v>30</v>
      </c>
      <c r="M13" s="152">
        <v>0.90692640692640691</v>
      </c>
      <c r="N13" s="110" t="s">
        <v>93</v>
      </c>
      <c r="O13" s="110">
        <v>14</v>
      </c>
      <c r="P13" s="115">
        <v>0.94915254237288138</v>
      </c>
      <c r="Q13" s="110" t="s">
        <v>17</v>
      </c>
      <c r="R13" s="110">
        <v>15</v>
      </c>
      <c r="S13" s="145">
        <v>0.10895389173577627</v>
      </c>
      <c r="T13" s="109" t="s">
        <v>139</v>
      </c>
      <c r="U13" s="109">
        <v>14</v>
      </c>
      <c r="V13" s="141">
        <v>5</v>
      </c>
      <c r="W13" s="120">
        <v>78</v>
      </c>
      <c r="X13" s="128" t="s">
        <v>85</v>
      </c>
      <c r="Y13" s="128" t="s">
        <v>30</v>
      </c>
      <c r="Z13" s="140">
        <v>12</v>
      </c>
      <c r="AA13" s="140">
        <v>16</v>
      </c>
      <c r="AB13" s="113">
        <v>72</v>
      </c>
      <c r="AC13" s="143" t="s">
        <v>164</v>
      </c>
    </row>
    <row r="14" spans="1:29">
      <c r="A14" s="153" t="s">
        <v>158</v>
      </c>
      <c r="B14" s="127" t="s">
        <v>156</v>
      </c>
      <c r="C14" s="151">
        <v>95.8</v>
      </c>
      <c r="D14" s="137" t="s">
        <v>18</v>
      </c>
      <c r="E14" s="137">
        <v>10</v>
      </c>
      <c r="F14" s="138">
        <v>0.71</v>
      </c>
      <c r="G14" s="110" t="s">
        <v>20</v>
      </c>
      <c r="H14" s="140">
        <v>10</v>
      </c>
      <c r="I14" s="144">
        <v>45.120610211132501</v>
      </c>
      <c r="J14" s="128" t="s">
        <v>82</v>
      </c>
      <c r="K14" s="142">
        <v>10.638153999999998</v>
      </c>
      <c r="L14" s="114">
        <v>30</v>
      </c>
      <c r="M14" s="152">
        <v>0.87962962962962965</v>
      </c>
      <c r="N14" s="110" t="s">
        <v>159</v>
      </c>
      <c r="O14" s="110">
        <v>10</v>
      </c>
      <c r="P14" s="115">
        <v>1</v>
      </c>
      <c r="Q14" s="110" t="s">
        <v>17</v>
      </c>
      <c r="R14" s="110">
        <v>15</v>
      </c>
      <c r="S14" s="145">
        <v>0.10194096298363421</v>
      </c>
      <c r="T14" s="109" t="s">
        <v>120</v>
      </c>
      <c r="U14" s="109">
        <v>17</v>
      </c>
      <c r="V14" s="141">
        <v>5</v>
      </c>
      <c r="W14" s="120">
        <v>77</v>
      </c>
      <c r="X14" s="128" t="s">
        <v>85</v>
      </c>
      <c r="Y14" s="128" t="s">
        <v>30</v>
      </c>
      <c r="Z14" s="140">
        <v>13</v>
      </c>
      <c r="AA14" s="140">
        <v>6</v>
      </c>
      <c r="AB14" s="140">
        <v>80</v>
      </c>
      <c r="AC14" s="143" t="s">
        <v>164</v>
      </c>
    </row>
    <row r="15" spans="1:29">
      <c r="A15" s="153" t="s">
        <v>123</v>
      </c>
      <c r="B15" s="112" t="s">
        <v>32</v>
      </c>
      <c r="C15" s="151">
        <v>100</v>
      </c>
      <c r="D15" s="137" t="s">
        <v>18</v>
      </c>
      <c r="E15" s="137">
        <v>10</v>
      </c>
      <c r="F15" s="138">
        <v>0.71</v>
      </c>
      <c r="G15" s="110" t="s">
        <v>20</v>
      </c>
      <c r="H15" s="140">
        <v>10</v>
      </c>
      <c r="I15" s="144">
        <v>40.775368089441592</v>
      </c>
      <c r="J15" s="128" t="s">
        <v>26</v>
      </c>
      <c r="K15" s="142">
        <v>10</v>
      </c>
      <c r="L15" s="114">
        <v>30</v>
      </c>
      <c r="M15" s="152">
        <v>0.93333333333333335</v>
      </c>
      <c r="N15" s="110" t="s">
        <v>93</v>
      </c>
      <c r="O15" s="110">
        <v>14</v>
      </c>
      <c r="P15" s="115">
        <v>1</v>
      </c>
      <c r="Q15" s="110" t="s">
        <v>17</v>
      </c>
      <c r="R15" s="110">
        <v>15</v>
      </c>
      <c r="S15" s="145">
        <v>0.12954167712958711</v>
      </c>
      <c r="T15" s="109" t="s">
        <v>111</v>
      </c>
      <c r="U15" s="109">
        <v>8</v>
      </c>
      <c r="V15" s="141">
        <v>10</v>
      </c>
      <c r="W15" s="120">
        <v>77</v>
      </c>
      <c r="X15" s="128" t="s">
        <v>85</v>
      </c>
      <c r="Y15" s="128" t="s">
        <v>30</v>
      </c>
      <c r="Z15" s="140">
        <v>14</v>
      </c>
      <c r="AA15" s="140">
        <v>9</v>
      </c>
      <c r="AB15" s="113">
        <v>78</v>
      </c>
      <c r="AC15" s="143" t="s">
        <v>164</v>
      </c>
    </row>
    <row r="16" spans="1:29">
      <c r="A16" s="153" t="s">
        <v>95</v>
      </c>
      <c r="B16" s="112" t="s">
        <v>32</v>
      </c>
      <c r="C16" s="151">
        <v>100</v>
      </c>
      <c r="D16" s="137" t="s">
        <v>18</v>
      </c>
      <c r="E16" s="137">
        <v>10</v>
      </c>
      <c r="F16" s="138">
        <v>0.66</v>
      </c>
      <c r="G16" s="110" t="s">
        <v>20</v>
      </c>
      <c r="H16" s="140">
        <v>10</v>
      </c>
      <c r="I16" s="144">
        <v>238.89376365286327</v>
      </c>
      <c r="J16" s="128" t="s">
        <v>26</v>
      </c>
      <c r="K16" s="142">
        <v>10</v>
      </c>
      <c r="L16" s="114">
        <v>30</v>
      </c>
      <c r="M16" s="152">
        <v>0.94166666666666665</v>
      </c>
      <c r="N16" s="110" t="s">
        <v>93</v>
      </c>
      <c r="O16" s="110">
        <v>14</v>
      </c>
      <c r="P16" s="115">
        <v>0.99886104783599083</v>
      </c>
      <c r="Q16" s="110" t="s">
        <v>17</v>
      </c>
      <c r="R16" s="110">
        <v>15</v>
      </c>
      <c r="S16" s="145">
        <v>0.12956261311550538</v>
      </c>
      <c r="T16" s="109" t="s">
        <v>135</v>
      </c>
      <c r="U16" s="109">
        <v>7</v>
      </c>
      <c r="V16" s="141">
        <v>10</v>
      </c>
      <c r="W16" s="120">
        <v>76</v>
      </c>
      <c r="X16" s="128" t="s">
        <v>85</v>
      </c>
      <c r="Y16" s="128" t="s">
        <v>30</v>
      </c>
      <c r="Z16" s="140">
        <v>15</v>
      </c>
      <c r="AA16" s="140">
        <v>5</v>
      </c>
      <c r="AB16" s="113">
        <v>83</v>
      </c>
      <c r="AC16" s="143" t="s">
        <v>164</v>
      </c>
    </row>
    <row r="17" spans="1:29">
      <c r="A17" s="153" t="s">
        <v>134</v>
      </c>
      <c r="B17" s="112" t="s">
        <v>32</v>
      </c>
      <c r="C17" s="151">
        <v>97.1</v>
      </c>
      <c r="D17" s="137" t="s">
        <v>18</v>
      </c>
      <c r="E17" s="137">
        <v>10</v>
      </c>
      <c r="F17" s="138">
        <v>0.65</v>
      </c>
      <c r="G17" s="110" t="s">
        <v>20</v>
      </c>
      <c r="H17" s="140">
        <v>10</v>
      </c>
      <c r="I17" s="144">
        <v>959.7016698809058</v>
      </c>
      <c r="J17" s="128" t="s">
        <v>82</v>
      </c>
      <c r="K17" s="142">
        <v>0.50015542857142847</v>
      </c>
      <c r="L17" s="114">
        <v>20.500155428571428</v>
      </c>
      <c r="M17" s="152">
        <v>0.86111111111111116</v>
      </c>
      <c r="N17" s="110" t="s">
        <v>159</v>
      </c>
      <c r="O17" s="110">
        <v>10</v>
      </c>
      <c r="P17" s="115">
        <v>0.96923076923076923</v>
      </c>
      <c r="Q17" s="110" t="s">
        <v>17</v>
      </c>
      <c r="R17" s="110">
        <v>15</v>
      </c>
      <c r="S17" s="145">
        <v>8.5370830561328603E-2</v>
      </c>
      <c r="T17" s="109" t="s">
        <v>124</v>
      </c>
      <c r="U17" s="109">
        <v>24</v>
      </c>
      <c r="V17" s="141">
        <v>5</v>
      </c>
      <c r="W17" s="120">
        <v>74.500155428571432</v>
      </c>
      <c r="X17" s="128" t="s">
        <v>85</v>
      </c>
      <c r="Y17" s="128" t="s">
        <v>30</v>
      </c>
      <c r="Z17" s="140">
        <v>16</v>
      </c>
      <c r="AA17" s="140">
        <v>19</v>
      </c>
      <c r="AB17" s="113">
        <v>66</v>
      </c>
      <c r="AC17" s="143" t="s">
        <v>164</v>
      </c>
    </row>
    <row r="18" spans="1:29">
      <c r="A18" s="153" t="s">
        <v>160</v>
      </c>
      <c r="B18" s="112" t="s">
        <v>32</v>
      </c>
      <c r="C18" s="151">
        <v>95.9</v>
      </c>
      <c r="D18" s="137" t="s">
        <v>18</v>
      </c>
      <c r="E18" s="137">
        <v>10</v>
      </c>
      <c r="F18" s="138">
        <v>0.6</v>
      </c>
      <c r="G18" s="110" t="s">
        <v>20</v>
      </c>
      <c r="H18" s="140">
        <v>10</v>
      </c>
      <c r="I18" s="144">
        <v>248.3809067686345</v>
      </c>
      <c r="J18" s="128" t="s">
        <v>82</v>
      </c>
      <c r="K18" s="142">
        <v>1.932515692307692</v>
      </c>
      <c r="L18" s="114">
        <v>21.932515692307692</v>
      </c>
      <c r="M18" s="152">
        <v>0.93382352941176472</v>
      </c>
      <c r="N18" s="110" t="s">
        <v>93</v>
      </c>
      <c r="O18" s="110">
        <v>14</v>
      </c>
      <c r="P18" s="115">
        <v>0.9017857142857143</v>
      </c>
      <c r="Q18" s="110" t="s">
        <v>27</v>
      </c>
      <c r="R18" s="110">
        <v>10.5</v>
      </c>
      <c r="S18" s="145">
        <v>9.3441105624678153E-2</v>
      </c>
      <c r="T18" s="109" t="s">
        <v>84</v>
      </c>
      <c r="U18" s="109">
        <v>21</v>
      </c>
      <c r="V18" s="141">
        <v>5</v>
      </c>
      <c r="W18" s="120">
        <v>72.432515692307689</v>
      </c>
      <c r="X18" s="128" t="s">
        <v>85</v>
      </c>
      <c r="Y18" s="128" t="s">
        <v>30</v>
      </c>
      <c r="Z18" s="140">
        <v>17</v>
      </c>
      <c r="AA18" s="140">
        <v>18</v>
      </c>
      <c r="AB18" s="113">
        <v>67</v>
      </c>
      <c r="AC18" s="143" t="s">
        <v>164</v>
      </c>
    </row>
    <row r="19" spans="1:29">
      <c r="A19" s="153" t="s">
        <v>161</v>
      </c>
      <c r="B19" s="112" t="s">
        <v>81</v>
      </c>
      <c r="C19" s="151">
        <v>94.9</v>
      </c>
      <c r="D19" s="137" t="s">
        <v>19</v>
      </c>
      <c r="E19" s="139">
        <v>7</v>
      </c>
      <c r="F19" s="138">
        <v>0.59</v>
      </c>
      <c r="G19" s="128" t="s">
        <v>92</v>
      </c>
      <c r="H19" s="150">
        <v>7</v>
      </c>
      <c r="I19" s="144">
        <v>24.913565843523369</v>
      </c>
      <c r="J19" s="128" t="s">
        <v>26</v>
      </c>
      <c r="K19" s="142">
        <v>10</v>
      </c>
      <c r="L19" s="114">
        <v>24</v>
      </c>
      <c r="M19" s="152">
        <v>0.90773809523809523</v>
      </c>
      <c r="N19" s="110" t="s">
        <v>93</v>
      </c>
      <c r="O19" s="110">
        <v>14</v>
      </c>
      <c r="P19" s="115">
        <v>0.97619047619047616</v>
      </c>
      <c r="Q19" s="110" t="s">
        <v>17</v>
      </c>
      <c r="R19" s="110">
        <v>15</v>
      </c>
      <c r="S19" s="145">
        <v>0.12869917163273245</v>
      </c>
      <c r="T19" s="109" t="s">
        <v>103</v>
      </c>
      <c r="U19" s="109">
        <v>9</v>
      </c>
      <c r="V19" s="141">
        <v>5</v>
      </c>
      <c r="W19" s="120">
        <v>67</v>
      </c>
      <c r="X19" s="128" t="s">
        <v>117</v>
      </c>
      <c r="Y19" s="128" t="s">
        <v>118</v>
      </c>
      <c r="Z19" s="140">
        <v>18</v>
      </c>
      <c r="AA19" s="140">
        <v>13</v>
      </c>
      <c r="AB19" s="113">
        <v>74</v>
      </c>
      <c r="AC19" s="143" t="s">
        <v>164</v>
      </c>
    </row>
    <row r="20" spans="1:29">
      <c r="A20" s="153" t="s">
        <v>96</v>
      </c>
      <c r="B20" s="112" t="s">
        <v>81</v>
      </c>
      <c r="C20" s="151">
        <v>91</v>
      </c>
      <c r="D20" s="137" t="s">
        <v>19</v>
      </c>
      <c r="E20" s="139">
        <v>7</v>
      </c>
      <c r="F20" s="138">
        <v>0.73</v>
      </c>
      <c r="G20" s="110" t="s">
        <v>20</v>
      </c>
      <c r="H20" s="140">
        <v>10</v>
      </c>
      <c r="I20" s="144">
        <v>6.3387713631728753</v>
      </c>
      <c r="J20" s="128" t="s">
        <v>26</v>
      </c>
      <c r="K20" s="142">
        <v>10</v>
      </c>
      <c r="L20" s="114">
        <v>27</v>
      </c>
      <c r="M20" s="152">
        <v>0.86879432624113473</v>
      </c>
      <c r="N20" s="110" t="s">
        <v>159</v>
      </c>
      <c r="O20" s="110">
        <v>10</v>
      </c>
      <c r="P20" s="115">
        <v>1</v>
      </c>
      <c r="Q20" s="110" t="s">
        <v>17</v>
      </c>
      <c r="R20" s="110">
        <v>15</v>
      </c>
      <c r="S20" s="145">
        <v>0.1390475454832171</v>
      </c>
      <c r="T20" s="109" t="s">
        <v>143</v>
      </c>
      <c r="U20" s="109">
        <v>6</v>
      </c>
      <c r="V20" s="141">
        <v>5</v>
      </c>
      <c r="W20" s="120">
        <v>63</v>
      </c>
      <c r="X20" s="128" t="s">
        <v>117</v>
      </c>
      <c r="Y20" s="128" t="s">
        <v>118</v>
      </c>
      <c r="Z20" s="140">
        <v>19</v>
      </c>
      <c r="AA20" s="140">
        <v>20</v>
      </c>
      <c r="AB20" s="113">
        <v>51</v>
      </c>
      <c r="AC20" s="143" t="s">
        <v>164</v>
      </c>
    </row>
    <row r="21" spans="1:29">
      <c r="A21" s="153" t="s">
        <v>162</v>
      </c>
      <c r="B21" s="112" t="s">
        <v>32</v>
      </c>
      <c r="C21" s="151">
        <v>44</v>
      </c>
      <c r="D21" s="137" t="s">
        <v>89</v>
      </c>
      <c r="E21" s="137">
        <v>4</v>
      </c>
      <c r="F21" s="138">
        <v>0.7</v>
      </c>
      <c r="G21" s="110" t="s">
        <v>20</v>
      </c>
      <c r="H21" s="140">
        <v>10</v>
      </c>
      <c r="I21" s="144">
        <v>0</v>
      </c>
      <c r="J21" s="128" t="s">
        <v>26</v>
      </c>
      <c r="K21" s="142">
        <v>10</v>
      </c>
      <c r="L21" s="114">
        <v>24</v>
      </c>
      <c r="M21" s="152">
        <v>0.58333333333333337</v>
      </c>
      <c r="N21" s="110" t="s">
        <v>113</v>
      </c>
      <c r="O21" s="110">
        <v>0</v>
      </c>
      <c r="P21" s="115">
        <v>0.54545454545454541</v>
      </c>
      <c r="Q21" s="110" t="s">
        <v>113</v>
      </c>
      <c r="R21" s="110">
        <v>0</v>
      </c>
      <c r="S21" s="145">
        <v>0.11310436812270756</v>
      </c>
      <c r="T21" s="109" t="s">
        <v>116</v>
      </c>
      <c r="U21" s="109">
        <v>12</v>
      </c>
      <c r="V21" s="141">
        <v>5</v>
      </c>
      <c r="W21" s="120">
        <v>41</v>
      </c>
      <c r="X21" s="128" t="s">
        <v>136</v>
      </c>
      <c r="Y21" s="128" t="s">
        <v>137</v>
      </c>
      <c r="Z21" s="140">
        <v>20</v>
      </c>
      <c r="AA21" s="110" t="s">
        <v>107</v>
      </c>
      <c r="AB21" s="140" t="s">
        <v>107</v>
      </c>
      <c r="AC21" s="143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200F-D072-4245-B8DC-6003F0F7FC6F}">
  <dimension ref="A1:AC25"/>
  <sheetViews>
    <sheetView zoomScale="49" zoomScaleNormal="49" workbookViewId="0">
      <selection activeCell="AC2" sqref="AC2:AC25"/>
    </sheetView>
  </sheetViews>
  <sheetFormatPr defaultRowHeight="14.4"/>
  <cols>
    <col min="1" max="1" width="42.21875" customWidth="1"/>
    <col min="2" max="2" width="34" customWidth="1"/>
    <col min="25" max="25" width="13.21875" customWidth="1"/>
    <col min="27" max="27" width="13.44140625" customWidth="1"/>
    <col min="28" max="29" width="27.44140625" customWidth="1"/>
  </cols>
  <sheetData>
    <row r="1" spans="1:29" ht="72">
      <c r="A1" s="122" t="s">
        <v>73</v>
      </c>
      <c r="B1" s="123" t="s">
        <v>74</v>
      </c>
      <c r="C1" s="123" t="s">
        <v>168</v>
      </c>
      <c r="D1" s="124" t="s">
        <v>2</v>
      </c>
      <c r="E1" s="124" t="s">
        <v>75</v>
      </c>
      <c r="F1" s="125" t="s">
        <v>76</v>
      </c>
      <c r="G1" s="125" t="s">
        <v>0</v>
      </c>
      <c r="H1" s="125" t="s">
        <v>77</v>
      </c>
      <c r="I1" s="126" t="s">
        <v>11</v>
      </c>
      <c r="J1" s="126" t="s">
        <v>1</v>
      </c>
      <c r="K1" s="126" t="s">
        <v>78</v>
      </c>
      <c r="L1" s="124" t="s">
        <v>12</v>
      </c>
      <c r="M1" s="131" t="s">
        <v>7</v>
      </c>
      <c r="N1" s="132" t="s">
        <v>3</v>
      </c>
      <c r="O1" s="132" t="s">
        <v>13</v>
      </c>
      <c r="P1" s="135" t="s">
        <v>4</v>
      </c>
      <c r="Q1" s="135" t="s">
        <v>8</v>
      </c>
      <c r="R1" s="135" t="s">
        <v>16</v>
      </c>
      <c r="S1" s="134" t="s">
        <v>5</v>
      </c>
      <c r="T1" s="134" t="s">
        <v>79</v>
      </c>
      <c r="U1" s="134" t="s">
        <v>14</v>
      </c>
      <c r="V1" s="133" t="s">
        <v>15</v>
      </c>
      <c r="W1" s="136" t="s">
        <v>9</v>
      </c>
      <c r="X1" s="146" t="s">
        <v>10</v>
      </c>
      <c r="Y1" s="147" t="s">
        <v>6</v>
      </c>
      <c r="Z1" s="148" t="s">
        <v>31</v>
      </c>
      <c r="AA1" s="149" t="s">
        <v>21</v>
      </c>
      <c r="AB1" s="130" t="s">
        <v>163</v>
      </c>
      <c r="AC1" s="149" t="s">
        <v>23</v>
      </c>
    </row>
    <row r="2" spans="1:29" ht="15" thickBot="1">
      <c r="A2" s="110" t="s">
        <v>39</v>
      </c>
      <c r="B2" s="110" t="s">
        <v>32</v>
      </c>
      <c r="C2" s="116">
        <v>99.645660040190791</v>
      </c>
      <c r="D2" s="117" t="s">
        <v>18</v>
      </c>
      <c r="E2" s="117">
        <v>10</v>
      </c>
      <c r="F2" s="115">
        <v>0.65</v>
      </c>
      <c r="G2" s="112" t="s">
        <v>20</v>
      </c>
      <c r="H2" s="110">
        <v>10</v>
      </c>
      <c r="I2" s="113">
        <v>42.686245424568064</v>
      </c>
      <c r="J2" s="110" t="s">
        <v>26</v>
      </c>
      <c r="K2" s="113">
        <v>11.244840000000002</v>
      </c>
      <c r="L2" s="114">
        <v>26.244840000000003</v>
      </c>
      <c r="M2" s="118">
        <v>0.95</v>
      </c>
      <c r="N2" s="111" t="s">
        <v>57</v>
      </c>
      <c r="O2" s="111">
        <v>20</v>
      </c>
      <c r="P2" s="115">
        <v>0.94606741573033704</v>
      </c>
      <c r="Q2" s="115" t="s">
        <v>62</v>
      </c>
      <c r="R2" s="119">
        <v>15</v>
      </c>
      <c r="S2" s="115">
        <v>0.1270196140386019</v>
      </c>
      <c r="T2" s="115" t="s">
        <v>100</v>
      </c>
      <c r="U2" s="119">
        <v>15</v>
      </c>
      <c r="V2" s="110">
        <v>10</v>
      </c>
      <c r="W2" s="120">
        <v>86.244840000000011</v>
      </c>
      <c r="X2" s="112" t="s">
        <v>28</v>
      </c>
      <c r="Y2" s="112" t="s">
        <v>29</v>
      </c>
      <c r="Z2" s="110">
        <v>1</v>
      </c>
      <c r="AA2" s="129">
        <v>8</v>
      </c>
      <c r="AB2" s="143" t="s">
        <v>167</v>
      </c>
      <c r="AC2" s="94" t="s">
        <v>107</v>
      </c>
    </row>
    <row r="3" spans="1:29" ht="15" thickBot="1">
      <c r="A3" s="110" t="s">
        <v>101</v>
      </c>
      <c r="B3" s="110" t="s">
        <v>102</v>
      </c>
      <c r="C3" s="116">
        <v>97.892246008778386</v>
      </c>
      <c r="D3" s="117" t="s">
        <v>18</v>
      </c>
      <c r="E3" s="117">
        <v>10</v>
      </c>
      <c r="F3" s="115">
        <v>0.64</v>
      </c>
      <c r="G3" s="112" t="s">
        <v>20</v>
      </c>
      <c r="H3" s="110">
        <v>10</v>
      </c>
      <c r="I3" s="113">
        <v>46.806487004646947</v>
      </c>
      <c r="J3" s="110" t="s">
        <v>26</v>
      </c>
      <c r="K3" s="113">
        <v>10.2549888</v>
      </c>
      <c r="L3" s="114">
        <v>30.2549888</v>
      </c>
      <c r="M3" s="118">
        <v>0.95</v>
      </c>
      <c r="N3" s="109" t="s">
        <v>62</v>
      </c>
      <c r="O3" s="111">
        <v>20</v>
      </c>
      <c r="P3" s="115">
        <v>0.95934959349593496</v>
      </c>
      <c r="Q3" s="115" t="s">
        <v>27</v>
      </c>
      <c r="R3" s="121">
        <v>15</v>
      </c>
      <c r="S3" s="115">
        <v>0.14000000000000001</v>
      </c>
      <c r="T3" s="115" t="s">
        <v>103</v>
      </c>
      <c r="U3" s="119">
        <v>10</v>
      </c>
      <c r="V3" s="110">
        <v>10</v>
      </c>
      <c r="W3" s="120">
        <v>85.254988800000007</v>
      </c>
      <c r="X3" s="112" t="s">
        <v>28</v>
      </c>
      <c r="Y3" s="112" t="s">
        <v>29</v>
      </c>
      <c r="Z3" s="110">
        <v>2</v>
      </c>
      <c r="AA3" s="129">
        <v>3</v>
      </c>
      <c r="AB3" s="143" t="s">
        <v>167</v>
      </c>
      <c r="AC3" s="94" t="s">
        <v>107</v>
      </c>
    </row>
    <row r="4" spans="1:29" ht="15" thickBot="1">
      <c r="A4" s="110" t="s">
        <v>104</v>
      </c>
      <c r="B4" s="110" t="s">
        <v>102</v>
      </c>
      <c r="C4" s="116">
        <v>95.685240057419563</v>
      </c>
      <c r="D4" s="117" t="s">
        <v>18</v>
      </c>
      <c r="E4" s="117">
        <v>10</v>
      </c>
      <c r="F4" s="115">
        <v>0.56000000000000005</v>
      </c>
      <c r="G4" s="112" t="s">
        <v>92</v>
      </c>
      <c r="H4" s="110">
        <v>7</v>
      </c>
      <c r="I4" s="113">
        <v>303.54122227771808</v>
      </c>
      <c r="J4" s="110" t="s">
        <v>26</v>
      </c>
      <c r="K4" s="113">
        <v>1.5813338181818186</v>
      </c>
      <c r="L4" s="114">
        <v>18.581333818181818</v>
      </c>
      <c r="M4" s="118">
        <v>0.98</v>
      </c>
      <c r="N4" s="111" t="s">
        <v>62</v>
      </c>
      <c r="O4" s="111">
        <v>20</v>
      </c>
      <c r="P4" s="115">
        <v>0.94117647058823528</v>
      </c>
      <c r="Q4" s="115" t="s">
        <v>27</v>
      </c>
      <c r="R4" s="121">
        <v>10.5</v>
      </c>
      <c r="S4" s="115">
        <v>0.11</v>
      </c>
      <c r="T4" s="115" t="s">
        <v>91</v>
      </c>
      <c r="U4" s="119">
        <v>25</v>
      </c>
      <c r="V4" s="110">
        <v>10</v>
      </c>
      <c r="W4" s="120">
        <v>84.081333818181818</v>
      </c>
      <c r="X4" s="112" t="s">
        <v>85</v>
      </c>
      <c r="Y4" s="112" t="s">
        <v>30</v>
      </c>
      <c r="Z4" s="110">
        <v>3</v>
      </c>
      <c r="AA4" s="129">
        <v>7</v>
      </c>
      <c r="AB4" s="143" t="s">
        <v>167</v>
      </c>
      <c r="AC4" s="94" t="s">
        <v>107</v>
      </c>
    </row>
    <row r="5" spans="1:29" ht="15" thickBot="1">
      <c r="A5" s="110" t="s">
        <v>105</v>
      </c>
      <c r="B5" s="110" t="s">
        <v>106</v>
      </c>
      <c r="C5" s="116">
        <v>96.144572336627022</v>
      </c>
      <c r="D5" s="117" t="s">
        <v>18</v>
      </c>
      <c r="E5" s="117">
        <v>10</v>
      </c>
      <c r="F5" s="115">
        <v>0.57999999999999996</v>
      </c>
      <c r="G5" s="112" t="s">
        <v>92</v>
      </c>
      <c r="H5" s="110">
        <v>7</v>
      </c>
      <c r="I5" s="113">
        <v>918.53227201707239</v>
      </c>
      <c r="J5" s="110" t="s">
        <v>26</v>
      </c>
      <c r="K5" s="113">
        <v>0.52257282038216557</v>
      </c>
      <c r="L5" s="114">
        <v>17.522572820382166</v>
      </c>
      <c r="M5" s="118">
        <v>0.94</v>
      </c>
      <c r="N5" s="109" t="s">
        <v>27</v>
      </c>
      <c r="O5" s="111">
        <v>14</v>
      </c>
      <c r="P5" s="115">
        <v>0.963963963963964</v>
      </c>
      <c r="Q5" s="115" t="s">
        <v>62</v>
      </c>
      <c r="R5" s="119">
        <v>15</v>
      </c>
      <c r="S5" s="115">
        <v>0.11536578021165365</v>
      </c>
      <c r="T5" s="115" t="s">
        <v>94</v>
      </c>
      <c r="U5" s="119">
        <v>23</v>
      </c>
      <c r="V5" s="110">
        <v>10</v>
      </c>
      <c r="W5" s="120">
        <v>79.522572820382166</v>
      </c>
      <c r="X5" s="112" t="s">
        <v>85</v>
      </c>
      <c r="Y5" s="112" t="s">
        <v>30</v>
      </c>
      <c r="Z5" s="110">
        <v>4</v>
      </c>
      <c r="AA5" s="129" t="s">
        <v>107</v>
      </c>
      <c r="AB5" s="143" t="s">
        <v>167</v>
      </c>
      <c r="AC5" s="94" t="s">
        <v>107</v>
      </c>
    </row>
    <row r="6" spans="1:29" ht="15" thickBot="1">
      <c r="A6" s="110" t="s">
        <v>108</v>
      </c>
      <c r="B6" s="110" t="s">
        <v>32</v>
      </c>
      <c r="C6" s="116">
        <v>94.515010739915823</v>
      </c>
      <c r="D6" s="117" t="s">
        <v>18</v>
      </c>
      <c r="E6" s="117">
        <v>10</v>
      </c>
      <c r="F6" s="115">
        <v>0.52</v>
      </c>
      <c r="G6" s="112" t="s">
        <v>92</v>
      </c>
      <c r="H6" s="110">
        <v>7</v>
      </c>
      <c r="I6" s="113">
        <v>970.42513863216266</v>
      </c>
      <c r="J6" s="110" t="s">
        <v>26</v>
      </c>
      <c r="K6" s="113">
        <v>0.49462857142857142</v>
      </c>
      <c r="L6" s="114">
        <v>15.494628571428571</v>
      </c>
      <c r="M6" s="118">
        <v>0.96153846153846156</v>
      </c>
      <c r="N6" s="111" t="s">
        <v>62</v>
      </c>
      <c r="O6" s="111">
        <v>20</v>
      </c>
      <c r="P6" s="115">
        <v>1</v>
      </c>
      <c r="Q6" s="115" t="s">
        <v>62</v>
      </c>
      <c r="R6" s="119">
        <v>15</v>
      </c>
      <c r="S6" s="115">
        <v>0.12103661348071379</v>
      </c>
      <c r="T6" s="115" t="s">
        <v>109</v>
      </c>
      <c r="U6" s="119">
        <v>19</v>
      </c>
      <c r="V6" s="110">
        <v>10</v>
      </c>
      <c r="W6" s="120">
        <v>79.494628571428564</v>
      </c>
      <c r="X6" s="112" t="s">
        <v>85</v>
      </c>
      <c r="Y6" s="112" t="s">
        <v>30</v>
      </c>
      <c r="Z6" s="110">
        <v>5</v>
      </c>
      <c r="AA6" s="129" t="s">
        <v>107</v>
      </c>
      <c r="AB6" s="143" t="s">
        <v>167</v>
      </c>
      <c r="AC6" s="94" t="s">
        <v>107</v>
      </c>
    </row>
    <row r="7" spans="1:29" ht="15" thickBot="1">
      <c r="A7" s="110" t="s">
        <v>96</v>
      </c>
      <c r="B7" s="110" t="s">
        <v>32</v>
      </c>
      <c r="C7" s="116">
        <v>94.196594343246801</v>
      </c>
      <c r="D7" s="117" t="s">
        <v>18</v>
      </c>
      <c r="E7" s="117">
        <v>10</v>
      </c>
      <c r="F7" s="115">
        <v>0.61</v>
      </c>
      <c r="G7" s="112" t="s">
        <v>20</v>
      </c>
      <c r="H7" s="110">
        <v>10</v>
      </c>
      <c r="I7" s="113">
        <v>58.156440825821463</v>
      </c>
      <c r="J7" s="110" t="s">
        <v>26</v>
      </c>
      <c r="K7" s="113">
        <v>8.2535999999999987</v>
      </c>
      <c r="L7" s="114">
        <v>28.253599999999999</v>
      </c>
      <c r="M7" s="118">
        <v>0.87735849056603776</v>
      </c>
      <c r="N7" s="111" t="s">
        <v>57</v>
      </c>
      <c r="O7" s="111">
        <v>10</v>
      </c>
      <c r="P7" s="115">
        <v>0.90825688073394495</v>
      </c>
      <c r="Q7" s="115" t="s">
        <v>27</v>
      </c>
      <c r="R7" s="121">
        <v>10.5</v>
      </c>
      <c r="S7" s="115">
        <v>0.12043153850638882</v>
      </c>
      <c r="T7" s="115" t="s">
        <v>99</v>
      </c>
      <c r="U7" s="119">
        <v>20</v>
      </c>
      <c r="V7" s="110">
        <v>10</v>
      </c>
      <c r="W7" s="120">
        <v>78.753600000000006</v>
      </c>
      <c r="X7" s="112" t="s">
        <v>85</v>
      </c>
      <c r="Y7" s="112" t="s">
        <v>30</v>
      </c>
      <c r="Z7" s="110">
        <v>6</v>
      </c>
      <c r="AA7" s="129" t="s">
        <v>107</v>
      </c>
      <c r="AB7" s="143" t="s">
        <v>167</v>
      </c>
      <c r="AC7" s="94" t="s">
        <v>107</v>
      </c>
    </row>
    <row r="8" spans="1:29" ht="15" thickBot="1">
      <c r="A8" s="110" t="s">
        <v>110</v>
      </c>
      <c r="B8" s="110" t="s">
        <v>32</v>
      </c>
      <c r="C8" s="116">
        <v>99.396850289795609</v>
      </c>
      <c r="D8" s="117" t="s">
        <v>18</v>
      </c>
      <c r="E8" s="117">
        <v>10</v>
      </c>
      <c r="F8" s="115">
        <v>0.61</v>
      </c>
      <c r="G8" s="112" t="s">
        <v>20</v>
      </c>
      <c r="H8" s="110">
        <v>10</v>
      </c>
      <c r="I8" s="113">
        <v>350.43175528462757</v>
      </c>
      <c r="J8" s="110" t="s">
        <v>26</v>
      </c>
      <c r="K8" s="113">
        <v>1.3697388800000003</v>
      </c>
      <c r="L8" s="114">
        <v>21.36973888</v>
      </c>
      <c r="M8" s="118">
        <v>0.95</v>
      </c>
      <c r="N8" s="111" t="s">
        <v>57</v>
      </c>
      <c r="O8" s="111">
        <v>20</v>
      </c>
      <c r="P8" s="115">
        <v>0.94606741573033704</v>
      </c>
      <c r="Q8" s="115" t="s">
        <v>62</v>
      </c>
      <c r="R8" s="119">
        <v>15</v>
      </c>
      <c r="S8" s="115">
        <v>0.15803635949787975</v>
      </c>
      <c r="T8" s="115" t="s">
        <v>111</v>
      </c>
      <c r="U8" s="119">
        <v>8</v>
      </c>
      <c r="V8" s="110">
        <v>10</v>
      </c>
      <c r="W8" s="120">
        <v>74.36973888</v>
      </c>
      <c r="X8" s="112" t="s">
        <v>85</v>
      </c>
      <c r="Y8" s="112" t="s">
        <v>30</v>
      </c>
      <c r="Z8" s="110">
        <v>7</v>
      </c>
      <c r="AA8" s="129">
        <v>11</v>
      </c>
      <c r="AB8" s="143" t="s">
        <v>167</v>
      </c>
      <c r="AC8" s="94" t="s">
        <v>107</v>
      </c>
    </row>
    <row r="9" spans="1:29" ht="15" thickBot="1">
      <c r="A9" s="110" t="s">
        <v>112</v>
      </c>
      <c r="B9" s="110" t="s">
        <v>32</v>
      </c>
      <c r="C9" s="116">
        <v>100</v>
      </c>
      <c r="D9" s="117" t="s">
        <v>18</v>
      </c>
      <c r="E9" s="117">
        <v>10</v>
      </c>
      <c r="F9" s="115">
        <v>0.68</v>
      </c>
      <c r="G9" s="112" t="s">
        <v>20</v>
      </c>
      <c r="H9" s="110">
        <v>10</v>
      </c>
      <c r="I9" s="113">
        <v>42.808541708190944</v>
      </c>
      <c r="J9" s="110" t="s">
        <v>26</v>
      </c>
      <c r="K9" s="113">
        <v>10</v>
      </c>
      <c r="L9" s="114">
        <v>26</v>
      </c>
      <c r="M9" s="118">
        <v>0.90740740740740744</v>
      </c>
      <c r="N9" s="111" t="s">
        <v>62</v>
      </c>
      <c r="O9" s="111">
        <v>20</v>
      </c>
      <c r="P9" s="115">
        <v>0</v>
      </c>
      <c r="Q9" s="115" t="s">
        <v>113</v>
      </c>
      <c r="R9" s="119">
        <v>0</v>
      </c>
      <c r="S9" s="115">
        <v>0.12191454303686688</v>
      </c>
      <c r="T9" s="115" t="s">
        <v>97</v>
      </c>
      <c r="U9" s="119">
        <v>18</v>
      </c>
      <c r="V9" s="110">
        <v>10</v>
      </c>
      <c r="W9" s="120">
        <v>74</v>
      </c>
      <c r="X9" s="112" t="s">
        <v>85</v>
      </c>
      <c r="Y9" s="112" t="s">
        <v>30</v>
      </c>
      <c r="Z9" s="110">
        <v>8</v>
      </c>
      <c r="AA9" s="129" t="s">
        <v>107</v>
      </c>
      <c r="AB9" s="143" t="s">
        <v>167</v>
      </c>
      <c r="AC9" s="94" t="s">
        <v>107</v>
      </c>
    </row>
    <row r="10" spans="1:29" ht="15" thickBot="1">
      <c r="A10" s="110" t="s">
        <v>114</v>
      </c>
      <c r="B10" s="110" t="s">
        <v>32</v>
      </c>
      <c r="C10" s="116">
        <v>100</v>
      </c>
      <c r="D10" s="117" t="s">
        <v>18</v>
      </c>
      <c r="E10" s="117">
        <v>10</v>
      </c>
      <c r="F10" s="115">
        <v>0.67</v>
      </c>
      <c r="G10" s="112" t="s">
        <v>20</v>
      </c>
      <c r="H10" s="110">
        <v>10</v>
      </c>
      <c r="I10" s="113">
        <v>80.459002517562197</v>
      </c>
      <c r="J10" s="110" t="s">
        <v>26</v>
      </c>
      <c r="K10" s="113">
        <v>5.9657711999999989</v>
      </c>
      <c r="L10" s="114">
        <v>22.965771199999999</v>
      </c>
      <c r="M10" s="118">
        <v>0.89166666666666672</v>
      </c>
      <c r="N10" s="111" t="s">
        <v>57</v>
      </c>
      <c r="O10" s="111">
        <v>10</v>
      </c>
      <c r="P10" s="115">
        <v>0.94606741573033704</v>
      </c>
      <c r="Q10" s="115" t="s">
        <v>62</v>
      </c>
      <c r="R10" s="119">
        <v>15</v>
      </c>
      <c r="S10" s="115">
        <v>0.12588453551792131</v>
      </c>
      <c r="T10" s="115" t="s">
        <v>87</v>
      </c>
      <c r="U10" s="119">
        <v>16</v>
      </c>
      <c r="V10" s="110">
        <v>10</v>
      </c>
      <c r="W10" s="120">
        <v>73.965771200000006</v>
      </c>
      <c r="X10" s="112" t="s">
        <v>85</v>
      </c>
      <c r="Y10" s="112" t="s">
        <v>30</v>
      </c>
      <c r="Z10" s="110">
        <v>9</v>
      </c>
      <c r="AA10" s="129">
        <v>1</v>
      </c>
      <c r="AB10" s="143" t="s">
        <v>167</v>
      </c>
      <c r="AC10" s="94" t="s">
        <v>107</v>
      </c>
    </row>
    <row r="11" spans="1:29" ht="15" thickBot="1">
      <c r="A11" s="110" t="s">
        <v>67</v>
      </c>
      <c r="B11" s="110" t="s">
        <v>102</v>
      </c>
      <c r="C11" s="116">
        <v>97.678807625950753</v>
      </c>
      <c r="D11" s="117" t="s">
        <v>18</v>
      </c>
      <c r="E11" s="117">
        <v>10</v>
      </c>
      <c r="F11" s="115">
        <v>0.64</v>
      </c>
      <c r="G11" s="112" t="s">
        <v>20</v>
      </c>
      <c r="H11" s="110">
        <v>10</v>
      </c>
      <c r="I11" s="113">
        <v>510.27775611122229</v>
      </c>
      <c r="J11" s="110" t="s">
        <v>26</v>
      </c>
      <c r="K11" s="113">
        <v>0.94066416623376614</v>
      </c>
      <c r="L11" s="114">
        <v>20.940664166233766</v>
      </c>
      <c r="M11" s="118">
        <v>0.97</v>
      </c>
      <c r="N11" s="111" t="s">
        <v>62</v>
      </c>
      <c r="O11" s="111">
        <v>20</v>
      </c>
      <c r="P11" s="115">
        <v>0.8413793103448276</v>
      </c>
      <c r="Q11" s="115" t="s">
        <v>115</v>
      </c>
      <c r="R11" s="119">
        <v>4.5</v>
      </c>
      <c r="S11" s="115">
        <v>0.14000000000000001</v>
      </c>
      <c r="T11" s="115" t="s">
        <v>116</v>
      </c>
      <c r="U11" s="119">
        <v>12</v>
      </c>
      <c r="V11" s="110">
        <v>10</v>
      </c>
      <c r="W11" s="120">
        <v>67.440664166233773</v>
      </c>
      <c r="X11" s="112" t="s">
        <v>117</v>
      </c>
      <c r="Y11" s="112" t="s">
        <v>118</v>
      </c>
      <c r="Z11" s="110">
        <v>10</v>
      </c>
      <c r="AA11" s="129">
        <v>13</v>
      </c>
      <c r="AB11" s="143" t="s">
        <v>167</v>
      </c>
      <c r="AC11" s="94" t="s">
        <v>107</v>
      </c>
    </row>
    <row r="12" spans="1:29" ht="15" thickBot="1">
      <c r="A12" s="110" t="s">
        <v>119</v>
      </c>
      <c r="B12" s="110" t="s">
        <v>32</v>
      </c>
      <c r="C12" s="116">
        <v>95.437894435474078</v>
      </c>
      <c r="D12" s="117" t="s">
        <v>18</v>
      </c>
      <c r="E12" s="117">
        <v>10</v>
      </c>
      <c r="F12" s="115">
        <v>0.59</v>
      </c>
      <c r="G12" s="112" t="s">
        <v>92</v>
      </c>
      <c r="H12" s="110">
        <v>7</v>
      </c>
      <c r="I12" s="113">
        <v>96.635179167259253</v>
      </c>
      <c r="J12" s="110" t="s">
        <v>26</v>
      </c>
      <c r="K12" s="113">
        <v>4.9671351999999986</v>
      </c>
      <c r="L12" s="114">
        <v>17.967135199999998</v>
      </c>
      <c r="M12" s="118">
        <v>0.89</v>
      </c>
      <c r="N12" s="111" t="s">
        <v>57</v>
      </c>
      <c r="O12" s="111">
        <v>10</v>
      </c>
      <c r="P12" s="115">
        <v>0.94300518134715028</v>
      </c>
      <c r="Q12" s="115" t="s">
        <v>27</v>
      </c>
      <c r="R12" s="121">
        <v>10.5</v>
      </c>
      <c r="S12" s="115">
        <v>0.12474826987343349</v>
      </c>
      <c r="T12" s="115" t="s">
        <v>120</v>
      </c>
      <c r="U12" s="119">
        <v>17</v>
      </c>
      <c r="V12" s="110">
        <v>10</v>
      </c>
      <c r="W12" s="120">
        <v>65.467135200000001</v>
      </c>
      <c r="X12" s="112" t="s">
        <v>117</v>
      </c>
      <c r="Y12" s="112" t="s">
        <v>118</v>
      </c>
      <c r="Z12" s="110">
        <v>11</v>
      </c>
      <c r="AA12" s="129">
        <v>22</v>
      </c>
      <c r="AB12" s="143" t="s">
        <v>167</v>
      </c>
      <c r="AC12" s="94" t="s">
        <v>107</v>
      </c>
    </row>
    <row r="13" spans="1:29" ht="15" thickBot="1">
      <c r="A13" s="110" t="s">
        <v>121</v>
      </c>
      <c r="B13" s="110" t="s">
        <v>102</v>
      </c>
      <c r="C13" s="116">
        <v>99.108729806885151</v>
      </c>
      <c r="D13" s="117" t="s">
        <v>18</v>
      </c>
      <c r="E13" s="117">
        <v>10</v>
      </c>
      <c r="F13" s="115">
        <v>0.55000000000000004</v>
      </c>
      <c r="G13" s="112" t="s">
        <v>92</v>
      </c>
      <c r="H13" s="110">
        <v>7</v>
      </c>
      <c r="I13" s="113">
        <v>620.54659319920324</v>
      </c>
      <c r="J13" s="110" t="s">
        <v>26</v>
      </c>
      <c r="K13" s="113">
        <v>0.77351161904761911</v>
      </c>
      <c r="L13" s="114">
        <v>20.773511619047618</v>
      </c>
      <c r="M13" s="118">
        <v>0.9</v>
      </c>
      <c r="N13" s="111" t="s">
        <v>27</v>
      </c>
      <c r="O13" s="111">
        <v>14</v>
      </c>
      <c r="P13" s="115">
        <v>0.91176470588235292</v>
      </c>
      <c r="Q13" s="115" t="s">
        <v>27</v>
      </c>
      <c r="R13" s="121">
        <v>10.5</v>
      </c>
      <c r="S13" s="115">
        <v>0.13505098193774445</v>
      </c>
      <c r="T13" s="115" t="s">
        <v>122</v>
      </c>
      <c r="U13" s="119">
        <v>13</v>
      </c>
      <c r="V13" s="110">
        <v>7</v>
      </c>
      <c r="W13" s="120">
        <v>65.273511619047611</v>
      </c>
      <c r="X13" s="112" t="s">
        <v>117</v>
      </c>
      <c r="Y13" s="112" t="s">
        <v>118</v>
      </c>
      <c r="Z13" s="110">
        <v>12</v>
      </c>
      <c r="AA13" s="129">
        <v>24</v>
      </c>
      <c r="AB13" s="143" t="s">
        <v>167</v>
      </c>
      <c r="AC13" s="94" t="s">
        <v>107</v>
      </c>
    </row>
    <row r="14" spans="1:29" ht="15" thickBot="1">
      <c r="A14" s="110" t="s">
        <v>123</v>
      </c>
      <c r="B14" s="110" t="s">
        <v>32</v>
      </c>
      <c r="C14" s="116">
        <v>92.266537762103326</v>
      </c>
      <c r="D14" s="117" t="s">
        <v>18</v>
      </c>
      <c r="E14" s="117">
        <v>10</v>
      </c>
      <c r="F14" s="115">
        <v>0.6</v>
      </c>
      <c r="G14" s="112" t="s">
        <v>92</v>
      </c>
      <c r="H14" s="110">
        <v>7</v>
      </c>
      <c r="I14" s="113">
        <v>401.32156123420378</v>
      </c>
      <c r="J14" s="110" t="s">
        <v>26</v>
      </c>
      <c r="K14" s="113">
        <v>1.1960483720930233</v>
      </c>
      <c r="L14" s="114">
        <v>21.196048372093024</v>
      </c>
      <c r="M14" s="118">
        <v>0.89473684210526316</v>
      </c>
      <c r="N14" s="111" t="s">
        <v>57</v>
      </c>
      <c r="O14" s="111">
        <v>10</v>
      </c>
      <c r="P14" s="115">
        <v>0</v>
      </c>
      <c r="Q14" s="115" t="s">
        <v>113</v>
      </c>
      <c r="R14" s="119">
        <v>0</v>
      </c>
      <c r="S14" s="115">
        <v>0.11173528280107735</v>
      </c>
      <c r="T14" s="115" t="s">
        <v>124</v>
      </c>
      <c r="U14" s="119">
        <v>24</v>
      </c>
      <c r="V14" s="110">
        <v>10</v>
      </c>
      <c r="W14" s="120">
        <v>65.196048372093031</v>
      </c>
      <c r="X14" s="112" t="s">
        <v>117</v>
      </c>
      <c r="Y14" s="112" t="s">
        <v>118</v>
      </c>
      <c r="Z14" s="110">
        <v>13</v>
      </c>
      <c r="AA14" s="129">
        <v>17</v>
      </c>
      <c r="AB14" s="143" t="s">
        <v>167</v>
      </c>
      <c r="AC14" s="94" t="s">
        <v>107</v>
      </c>
    </row>
    <row r="15" spans="1:29" ht="15" thickBot="1">
      <c r="A15" s="110" t="s">
        <v>125</v>
      </c>
      <c r="B15" s="110" t="s">
        <v>102</v>
      </c>
      <c r="C15" s="116">
        <v>98.287139781761113</v>
      </c>
      <c r="D15" s="117" t="s">
        <v>18</v>
      </c>
      <c r="E15" s="117">
        <v>10</v>
      </c>
      <c r="F15" s="115">
        <v>0.54</v>
      </c>
      <c r="G15" s="112" t="s">
        <v>92</v>
      </c>
      <c r="H15" s="110">
        <v>7</v>
      </c>
      <c r="I15" s="113">
        <v>359.89800490540989</v>
      </c>
      <c r="J15" s="110" t="s">
        <v>26</v>
      </c>
      <c r="K15" s="113">
        <v>1.3337111999999998</v>
      </c>
      <c r="L15" s="114">
        <v>21.3337112</v>
      </c>
      <c r="M15" s="118">
        <v>0.97</v>
      </c>
      <c r="N15" s="111" t="s">
        <v>62</v>
      </c>
      <c r="O15" s="111">
        <v>20</v>
      </c>
      <c r="P15" s="115">
        <v>0.86363636363636365</v>
      </c>
      <c r="Q15" s="115" t="s">
        <v>57</v>
      </c>
      <c r="R15" s="119">
        <v>7.5</v>
      </c>
      <c r="S15" s="115">
        <v>0.26823515887434185</v>
      </c>
      <c r="T15" s="115" t="s">
        <v>126</v>
      </c>
      <c r="U15" s="119">
        <v>4</v>
      </c>
      <c r="V15" s="110">
        <v>10</v>
      </c>
      <c r="W15" s="120">
        <v>62.833711199999996</v>
      </c>
      <c r="X15" s="112" t="s">
        <v>117</v>
      </c>
      <c r="Y15" s="112" t="s">
        <v>118</v>
      </c>
      <c r="Z15" s="110">
        <v>14</v>
      </c>
      <c r="AA15" s="129">
        <v>18</v>
      </c>
      <c r="AB15" s="143" t="s">
        <v>167</v>
      </c>
      <c r="AC15" s="94" t="s">
        <v>107</v>
      </c>
    </row>
    <row r="16" spans="1:29" ht="15" thickBot="1">
      <c r="A16" s="110" t="s">
        <v>90</v>
      </c>
      <c r="B16" s="110" t="s">
        <v>102</v>
      </c>
      <c r="C16" s="116">
        <v>98.99750369216116</v>
      </c>
      <c r="D16" s="117" t="s">
        <v>18</v>
      </c>
      <c r="E16" s="117">
        <v>10</v>
      </c>
      <c r="F16" s="115">
        <v>0.57999999999999996</v>
      </c>
      <c r="G16" s="112" t="s">
        <v>92</v>
      </c>
      <c r="H16" s="110">
        <v>7</v>
      </c>
      <c r="I16" s="113">
        <v>713.60078496086351</v>
      </c>
      <c r="J16" s="110" t="s">
        <v>26</v>
      </c>
      <c r="K16" s="113">
        <v>0.67264499999999994</v>
      </c>
      <c r="L16" s="114">
        <v>13.672644999999999</v>
      </c>
      <c r="M16" s="118">
        <v>0.95</v>
      </c>
      <c r="N16" s="111" t="s">
        <v>62</v>
      </c>
      <c r="O16" s="111">
        <v>20</v>
      </c>
      <c r="P16" s="115">
        <v>0.86792452830188682</v>
      </c>
      <c r="Q16" s="115" t="s">
        <v>57</v>
      </c>
      <c r="R16" s="119">
        <v>7.5</v>
      </c>
      <c r="S16" s="115">
        <v>0.14216094944872049</v>
      </c>
      <c r="T16" s="115" t="s">
        <v>127</v>
      </c>
      <c r="U16" s="119">
        <v>11</v>
      </c>
      <c r="V16" s="110">
        <v>10</v>
      </c>
      <c r="W16" s="120">
        <v>62.172645000000003</v>
      </c>
      <c r="X16" s="112" t="s">
        <v>117</v>
      </c>
      <c r="Y16" s="112" t="s">
        <v>118</v>
      </c>
      <c r="Z16" s="110">
        <v>15</v>
      </c>
      <c r="AA16" s="129">
        <v>14</v>
      </c>
      <c r="AB16" s="143" t="s">
        <v>167</v>
      </c>
      <c r="AC16" s="94" t="s">
        <v>107</v>
      </c>
    </row>
    <row r="17" spans="1:29" ht="15" thickBot="1">
      <c r="A17" s="110" t="s">
        <v>128</v>
      </c>
      <c r="B17" s="110" t="s">
        <v>102</v>
      </c>
      <c r="C17" s="116">
        <v>89.956128646742599</v>
      </c>
      <c r="D17" s="117" t="s">
        <v>18</v>
      </c>
      <c r="E17" s="117">
        <v>10</v>
      </c>
      <c r="F17" s="115">
        <v>0.57999999999999996</v>
      </c>
      <c r="G17" s="112" t="s">
        <v>92</v>
      </c>
      <c r="H17" s="110">
        <v>7</v>
      </c>
      <c r="I17" s="113">
        <v>334.34025473384008</v>
      </c>
      <c r="J17" s="110" t="s">
        <v>26</v>
      </c>
      <c r="K17" s="113">
        <v>1.4356632</v>
      </c>
      <c r="L17" s="114">
        <v>21.4356632</v>
      </c>
      <c r="M17" s="118">
        <v>0.91</v>
      </c>
      <c r="N17" s="109" t="s">
        <v>27</v>
      </c>
      <c r="O17" s="111">
        <v>14</v>
      </c>
      <c r="P17" s="115">
        <v>0.89534883720930236</v>
      </c>
      <c r="Q17" s="115" t="s">
        <v>27</v>
      </c>
      <c r="R17" s="121">
        <v>10.5</v>
      </c>
      <c r="S17" s="115">
        <v>0.20337746604845408</v>
      </c>
      <c r="T17" s="115" t="s">
        <v>129</v>
      </c>
      <c r="U17" s="119">
        <v>5</v>
      </c>
      <c r="V17" s="110">
        <v>10</v>
      </c>
      <c r="W17" s="120">
        <v>60.9356632</v>
      </c>
      <c r="X17" s="112" t="s">
        <v>117</v>
      </c>
      <c r="Y17" s="112" t="s">
        <v>118</v>
      </c>
      <c r="Z17" s="110">
        <v>17</v>
      </c>
      <c r="AA17" s="129" t="s">
        <v>107</v>
      </c>
      <c r="AB17" s="143" t="s">
        <v>167</v>
      </c>
      <c r="AC17" s="94" t="s">
        <v>107</v>
      </c>
    </row>
    <row r="18" spans="1:29" ht="15" thickBot="1">
      <c r="A18" s="110" t="s">
        <v>130</v>
      </c>
      <c r="B18" s="110" t="s">
        <v>32</v>
      </c>
      <c r="C18" s="116">
        <v>100</v>
      </c>
      <c r="D18" s="117" t="s">
        <v>18</v>
      </c>
      <c r="E18" s="117">
        <v>10</v>
      </c>
      <c r="F18" s="115">
        <v>0.46</v>
      </c>
      <c r="G18" s="110" t="s">
        <v>131</v>
      </c>
      <c r="H18" s="110">
        <v>5</v>
      </c>
      <c r="I18" s="113">
        <v>269.09427758787155</v>
      </c>
      <c r="J18" s="110" t="s">
        <v>26</v>
      </c>
      <c r="K18" s="113">
        <v>1.7837614545454543</v>
      </c>
      <c r="L18" s="114">
        <v>19.783761454545456</v>
      </c>
      <c r="M18" s="118">
        <v>0.88888888888888884</v>
      </c>
      <c r="N18" s="111" t="s">
        <v>57</v>
      </c>
      <c r="O18" s="111">
        <v>10</v>
      </c>
      <c r="P18" s="115">
        <v>0</v>
      </c>
      <c r="Q18" s="115" t="s">
        <v>113</v>
      </c>
      <c r="R18" s="119">
        <v>0</v>
      </c>
      <c r="S18" s="115">
        <v>0.12000419386678551</v>
      </c>
      <c r="T18" s="115" t="s">
        <v>84</v>
      </c>
      <c r="U18" s="119">
        <v>21</v>
      </c>
      <c r="V18" s="110">
        <v>10</v>
      </c>
      <c r="W18" s="120">
        <v>60.783761454545456</v>
      </c>
      <c r="X18" s="112" t="s">
        <v>117</v>
      </c>
      <c r="Y18" s="112" t="s">
        <v>118</v>
      </c>
      <c r="Z18" s="110">
        <v>18</v>
      </c>
      <c r="AA18" s="129" t="s">
        <v>107</v>
      </c>
      <c r="AB18" s="143" t="s">
        <v>167</v>
      </c>
      <c r="AC18" s="94" t="s">
        <v>107</v>
      </c>
    </row>
    <row r="19" spans="1:29" ht="15" thickBot="1">
      <c r="A19" s="110" t="s">
        <v>132</v>
      </c>
      <c r="B19" s="110" t="s">
        <v>102</v>
      </c>
      <c r="C19" s="116">
        <v>85.839091202674496</v>
      </c>
      <c r="D19" s="117" t="s">
        <v>18</v>
      </c>
      <c r="E19" s="117">
        <v>10</v>
      </c>
      <c r="F19" s="115">
        <v>0.7</v>
      </c>
      <c r="G19" s="112" t="s">
        <v>20</v>
      </c>
      <c r="H19" s="110">
        <v>10</v>
      </c>
      <c r="I19" s="113">
        <v>7.2683438887049867</v>
      </c>
      <c r="J19" s="110" t="s">
        <v>26</v>
      </c>
      <c r="K19" s="113">
        <v>10</v>
      </c>
      <c r="L19" s="114">
        <v>30</v>
      </c>
      <c r="M19" s="118">
        <v>0.88888888888888884</v>
      </c>
      <c r="N19" s="111" t="s">
        <v>57</v>
      </c>
      <c r="O19" s="111">
        <v>10</v>
      </c>
      <c r="P19" s="115">
        <v>0</v>
      </c>
      <c r="Q19" s="115" t="s">
        <v>113</v>
      </c>
      <c r="R19" s="119">
        <v>0</v>
      </c>
      <c r="S19" s="115">
        <v>0.14425099839889063</v>
      </c>
      <c r="T19" s="115" t="s">
        <v>133</v>
      </c>
      <c r="U19" s="119">
        <v>10</v>
      </c>
      <c r="V19" s="110">
        <v>10</v>
      </c>
      <c r="W19" s="120">
        <v>60</v>
      </c>
      <c r="X19" s="112" t="s">
        <v>117</v>
      </c>
      <c r="Y19" s="112" t="s">
        <v>118</v>
      </c>
      <c r="Z19" s="110">
        <v>19</v>
      </c>
      <c r="AA19" s="129">
        <v>19</v>
      </c>
      <c r="AB19" s="143" t="s">
        <v>167</v>
      </c>
      <c r="AC19" s="94" t="s">
        <v>107</v>
      </c>
    </row>
    <row r="20" spans="1:29" ht="15" thickBot="1">
      <c r="A20" s="110" t="s">
        <v>134</v>
      </c>
      <c r="B20" s="110" t="s">
        <v>32</v>
      </c>
      <c r="C20" s="116">
        <v>91.101246670844517</v>
      </c>
      <c r="D20" s="117" t="s">
        <v>18</v>
      </c>
      <c r="E20" s="117">
        <v>10</v>
      </c>
      <c r="F20" s="115">
        <v>0.59</v>
      </c>
      <c r="G20" s="112" t="s">
        <v>92</v>
      </c>
      <c r="H20" s="110">
        <v>7</v>
      </c>
      <c r="I20" s="113">
        <v>431.34962828445794</v>
      </c>
      <c r="J20" s="110" t="s">
        <v>26</v>
      </c>
      <c r="K20" s="113">
        <v>1.1127863999999996</v>
      </c>
      <c r="L20" s="114">
        <v>21.112786400000001</v>
      </c>
      <c r="M20" s="118">
        <v>0.88</v>
      </c>
      <c r="N20" s="111" t="s">
        <v>57</v>
      </c>
      <c r="O20" s="111">
        <v>10</v>
      </c>
      <c r="P20" s="115">
        <v>1</v>
      </c>
      <c r="Q20" s="115" t="s">
        <v>62</v>
      </c>
      <c r="R20" s="119">
        <v>15</v>
      </c>
      <c r="S20" s="115">
        <v>0.16074272706191078</v>
      </c>
      <c r="T20" s="115" t="s">
        <v>135</v>
      </c>
      <c r="U20" s="119">
        <v>7</v>
      </c>
      <c r="V20" s="110">
        <v>6</v>
      </c>
      <c r="W20" s="120">
        <v>59.112786400000005</v>
      </c>
      <c r="X20" s="112" t="s">
        <v>136</v>
      </c>
      <c r="Y20" s="112" t="s">
        <v>137</v>
      </c>
      <c r="Z20" s="110">
        <v>20</v>
      </c>
      <c r="AA20" s="129" t="s">
        <v>107</v>
      </c>
      <c r="AB20" s="143" t="s">
        <v>167</v>
      </c>
      <c r="AC20" s="94" t="s">
        <v>107</v>
      </c>
    </row>
    <row r="21" spans="1:29" ht="15" thickBot="1">
      <c r="A21" s="110" t="s">
        <v>138</v>
      </c>
      <c r="B21" s="110" t="s">
        <v>102</v>
      </c>
      <c r="C21" s="116">
        <v>100</v>
      </c>
      <c r="D21" s="117" t="s">
        <v>18</v>
      </c>
      <c r="E21" s="117">
        <v>10</v>
      </c>
      <c r="F21" s="115">
        <v>0.54</v>
      </c>
      <c r="G21" s="112" t="s">
        <v>92</v>
      </c>
      <c r="H21" s="110">
        <v>7</v>
      </c>
      <c r="I21" s="113">
        <v>171.14261656523618</v>
      </c>
      <c r="J21" s="110" t="s">
        <v>26</v>
      </c>
      <c r="K21" s="113">
        <v>2.8046783999999993</v>
      </c>
      <c r="L21" s="114">
        <v>19.8046784</v>
      </c>
      <c r="M21" s="118">
        <v>0.86</v>
      </c>
      <c r="N21" s="111" t="s">
        <v>57</v>
      </c>
      <c r="O21" s="111">
        <v>10</v>
      </c>
      <c r="P21" s="115">
        <v>0</v>
      </c>
      <c r="Q21" s="115" t="s">
        <v>113</v>
      </c>
      <c r="R21" s="119">
        <v>0</v>
      </c>
      <c r="S21" s="115">
        <v>0.13331256413760689</v>
      </c>
      <c r="T21" s="115" t="s">
        <v>139</v>
      </c>
      <c r="U21" s="119">
        <v>14</v>
      </c>
      <c r="V21" s="110">
        <v>10</v>
      </c>
      <c r="W21" s="120">
        <v>53.8046784</v>
      </c>
      <c r="X21" s="112" t="s">
        <v>136</v>
      </c>
      <c r="Y21" s="112" t="s">
        <v>137</v>
      </c>
      <c r="Z21" s="110">
        <v>21</v>
      </c>
      <c r="AA21" s="129">
        <v>10</v>
      </c>
      <c r="AB21" s="143" t="s">
        <v>167</v>
      </c>
      <c r="AC21" s="94" t="s">
        <v>107</v>
      </c>
    </row>
    <row r="22" spans="1:29" ht="15" thickBot="1">
      <c r="A22" s="110" t="s">
        <v>140</v>
      </c>
      <c r="B22" s="110" t="s">
        <v>32</v>
      </c>
      <c r="C22" s="116">
        <v>95.88190752544682</v>
      </c>
      <c r="D22" s="117" t="s">
        <v>18</v>
      </c>
      <c r="E22" s="117">
        <v>10</v>
      </c>
      <c r="F22" s="115">
        <v>0.65</v>
      </c>
      <c r="G22" s="112" t="s">
        <v>20</v>
      </c>
      <c r="H22" s="110">
        <v>10</v>
      </c>
      <c r="I22" s="113">
        <v>94.72259810554803</v>
      </c>
      <c r="J22" s="110" t="s">
        <v>26</v>
      </c>
      <c r="K22" s="113">
        <v>5.0674285714285716</v>
      </c>
      <c r="L22" s="114">
        <v>20.067428571428572</v>
      </c>
      <c r="M22" s="118">
        <v>0.89</v>
      </c>
      <c r="N22" s="111" t="s">
        <v>57</v>
      </c>
      <c r="O22" s="111">
        <v>10</v>
      </c>
      <c r="P22" s="115">
        <v>0.93103448275862066</v>
      </c>
      <c r="Q22" s="115" t="s">
        <v>27</v>
      </c>
      <c r="R22" s="121">
        <v>10.5</v>
      </c>
      <c r="S22" s="115">
        <v>0</v>
      </c>
      <c r="T22" s="115" t="s">
        <v>141</v>
      </c>
      <c r="U22" s="119">
        <v>1</v>
      </c>
      <c r="V22" s="110">
        <v>10</v>
      </c>
      <c r="W22" s="120">
        <v>51.567428571428572</v>
      </c>
      <c r="X22" s="112" t="s">
        <v>136</v>
      </c>
      <c r="Y22" s="112" t="s">
        <v>137</v>
      </c>
      <c r="Z22" s="110">
        <v>22</v>
      </c>
      <c r="AA22" s="129">
        <v>20</v>
      </c>
      <c r="AB22" s="143" t="s">
        <v>167</v>
      </c>
      <c r="AC22" s="94" t="s">
        <v>107</v>
      </c>
    </row>
    <row r="23" spans="1:29" ht="15" thickBot="1">
      <c r="A23" s="110" t="s">
        <v>142</v>
      </c>
      <c r="B23" s="110" t="s">
        <v>102</v>
      </c>
      <c r="C23" s="116">
        <v>99.150697223952534</v>
      </c>
      <c r="D23" s="117" t="s">
        <v>18</v>
      </c>
      <c r="E23" s="117">
        <v>10</v>
      </c>
      <c r="F23" s="115">
        <v>0.56000000000000005</v>
      </c>
      <c r="G23" s="112" t="s">
        <v>92</v>
      </c>
      <c r="H23" s="110">
        <v>7</v>
      </c>
      <c r="I23" s="113">
        <v>204.91558331782232</v>
      </c>
      <c r="J23" s="110" t="s">
        <v>26</v>
      </c>
      <c r="K23" s="113">
        <v>2.3424280000000004</v>
      </c>
      <c r="L23" s="114">
        <v>22.342428000000002</v>
      </c>
      <c r="M23" s="118">
        <v>0.8928571428571429</v>
      </c>
      <c r="N23" s="111" t="s">
        <v>57</v>
      </c>
      <c r="O23" s="111">
        <v>10</v>
      </c>
      <c r="P23" s="115">
        <v>0</v>
      </c>
      <c r="Q23" s="115" t="s">
        <v>113</v>
      </c>
      <c r="R23" s="119">
        <v>0</v>
      </c>
      <c r="S23" s="115">
        <v>0.18245322586424353</v>
      </c>
      <c r="T23" s="115" t="s">
        <v>143</v>
      </c>
      <c r="U23" s="119">
        <v>6</v>
      </c>
      <c r="V23" s="110">
        <v>10</v>
      </c>
      <c r="W23" s="120">
        <v>48.342427999999998</v>
      </c>
      <c r="X23" s="112" t="s">
        <v>136</v>
      </c>
      <c r="Y23" s="112" t="s">
        <v>137</v>
      </c>
      <c r="Z23" s="110">
        <v>23</v>
      </c>
      <c r="AA23" s="129" t="s">
        <v>107</v>
      </c>
      <c r="AB23" s="143" t="s">
        <v>167</v>
      </c>
      <c r="AC23" s="94" t="s">
        <v>107</v>
      </c>
    </row>
    <row r="24" spans="1:29" ht="15" thickBot="1">
      <c r="A24" s="110" t="s">
        <v>80</v>
      </c>
      <c r="B24" s="110" t="s">
        <v>32</v>
      </c>
      <c r="C24" s="116">
        <v>98.819919612743007</v>
      </c>
      <c r="D24" s="117" t="s">
        <v>18</v>
      </c>
      <c r="E24" s="117">
        <v>10</v>
      </c>
      <c r="F24" s="115">
        <v>0.59</v>
      </c>
      <c r="G24" s="112" t="s">
        <v>92</v>
      </c>
      <c r="H24" s="110">
        <v>7</v>
      </c>
      <c r="I24" s="113">
        <v>414.33888777631239</v>
      </c>
      <c r="J24" s="110" t="s">
        <v>26</v>
      </c>
      <c r="K24" s="113">
        <v>1.1584719999999995</v>
      </c>
      <c r="L24" s="114">
        <v>21.158472</v>
      </c>
      <c r="M24" s="118">
        <v>0.80263157894736847</v>
      </c>
      <c r="N24" s="111" t="s">
        <v>115</v>
      </c>
      <c r="O24" s="111">
        <v>6</v>
      </c>
      <c r="P24" s="115">
        <v>0.85964912280701755</v>
      </c>
      <c r="Q24" s="115" t="s">
        <v>57</v>
      </c>
      <c r="R24" s="119">
        <v>7.5</v>
      </c>
      <c r="S24" s="115">
        <v>0.28346074738862248</v>
      </c>
      <c r="T24" s="115" t="s">
        <v>144</v>
      </c>
      <c r="U24" s="119">
        <v>3</v>
      </c>
      <c r="V24" s="110">
        <v>5</v>
      </c>
      <c r="W24" s="120">
        <v>42.658472000000003</v>
      </c>
      <c r="X24" s="112" t="s">
        <v>136</v>
      </c>
      <c r="Y24" s="112" t="s">
        <v>137</v>
      </c>
      <c r="Z24" s="110">
        <v>24</v>
      </c>
      <c r="AA24" s="129">
        <v>25</v>
      </c>
      <c r="AB24" s="143" t="s">
        <v>167</v>
      </c>
      <c r="AC24" s="94" t="s">
        <v>107</v>
      </c>
    </row>
    <row r="25" spans="1:29" ht="15" thickBot="1">
      <c r="A25" s="110" t="s">
        <v>42</v>
      </c>
      <c r="B25" s="110" t="s">
        <v>32</v>
      </c>
      <c r="C25" s="116">
        <v>94.186848613330966</v>
      </c>
      <c r="D25" s="117" t="s">
        <v>18</v>
      </c>
      <c r="E25" s="117">
        <v>10</v>
      </c>
      <c r="F25" s="115">
        <v>0.44</v>
      </c>
      <c r="G25" s="110" t="s">
        <v>131</v>
      </c>
      <c r="H25" s="110">
        <v>5</v>
      </c>
      <c r="I25" s="113">
        <v>217.20457709281547</v>
      </c>
      <c r="J25" s="110" t="s">
        <v>26</v>
      </c>
      <c r="K25" s="113">
        <v>2.2098981818181818</v>
      </c>
      <c r="L25" s="114">
        <v>19.209898181818183</v>
      </c>
      <c r="M25" s="118">
        <v>0.9</v>
      </c>
      <c r="N25" s="111" t="s">
        <v>27</v>
      </c>
      <c r="O25" s="111">
        <v>14</v>
      </c>
      <c r="P25" s="115">
        <v>0</v>
      </c>
      <c r="Q25" s="115" t="s">
        <v>113</v>
      </c>
      <c r="R25" s="119">
        <v>0</v>
      </c>
      <c r="S25" s="115">
        <v>0</v>
      </c>
      <c r="T25" s="115" t="s">
        <v>145</v>
      </c>
      <c r="U25" s="119">
        <v>0</v>
      </c>
      <c r="V25" s="110">
        <v>5</v>
      </c>
      <c r="W25" s="120">
        <v>38.209898181818183</v>
      </c>
      <c r="X25" s="112" t="s">
        <v>136</v>
      </c>
      <c r="Y25" s="112" t="s">
        <v>137</v>
      </c>
      <c r="Z25" s="110">
        <v>25</v>
      </c>
      <c r="AA25" s="129" t="s">
        <v>107</v>
      </c>
      <c r="AB25" s="143" t="s">
        <v>167</v>
      </c>
      <c r="AC25" s="94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C479-4456-42AF-822D-62422CA43957}">
  <dimension ref="A1:A74"/>
  <sheetViews>
    <sheetView workbookViewId="0">
      <selection activeCell="A9" sqref="A9"/>
    </sheetView>
  </sheetViews>
  <sheetFormatPr defaultRowHeight="14.4"/>
  <cols>
    <col min="1" max="1" width="38.21875" bestFit="1" customWidth="1"/>
  </cols>
  <sheetData>
    <row r="1" spans="1:1">
      <c r="A1" s="203" t="s">
        <v>190</v>
      </c>
    </row>
    <row r="2" spans="1:1">
      <c r="A2" s="159" t="s">
        <v>88</v>
      </c>
    </row>
    <row r="3" spans="1:1">
      <c r="A3" s="110" t="s">
        <v>140</v>
      </c>
    </row>
    <row r="4" spans="1:1">
      <c r="A4" s="157" t="s">
        <v>46</v>
      </c>
    </row>
    <row r="5" spans="1:1">
      <c r="A5" s="110" t="s">
        <v>119</v>
      </c>
    </row>
    <row r="6" spans="1:1">
      <c r="A6" s="153" t="s">
        <v>154</v>
      </c>
    </row>
    <row r="7" spans="1:1">
      <c r="A7" s="155" t="s">
        <v>38</v>
      </c>
    </row>
    <row r="8" spans="1:1">
      <c r="A8" s="155" t="s">
        <v>38</v>
      </c>
    </row>
    <row r="9" spans="1:1">
      <c r="A9" s="153" t="s">
        <v>149</v>
      </c>
    </row>
    <row r="10" spans="1:1">
      <c r="A10" s="155" t="s">
        <v>68</v>
      </c>
    </row>
    <row r="11" spans="1:1">
      <c r="A11" s="153" t="s">
        <v>153</v>
      </c>
    </row>
    <row r="12" spans="1:1">
      <c r="A12" s="202" t="s">
        <v>132</v>
      </c>
    </row>
    <row r="13" spans="1:1">
      <c r="A13" s="157" t="s">
        <v>39</v>
      </c>
    </row>
    <row r="14" spans="1:1">
      <c r="A14" s="202" t="s">
        <v>39</v>
      </c>
    </row>
    <row r="15" spans="1:1">
      <c r="A15" s="153" t="s">
        <v>148</v>
      </c>
    </row>
    <row r="16" spans="1:1">
      <c r="A16" s="202" t="s">
        <v>112</v>
      </c>
    </row>
    <row r="17" spans="1:1">
      <c r="A17" s="159" t="s">
        <v>90</v>
      </c>
    </row>
    <row r="18" spans="1:1">
      <c r="A18" s="202" t="s">
        <v>90</v>
      </c>
    </row>
    <row r="19" spans="1:1">
      <c r="A19" s="159" t="s">
        <v>98</v>
      </c>
    </row>
    <row r="20" spans="1:1">
      <c r="A20" s="153" t="s">
        <v>98</v>
      </c>
    </row>
    <row r="21" spans="1:1">
      <c r="A21" s="110" t="s">
        <v>104</v>
      </c>
    </row>
    <row r="22" spans="1:1">
      <c r="A22" s="157" t="s">
        <v>42</v>
      </c>
    </row>
    <row r="23" spans="1:1">
      <c r="A23" s="110" t="s">
        <v>42</v>
      </c>
    </row>
    <row r="24" spans="1:1">
      <c r="A24" s="153" t="s">
        <v>151</v>
      </c>
    </row>
    <row r="25" spans="1:1">
      <c r="A25" s="110" t="s">
        <v>138</v>
      </c>
    </row>
    <row r="26" spans="1:1">
      <c r="A26" s="202" t="s">
        <v>125</v>
      </c>
    </row>
    <row r="27" spans="1:1">
      <c r="A27" s="155" t="s">
        <v>65</v>
      </c>
    </row>
    <row r="28" spans="1:1">
      <c r="A28" s="153" t="s">
        <v>160</v>
      </c>
    </row>
    <row r="29" spans="1:1">
      <c r="A29" s="157" t="s">
        <v>45</v>
      </c>
    </row>
    <row r="30" spans="1:1">
      <c r="A30" s="153" t="s">
        <v>134</v>
      </c>
    </row>
    <row r="31" spans="1:1">
      <c r="A31" s="110" t="s">
        <v>134</v>
      </c>
    </row>
    <row r="32" spans="1:1">
      <c r="A32" s="155" t="s">
        <v>40</v>
      </c>
    </row>
    <row r="33" spans="1:1">
      <c r="A33" s="110" t="s">
        <v>110</v>
      </c>
    </row>
    <row r="34" spans="1:1">
      <c r="A34" s="153" t="s">
        <v>146</v>
      </c>
    </row>
    <row r="35" spans="1:1">
      <c r="A35" s="157" t="s">
        <v>44</v>
      </c>
    </row>
    <row r="36" spans="1:1">
      <c r="A36" s="202" t="s">
        <v>114</v>
      </c>
    </row>
    <row r="37" spans="1:1">
      <c r="A37" s="110" t="s">
        <v>130</v>
      </c>
    </row>
    <row r="38" spans="1:1">
      <c r="A38" s="159" t="s">
        <v>95</v>
      </c>
    </row>
    <row r="39" spans="1:1">
      <c r="A39" s="153" t="s">
        <v>95</v>
      </c>
    </row>
    <row r="40" spans="1:1">
      <c r="A40" s="155" t="s">
        <v>64</v>
      </c>
    </row>
    <row r="41" spans="1:1">
      <c r="A41" s="153" t="s">
        <v>158</v>
      </c>
    </row>
    <row r="42" spans="1:1">
      <c r="A42" s="153" t="s">
        <v>150</v>
      </c>
    </row>
    <row r="43" spans="1:1">
      <c r="A43" s="155" t="s">
        <v>70</v>
      </c>
    </row>
    <row r="44" spans="1:1">
      <c r="A44" s="157" t="s">
        <v>41</v>
      </c>
    </row>
    <row r="45" spans="1:1">
      <c r="A45" s="110" t="s">
        <v>128</v>
      </c>
    </row>
    <row r="46" spans="1:1">
      <c r="A46" s="159" t="s">
        <v>169</v>
      </c>
    </row>
    <row r="47" spans="1:1">
      <c r="A47" s="153" t="s">
        <v>162</v>
      </c>
    </row>
    <row r="48" spans="1:1">
      <c r="A48" s="153" t="s">
        <v>123</v>
      </c>
    </row>
    <row r="49" spans="1:1">
      <c r="A49" s="110" t="s">
        <v>123</v>
      </c>
    </row>
    <row r="50" spans="1:1">
      <c r="A50" s="157" t="s">
        <v>47</v>
      </c>
    </row>
    <row r="51" spans="1:1">
      <c r="A51" s="159" t="s">
        <v>80</v>
      </c>
    </row>
    <row r="52" spans="1:1">
      <c r="A52" s="153" t="s">
        <v>80</v>
      </c>
    </row>
    <row r="53" spans="1:1">
      <c r="A53" s="110" t="s">
        <v>80</v>
      </c>
    </row>
    <row r="54" spans="1:1">
      <c r="A54" s="155" t="s">
        <v>67</v>
      </c>
    </row>
    <row r="55" spans="1:1">
      <c r="A55" s="110" t="s">
        <v>67</v>
      </c>
    </row>
    <row r="56" spans="1:1">
      <c r="A56" s="153" t="s">
        <v>157</v>
      </c>
    </row>
    <row r="57" spans="1:1">
      <c r="A57" s="159" t="s">
        <v>96</v>
      </c>
    </row>
    <row r="58" spans="1:1">
      <c r="A58" s="153" t="s">
        <v>96</v>
      </c>
    </row>
    <row r="59" spans="1:1">
      <c r="A59" s="110" t="s">
        <v>96</v>
      </c>
    </row>
    <row r="60" spans="1:1">
      <c r="A60" s="155" t="s">
        <v>69</v>
      </c>
    </row>
    <row r="61" spans="1:1">
      <c r="A61" s="110" t="s">
        <v>101</v>
      </c>
    </row>
    <row r="62" spans="1:1">
      <c r="A62" s="153" t="s">
        <v>155</v>
      </c>
    </row>
    <row r="63" spans="1:1">
      <c r="A63" s="155" t="s">
        <v>72</v>
      </c>
    </row>
    <row r="64" spans="1:1">
      <c r="A64" s="202" t="s">
        <v>121</v>
      </c>
    </row>
    <row r="65" spans="1:1">
      <c r="A65" s="155" t="s">
        <v>66</v>
      </c>
    </row>
    <row r="66" spans="1:1">
      <c r="A66" s="153" t="s">
        <v>152</v>
      </c>
    </row>
    <row r="67" spans="1:1">
      <c r="A67" s="110" t="s">
        <v>142</v>
      </c>
    </row>
    <row r="68" spans="1:1">
      <c r="A68" s="202" t="s">
        <v>108</v>
      </c>
    </row>
    <row r="69" spans="1:1">
      <c r="A69" s="155" t="s">
        <v>71</v>
      </c>
    </row>
    <row r="70" spans="1:1">
      <c r="A70" s="159" t="s">
        <v>86</v>
      </c>
    </row>
    <row r="71" spans="1:1">
      <c r="A71" s="110" t="s">
        <v>105</v>
      </c>
    </row>
    <row r="72" spans="1:1">
      <c r="A72" s="153" t="s">
        <v>161</v>
      </c>
    </row>
    <row r="73" spans="1:1">
      <c r="A73" s="157" t="s">
        <v>43</v>
      </c>
    </row>
    <row r="74" spans="1:1">
      <c r="A74" s="15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Quality_Master</vt:lpstr>
      <vt:lpstr>PE</vt:lpstr>
      <vt:lpstr>AS</vt:lpstr>
      <vt:lpstr>LP</vt:lpstr>
      <vt:lpstr>VH</vt:lpstr>
      <vt:lpstr>Vendor_Check</vt:lpstr>
    </vt:vector>
  </TitlesOfParts>
  <Company>ABFRL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Gurudatt G S</dc:creator>
  <cp:lastModifiedBy>PRATAP SUNIL NETKE</cp:lastModifiedBy>
  <dcterms:created xsi:type="dcterms:W3CDTF">2022-06-27T05:06:34Z</dcterms:created>
  <dcterms:modified xsi:type="dcterms:W3CDTF">2026-08-11T13:27:27Z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fc6767-3ab2-4b3b-a63f-7b2c7d47621d_Enabled">
    <vt:lpwstr>true</vt:lpwstr>
  </property>
  <property fmtid="{D5CDD505-2E9C-101B-9397-08002B2CF9AE}" pid="3" name="MSIP_Label_07fc6767-3ab2-4b3b-a63f-7b2c7d47621d_SetDate">
    <vt:lpwstr>2022-06-27T05:06:34Z</vt:lpwstr>
  </property>
  <property fmtid="{D5CDD505-2E9C-101B-9397-08002B2CF9AE}" pid="4" name="MSIP_Label_07fc6767-3ab2-4b3b-a63f-7b2c7d47621d_Method">
    <vt:lpwstr>Standard</vt:lpwstr>
  </property>
  <property fmtid="{D5CDD505-2E9C-101B-9397-08002B2CF9AE}" pid="5" name="MSIP_Label_07fc6767-3ab2-4b3b-a63f-7b2c7d47621d_Name">
    <vt:lpwstr>07fc6767-3ab2-4b3b-a63f-7b2c7d47621d</vt:lpwstr>
  </property>
  <property fmtid="{D5CDD505-2E9C-101B-9397-08002B2CF9AE}" pid="6" name="MSIP_Label_07fc6767-3ab2-4b3b-a63f-7b2c7d47621d_SiteId">
    <vt:lpwstr>d356af53-f35f-4eff-86e5-5c676313e4e4</vt:lpwstr>
  </property>
  <property fmtid="{D5CDD505-2E9C-101B-9397-08002B2CF9AE}" pid="7" name="MSIP_Label_07fc6767-3ab2-4b3b-a63f-7b2c7d47621d_ActionId">
    <vt:lpwstr>a24a9c2c-98d9-43cf-8a60-bdb4de553f3e</vt:lpwstr>
  </property>
  <property fmtid="{D5CDD505-2E9C-101B-9397-08002B2CF9AE}" pid="8" name="MSIP_Label_07fc6767-3ab2-4b3b-a63f-7b2c7d47621d_ContentBits">
    <vt:lpwstr>0</vt:lpwstr>
  </property>
</Properties>
</file>